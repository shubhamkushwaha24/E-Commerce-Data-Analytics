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034F101E-62CA-4E47-9D84-8AE3CF64EDD6}" xr6:coauthVersionLast="47" xr6:coauthVersionMax="47" xr10:uidLastSave="{00000000-0000-0000-0000-000000000000}"/>
  <bookViews>
    <workbookView xWindow="29400" yWindow="-120" windowWidth="20010" windowHeight="11760" firstSheet="8" activeTab="10" xr2:uid="{1E02D956-6BF6-41D7-A66D-580E6BD8A927}"/>
  </bookViews>
  <sheets>
    <sheet name="State-wise Revenue" sheetId="14" r:id="rId1"/>
    <sheet name="State-wise Profit" sheetId="15" r:id="rId2"/>
    <sheet name="Total Orders" sheetId="16" r:id="rId3"/>
    <sheet name="Sales Channel Analysis" sheetId="5" r:id="rId4"/>
    <sheet name="Top 10 Product" sheetId="6" r:id="rId5"/>
    <sheet name="Monthly Revenue Trend" sheetId="7" r:id="rId6"/>
    <sheet name="Profit by Product Ctegory" sheetId="8" r:id="rId7"/>
    <sheet name="Revenue Vs Total cost Analysis" sheetId="9" r:id="rId8"/>
    <sheet name="Profit Margin Analysis" sheetId="10" r:id="rId9"/>
    <sheet name="ecommerce_db" sheetId="2" r:id="rId10"/>
    <sheet name="Dashboard" sheetId="11" r:id="rId11"/>
  </sheets>
  <definedNames>
    <definedName name="ExternalData_1" localSheetId="9" hidden="1">ecommerce_db!$A$1:$S$1501</definedName>
    <definedName name="Slicer_Sales_Channel">#N/A</definedName>
    <definedName name="Slicer_State2">#N/A</definedName>
  </definedNames>
  <calcPr calcId="191029"/>
  <pivotCaches>
    <pivotCache cacheId="12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db  2_8151ccf0-4d86-4a47-a74a-1c205485f10b" name="ecommerce_db  2" connection="Query - ecommerce_db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1" i="11" l="1"/>
  <c r="BO1" i="11"/>
  <c r="BN1" i="11"/>
  <c r="BQ1"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E8618-7DF6-4937-9C1A-FE1F55B32E2A}" keepAlive="1" name="Query - ecommerce_db" description="Connection to the 'ecommerce_db' query in the workbook." type="5" refreshedVersion="8" background="1" saveData="1">
    <dbPr connection="Provider=Microsoft.Mashup.OleDb.1;Data Source=$Workbook$;Location=ecommerce_db;Extended Properties=&quot;&quot;" command="SELECT * FROM [ecommerce_db]"/>
  </connection>
  <connection id="2" xr16:uid="{205DB79A-A040-4188-A388-7E4E987670B4}" name="Query - ecommerce_db (2)" description="Connection to the 'ecommerce_db (2)' query in the workbook." type="100" refreshedVersion="8" minRefreshableVersion="5">
    <extLst>
      <ext xmlns:x15="http://schemas.microsoft.com/office/spreadsheetml/2010/11/main" uri="{DE250136-89BD-433C-8126-D09CA5730AF9}">
        <x15:connection id="cc5a157d-5e94-4081-ac33-9d25a698e9f9"/>
      </ext>
    </extLst>
  </connection>
  <connection id="3" xr16:uid="{1183DBD0-AD63-4850-B522-350AD6B5C6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<sst xmlns="http://schemas.openxmlformats.org/spreadsheetml/2006/main" count="15130" uniqueCount="2040">
  <si>
    <t>Order_ID</t>
  </si>
  <si>
    <t>Order_Date</t>
  </si>
  <si>
    <t>Customer_ID</t>
  </si>
  <si>
    <t>Customer_Segment</t>
  </si>
  <si>
    <t>City</t>
  </si>
  <si>
    <t>State</t>
  </si>
  <si>
    <t>Sales_Channel</t>
  </si>
  <si>
    <t>Payment_Method</t>
  </si>
  <si>
    <t>Product_ID</t>
  </si>
  <si>
    <t>Product_Name</t>
  </si>
  <si>
    <t>Category</t>
  </si>
  <si>
    <t>Quantity</t>
  </si>
  <si>
    <t>Unit_Price_INR</t>
  </si>
  <si>
    <t>Discount_Pct</t>
  </si>
  <si>
    <t>Revenue_INR</t>
  </si>
  <si>
    <t>Unit_Cost_INR</t>
  </si>
  <si>
    <t>Total_Cost_INR</t>
  </si>
  <si>
    <t>Shipping_Cost_INR</t>
  </si>
  <si>
    <t>Profit_INR</t>
  </si>
  <si>
    <t>ORD01204</t>
  </si>
  <si>
    <t>C0242</t>
  </si>
  <si>
    <t>Corporate</t>
  </si>
  <si>
    <t>Hyderabad</t>
  </si>
  <si>
    <t>Telangana</t>
  </si>
  <si>
    <t>Marketplace</t>
  </si>
  <si>
    <t>UPI</t>
  </si>
  <si>
    <t>P001</t>
  </si>
  <si>
    <t>Wireless Mouse</t>
  </si>
  <si>
    <t>Electronics</t>
  </si>
  <si>
    <t>ORD00056</t>
  </si>
  <si>
    <t>C0336</t>
  </si>
  <si>
    <t>Bhopal</t>
  </si>
  <si>
    <t>Madhya Pradesh</t>
  </si>
  <si>
    <t>Mobile App</t>
  </si>
  <si>
    <t>Net Banking</t>
  </si>
  <si>
    <t>P005</t>
  </si>
  <si>
    <t>Desk Lamp</t>
  </si>
  <si>
    <t>Home &amp; Kitchen</t>
  </si>
  <si>
    <t>ORD01004</t>
  </si>
  <si>
    <t>C0086</t>
  </si>
  <si>
    <t>Consumer</t>
  </si>
  <si>
    <t>Indore</t>
  </si>
  <si>
    <t>Website</t>
  </si>
  <si>
    <t>P008</t>
  </si>
  <si>
    <t>Backpack</t>
  </si>
  <si>
    <t>Fashion</t>
  </si>
  <si>
    <t>ORD00359</t>
  </si>
  <si>
    <t>C0266</t>
  </si>
  <si>
    <t>Small Business</t>
  </si>
  <si>
    <t>Bengaluru</t>
  </si>
  <si>
    <t>Karnataka</t>
  </si>
  <si>
    <t>P004</t>
  </si>
  <si>
    <t>Water Bottle</t>
  </si>
  <si>
    <t>ORD00379</t>
  </si>
  <si>
    <t>Mumbai</t>
  </si>
  <si>
    <t>Maharashtra</t>
  </si>
  <si>
    <t>Credit Card</t>
  </si>
  <si>
    <t>ORD01461</t>
  </si>
  <si>
    <t>C0364</t>
  </si>
  <si>
    <t>P007</t>
  </si>
  <si>
    <t>Yoga Mat</t>
  </si>
  <si>
    <t>Sports</t>
  </si>
  <si>
    <t>ORD01344</t>
  </si>
  <si>
    <t>C0379</t>
  </si>
  <si>
    <t>Jaipur</t>
  </si>
  <si>
    <t>Rajasthan</t>
  </si>
  <si>
    <t>P002</t>
  </si>
  <si>
    <t>Mechanical Keyboard</t>
  </si>
  <si>
    <t>ORD00017</t>
  </si>
  <si>
    <t>C0260</t>
  </si>
  <si>
    <t>Delhi</t>
  </si>
  <si>
    <t>Debit Card</t>
  </si>
  <si>
    <t>P012</t>
  </si>
  <si>
    <t>Bluetooth Speaker</t>
  </si>
  <si>
    <t>ORD01039</t>
  </si>
  <si>
    <t>C0110</t>
  </si>
  <si>
    <t>P011</t>
  </si>
  <si>
    <t>Office Chair</t>
  </si>
  <si>
    <t>ORD01192</t>
  </si>
  <si>
    <t>C0098</t>
  </si>
  <si>
    <t>Pune</t>
  </si>
  <si>
    <t>P006</t>
  </si>
  <si>
    <t>Running Shoes</t>
  </si>
  <si>
    <t>ORD01160</t>
  </si>
  <si>
    <t>C0066</t>
  </si>
  <si>
    <t>P009</t>
  </si>
  <si>
    <t>Cotton T-Shirt</t>
  </si>
  <si>
    <t>ORD00943</t>
  </si>
  <si>
    <t>C0355</t>
  </si>
  <si>
    <t>Cash on Delivery</t>
  </si>
  <si>
    <t>ORD00004</t>
  </si>
  <si>
    <t>C0111</t>
  </si>
  <si>
    <t>P003</t>
  </si>
  <si>
    <t>USB-C Hub</t>
  </si>
  <si>
    <t>ORD00703</t>
  </si>
  <si>
    <t>C0292</t>
  </si>
  <si>
    <t>Ahmedabad</t>
  </si>
  <si>
    <t>Gujarat</t>
  </si>
  <si>
    <t>ORD00295</t>
  </si>
  <si>
    <t>C0363</t>
  </si>
  <si>
    <t>ORD00158</t>
  </si>
  <si>
    <t>C0073</t>
  </si>
  <si>
    <t>ORD01292</t>
  </si>
  <si>
    <t>C0338</t>
  </si>
  <si>
    <t>ORD00383</t>
  </si>
  <si>
    <t>C0319</t>
  </si>
  <si>
    <t>ORD00970</t>
  </si>
  <si>
    <t>C0207</t>
  </si>
  <si>
    <t>ORD00360</t>
  </si>
  <si>
    <t>C0068</t>
  </si>
  <si>
    <t>ORD00447</t>
  </si>
  <si>
    <t>C0193</t>
  </si>
  <si>
    <t>Kolkata</t>
  </si>
  <si>
    <t>West Bengal</t>
  </si>
  <si>
    <t>ORD00914</t>
  </si>
  <si>
    <t>C0109</t>
  </si>
  <si>
    <t>ORD01070</t>
  </si>
  <si>
    <t>C0057</t>
  </si>
  <si>
    <t>ORD01250</t>
  </si>
  <si>
    <t>C0365</t>
  </si>
  <si>
    <t>Lucknow</t>
  </si>
  <si>
    <t>Uttar Pradesh</t>
  </si>
  <si>
    <t>ORD00760</t>
  </si>
  <si>
    <t>C0113</t>
  </si>
  <si>
    <t>Chennai</t>
  </si>
  <si>
    <t>Tamil Nadu</t>
  </si>
  <si>
    <t>ORD01091</t>
  </si>
  <si>
    <t>C0418</t>
  </si>
  <si>
    <t>ORD00586</t>
  </si>
  <si>
    <t>C0186</t>
  </si>
  <si>
    <t>ORD00433</t>
  </si>
  <si>
    <t>C0213</t>
  </si>
  <si>
    <t>ORD01247</t>
  </si>
  <si>
    <t>C0241</t>
  </si>
  <si>
    <t>P010</t>
  </si>
  <si>
    <t>Notebook Set</t>
  </si>
  <si>
    <t>Stationery</t>
  </si>
  <si>
    <t>ORD01350</t>
  </si>
  <si>
    <t>C0439</t>
  </si>
  <si>
    <t>ORD00090</t>
  </si>
  <si>
    <t>C0284</t>
  </si>
  <si>
    <t>ORD00854</t>
  </si>
  <si>
    <t>C0387</t>
  </si>
  <si>
    <t>ORD00259</t>
  </si>
  <si>
    <t>C0388</t>
  </si>
  <si>
    <t>ORD00779</t>
  </si>
  <si>
    <t>C0313</t>
  </si>
  <si>
    <t>ORD01281</t>
  </si>
  <si>
    <t>C0059</t>
  </si>
  <si>
    <t>ORD00717</t>
  </si>
  <si>
    <t>C0180</t>
  </si>
  <si>
    <t>ORD00143</t>
  </si>
  <si>
    <t>C0009</t>
  </si>
  <si>
    <t>ORD00287</t>
  </si>
  <si>
    <t>ORD01264</t>
  </si>
  <si>
    <t>C0256</t>
  </si>
  <si>
    <t>ORD00277</t>
  </si>
  <si>
    <t>C0229</t>
  </si>
  <si>
    <t>ORD00291</t>
  </si>
  <si>
    <t>C0214</t>
  </si>
  <si>
    <t>ORD01129</t>
  </si>
  <si>
    <t>C0228</t>
  </si>
  <si>
    <t>ORD01321</t>
  </si>
  <si>
    <t>C0146</t>
  </si>
  <si>
    <t>ORD00958</t>
  </si>
  <si>
    <t>C0424</t>
  </si>
  <si>
    <t>ORD00166</t>
  </si>
  <si>
    <t>C0294</t>
  </si>
  <si>
    <t>ORD00402</t>
  </si>
  <si>
    <t>C0401</t>
  </si>
  <si>
    <t>ORD00884</t>
  </si>
  <si>
    <t>ORD00419</t>
  </si>
  <si>
    <t>C0088</t>
  </si>
  <si>
    <t>ORD01096</t>
  </si>
  <si>
    <t>C0378</t>
  </si>
  <si>
    <t>ORD01471</t>
  </si>
  <si>
    <t>C0393</t>
  </si>
  <si>
    <t>ORD00643</t>
  </si>
  <si>
    <t>C0293</t>
  </si>
  <si>
    <t>ORD01146</t>
  </si>
  <si>
    <t>ORD00613</t>
  </si>
  <si>
    <t>C0367</t>
  </si>
  <si>
    <t>ORD00551</t>
  </si>
  <si>
    <t>C0069</t>
  </si>
  <si>
    <t>ORD00715</t>
  </si>
  <si>
    <t>C0103</t>
  </si>
  <si>
    <t>ORD01065</t>
  </si>
  <si>
    <t>C0291</t>
  </si>
  <si>
    <t>ORD01276</t>
  </si>
  <si>
    <t>ORD00974</t>
  </si>
  <si>
    <t>C0124</t>
  </si>
  <si>
    <t>ORD00522</t>
  </si>
  <si>
    <t>C0028</t>
  </si>
  <si>
    <t>ORD00684</t>
  </si>
  <si>
    <t>C0047</t>
  </si>
  <si>
    <t>ORD01430</t>
  </si>
  <si>
    <t>C0334</t>
  </si>
  <si>
    <t>ORD00505</t>
  </si>
  <si>
    <t>C0137</t>
  </si>
  <si>
    <t>ORD00826</t>
  </si>
  <si>
    <t>C0048</t>
  </si>
  <si>
    <t>ORD01402</t>
  </si>
  <si>
    <t>C0247</t>
  </si>
  <si>
    <t>ORD01245</t>
  </si>
  <si>
    <t>C0055</t>
  </si>
  <si>
    <t>ORD00452</t>
  </si>
  <si>
    <t>C0208</t>
  </si>
  <si>
    <t>ORD00946</t>
  </si>
  <si>
    <t>C0432</t>
  </si>
  <si>
    <t>ORD00874</t>
  </si>
  <si>
    <t>C0183</t>
  </si>
  <si>
    <t>ORD00986</t>
  </si>
  <si>
    <t>C0157</t>
  </si>
  <si>
    <t>ORD00445</t>
  </si>
  <si>
    <t>C0332</t>
  </si>
  <si>
    <t>ORD01024</t>
  </si>
  <si>
    <t>C0172</t>
  </si>
  <si>
    <t>ORD01366</t>
  </si>
  <si>
    <t>C0315</t>
  </si>
  <si>
    <t>ORD01337</t>
  </si>
  <si>
    <t>C0061</t>
  </si>
  <si>
    <t>ORD01325</t>
  </si>
  <si>
    <t>C0166</t>
  </si>
  <si>
    <t>ORD00967</t>
  </si>
  <si>
    <t>C0044</t>
  </si>
  <si>
    <t>ORD01385</t>
  </si>
  <si>
    <t>C0348</t>
  </si>
  <si>
    <t>ORD01132</t>
  </si>
  <si>
    <t>C0281</t>
  </si>
  <si>
    <t>ORD01275</t>
  </si>
  <si>
    <t>C0243</t>
  </si>
  <si>
    <t>ORD00011</t>
  </si>
  <si>
    <t>C0449</t>
  </si>
  <si>
    <t>ORD01361</t>
  </si>
  <si>
    <t>C0205</t>
  </si>
  <si>
    <t>ORD00442</t>
  </si>
  <si>
    <t>C0189</t>
  </si>
  <si>
    <t>ORD01290</t>
  </si>
  <si>
    <t>C0398</t>
  </si>
  <si>
    <t>ORD01379</t>
  </si>
  <si>
    <t>C0022</t>
  </si>
  <si>
    <t>ORD01085</t>
  </si>
  <si>
    <t>C0416</t>
  </si>
  <si>
    <t>ORD01187</t>
  </si>
  <si>
    <t>C0004</t>
  </si>
  <si>
    <t>ORD00116</t>
  </si>
  <si>
    <t>C0448</t>
  </si>
  <si>
    <t>ORD01283</t>
  </si>
  <si>
    <t>C0280</t>
  </si>
  <si>
    <t>ORD01015</t>
  </si>
  <si>
    <t>ORD00692</t>
  </si>
  <si>
    <t>C0153</t>
  </si>
  <si>
    <t>ORD01260</t>
  </si>
  <si>
    <t>C0321</t>
  </si>
  <si>
    <t>ORD00644</t>
  </si>
  <si>
    <t>C0299</t>
  </si>
  <si>
    <t>ORD00035</t>
  </si>
  <si>
    <t>C0268</t>
  </si>
  <si>
    <t>ORD00286</t>
  </si>
  <si>
    <t>C0246</t>
  </si>
  <si>
    <t>ORD00474</t>
  </si>
  <si>
    <t>C0121</t>
  </si>
  <si>
    <t>ORD00103</t>
  </si>
  <si>
    <t>C0093</t>
  </si>
  <si>
    <t>ORD01358</t>
  </si>
  <si>
    <t>C0251</t>
  </si>
  <si>
    <t>ORD00393</t>
  </si>
  <si>
    <t>ORD01124</t>
  </si>
  <si>
    <t>C0267</t>
  </si>
  <si>
    <t>ORD00250</t>
  </si>
  <si>
    <t>ORD00851</t>
  </si>
  <si>
    <t>C0309</t>
  </si>
  <si>
    <t>ORD01327</t>
  </si>
  <si>
    <t>C0169</t>
  </si>
  <si>
    <t>ORD00631</t>
  </si>
  <si>
    <t>C0249</t>
  </si>
  <si>
    <t>ORD01080</t>
  </si>
  <si>
    <t>C0176</t>
  </si>
  <si>
    <t>ORD01415</t>
  </si>
  <si>
    <t>C0027</t>
  </si>
  <si>
    <t>ORD00325</t>
  </si>
  <si>
    <t>C0408</t>
  </si>
  <si>
    <t>ORD00271</t>
  </si>
  <si>
    <t>C0036</t>
  </si>
  <si>
    <t>ORD00382</t>
  </si>
  <si>
    <t>C0168</t>
  </si>
  <si>
    <t>ORD00059</t>
  </si>
  <si>
    <t>ORD00483</t>
  </si>
  <si>
    <t>C0445</t>
  </si>
  <si>
    <t>ORD01324</t>
  </si>
  <si>
    <t>C0063</t>
  </si>
  <si>
    <t>ORD00819</t>
  </si>
  <si>
    <t>C0083</t>
  </si>
  <si>
    <t>ORD00417</t>
  </si>
  <si>
    <t>C0253</t>
  </si>
  <si>
    <t>ORD00633</t>
  </si>
  <si>
    <t>C0107</t>
  </si>
  <si>
    <t>ORD00437</t>
  </si>
  <si>
    <t>C0173</t>
  </si>
  <si>
    <t>ORD01196</t>
  </si>
  <si>
    <t>C0005</t>
  </si>
  <si>
    <t>ORD01102</t>
  </si>
  <si>
    <t>C0089</t>
  </si>
  <si>
    <t>ORD00179</t>
  </si>
  <si>
    <t>C0286</t>
  </si>
  <si>
    <t>ORD00682</t>
  </si>
  <si>
    <t>C0232</t>
  </si>
  <si>
    <t>ORD00509</t>
  </si>
  <si>
    <t>C0425</t>
  </si>
  <si>
    <t>ORD00107</t>
  </si>
  <si>
    <t>C0227</t>
  </si>
  <si>
    <t>ORD01278</t>
  </si>
  <si>
    <t>C0085</t>
  </si>
  <si>
    <t>ORD00601</t>
  </si>
  <si>
    <t>C0135</t>
  </si>
  <si>
    <t>ORD00790</t>
  </si>
  <si>
    <t>ORD00121</t>
  </si>
  <si>
    <t>C0272</t>
  </si>
  <si>
    <t>ORD01406</t>
  </si>
  <si>
    <t>C0023</t>
  </si>
  <si>
    <t>ORD00404</t>
  </si>
  <si>
    <t>C0052</t>
  </si>
  <si>
    <t>ORD01484</t>
  </si>
  <si>
    <t>C0019</t>
  </si>
  <si>
    <t>ORD01121</t>
  </si>
  <si>
    <t>C0226</t>
  </si>
  <si>
    <t>ORD01414</t>
  </si>
  <si>
    <t>C0442</t>
  </si>
  <si>
    <t>ORD00623</t>
  </si>
  <si>
    <t>C0065</t>
  </si>
  <si>
    <t>ORD01427</t>
  </si>
  <si>
    <t>C0433</t>
  </si>
  <si>
    <t>ORD00263</t>
  </si>
  <si>
    <t>C0352</t>
  </si>
  <si>
    <t>ORD00629</t>
  </si>
  <si>
    <t>C0350</t>
  </si>
  <si>
    <t>ORD00015</t>
  </si>
  <si>
    <t>ORD00450</t>
  </si>
  <si>
    <t>C0134</t>
  </si>
  <si>
    <t>ORD01049</t>
  </si>
  <si>
    <t>ORD00397</t>
  </si>
  <si>
    <t>C0434</t>
  </si>
  <si>
    <t>ORD00662</t>
  </si>
  <si>
    <t>C0010</t>
  </si>
  <si>
    <t>ORD00432</t>
  </si>
  <si>
    <t>ORD01495</t>
  </si>
  <si>
    <t>C0008</t>
  </si>
  <si>
    <t>ORD00211</t>
  </si>
  <si>
    <t>ORD00199</t>
  </si>
  <si>
    <t>C0200</t>
  </si>
  <si>
    <t>ORD00141</t>
  </si>
  <si>
    <t>C0397</t>
  </si>
  <si>
    <t>ORD00627</t>
  </si>
  <si>
    <t>C0188</t>
  </si>
  <si>
    <t>ORD00112</t>
  </si>
  <si>
    <t>ORD00523</t>
  </si>
  <si>
    <t>C0231</t>
  </si>
  <si>
    <t>ORD00368</t>
  </si>
  <si>
    <t>ORD00098</t>
  </si>
  <si>
    <t>C0412</t>
  </si>
  <si>
    <t>ORD01399</t>
  </si>
  <si>
    <t>C0037</t>
  </si>
  <si>
    <t>ORD00174</t>
  </si>
  <si>
    <t>C0426</t>
  </si>
  <si>
    <t>ORD01184</t>
  </si>
  <si>
    <t>C0217</t>
  </si>
  <si>
    <t>ORD00077</t>
  </si>
  <si>
    <t>C0357</t>
  </si>
  <si>
    <t>ORD01079</t>
  </si>
  <si>
    <t>ORD00305</t>
  </si>
  <si>
    <t>C0347</t>
  </si>
  <si>
    <t>ORD01408</t>
  </si>
  <si>
    <t>C0377</t>
  </si>
  <si>
    <t>ORD01303</t>
  </si>
  <si>
    <t>C0252</t>
  </si>
  <si>
    <t>ORD00267</t>
  </si>
  <si>
    <t>ORD01497</t>
  </si>
  <si>
    <t>C0092</t>
  </si>
  <si>
    <t>ORD01411</t>
  </si>
  <si>
    <t>C0380</t>
  </si>
  <si>
    <t>ORD01299</t>
  </si>
  <si>
    <t>C0325</t>
  </si>
  <si>
    <t>ORD01097</t>
  </si>
  <si>
    <t>C0078</t>
  </si>
  <si>
    <t>ORD01400</t>
  </si>
  <si>
    <t>ORD00273</t>
  </si>
  <si>
    <t>C0441</t>
  </si>
  <si>
    <t>ORD00980</t>
  </si>
  <si>
    <t>ORD00225</t>
  </si>
  <si>
    <t>C0108</t>
  </si>
  <si>
    <t>ORD01277</t>
  </si>
  <si>
    <t>ORD01056</t>
  </si>
  <si>
    <t>C0041</t>
  </si>
  <si>
    <t>ORD00858</t>
  </si>
  <si>
    <t>C0308</t>
  </si>
  <si>
    <t>ORD00302</t>
  </si>
  <si>
    <t>C0440</t>
  </si>
  <si>
    <t>ORD00071</t>
  </si>
  <si>
    <t>ORD01476</t>
  </si>
  <si>
    <t>ORD00752</t>
  </si>
  <si>
    <t>C0395</t>
  </si>
  <si>
    <t>ORD01053</t>
  </si>
  <si>
    <t>C0181</t>
  </si>
  <si>
    <t>ORD00152</t>
  </si>
  <si>
    <t>C0285</t>
  </si>
  <si>
    <t>ORD00309</t>
  </si>
  <si>
    <t>C0138</t>
  </si>
  <si>
    <t>ORD00020</t>
  </si>
  <si>
    <t>ORD00947</t>
  </si>
  <si>
    <t>C0012</t>
  </si>
  <si>
    <t>ORD00572</t>
  </si>
  <si>
    <t>C0301</t>
  </si>
  <si>
    <t>ORD00720</t>
  </si>
  <si>
    <t>C0323</t>
  </si>
  <si>
    <t>ORD00364</t>
  </si>
  <si>
    <t>C0197</t>
  </si>
  <si>
    <t>ORD00401</t>
  </si>
  <si>
    <t>C0409</t>
  </si>
  <si>
    <t>ORD01161</t>
  </si>
  <si>
    <t>ORD00002</t>
  </si>
  <si>
    <t>C0120</t>
  </si>
  <si>
    <t>ORD01138</t>
  </si>
  <si>
    <t>C0382</t>
  </si>
  <si>
    <t>ORD00714</t>
  </si>
  <si>
    <t>ORD00489</t>
  </si>
  <si>
    <t>C0335</t>
  </si>
  <si>
    <t>ORD00734</t>
  </si>
  <si>
    <t>C0437</t>
  </si>
  <si>
    <t>ORD00312</t>
  </si>
  <si>
    <t>C0443</t>
  </si>
  <si>
    <t>ORD00934</t>
  </si>
  <si>
    <t>ORD00232</t>
  </si>
  <si>
    <t>ORD01136</t>
  </si>
  <si>
    <t>C0034</t>
  </si>
  <si>
    <t>ORD00408</t>
  </si>
  <si>
    <t>C0245</t>
  </si>
  <si>
    <t>ORD00102</t>
  </si>
  <si>
    <t>C0392</t>
  </si>
  <si>
    <t>ORD00104</t>
  </si>
  <si>
    <t>C0054</t>
  </si>
  <si>
    <t>ORD00159</t>
  </si>
  <si>
    <t>C0175</t>
  </si>
  <si>
    <t>ORD00387</t>
  </si>
  <si>
    <t>C0191</t>
  </si>
  <si>
    <t>ORD01298</t>
  </si>
  <si>
    <t>C0015</t>
  </si>
  <si>
    <t>ORD00722</t>
  </si>
  <si>
    <t>C0330</t>
  </si>
  <si>
    <t>ORD00353</t>
  </si>
  <si>
    <t>ORD00183</t>
  </si>
  <si>
    <t>ORD00301</t>
  </si>
  <si>
    <t>C0327</t>
  </si>
  <si>
    <t>ORD01173</t>
  </si>
  <si>
    <t>C0139</t>
  </si>
  <si>
    <t>ORD00485</t>
  </si>
  <si>
    <t>C0340</t>
  </si>
  <si>
    <t>ORD01029</t>
  </si>
  <si>
    <t>C0320</t>
  </si>
  <si>
    <t>ORD00843</t>
  </si>
  <si>
    <t>ORD00136</t>
  </si>
  <si>
    <t>C0190</t>
  </si>
  <si>
    <t>ORD01373</t>
  </si>
  <si>
    <t>ORD00560</t>
  </si>
  <si>
    <t>ORD00326</t>
  </si>
  <si>
    <t>C0298</t>
  </si>
  <si>
    <t>ORD00592</t>
  </si>
  <si>
    <t>C0430</t>
  </si>
  <si>
    <t>ORD01209</t>
  </si>
  <si>
    <t>C0372</t>
  </si>
  <si>
    <t>ORD00386</t>
  </si>
  <si>
    <t>C0031</t>
  </si>
  <si>
    <t>ORD00791</t>
  </si>
  <si>
    <t>C0403</t>
  </si>
  <si>
    <t>ORD00521</t>
  </si>
  <si>
    <t>C0419</t>
  </si>
  <si>
    <t>ORD00481</t>
  </si>
  <si>
    <t>C0225</t>
  </si>
  <si>
    <t>ORD01487</t>
  </si>
  <si>
    <t>ORD01334</t>
  </si>
  <si>
    <t>ORD01221</t>
  </si>
  <si>
    <t>ORD01134</t>
  </si>
  <si>
    <t>ORD00780</t>
  </si>
  <si>
    <t>ORD01141</t>
  </si>
  <si>
    <t>ORD00495</t>
  </si>
  <si>
    <t>ORD01481</t>
  </si>
  <si>
    <t>ORD00496</t>
  </si>
  <si>
    <t>C0396</t>
  </si>
  <si>
    <t>ORD01089</t>
  </si>
  <si>
    <t>ORD01482</t>
  </si>
  <si>
    <t>C0288</t>
  </si>
  <si>
    <t>ORD01117</t>
  </si>
  <si>
    <t>C0384</t>
  </si>
  <si>
    <t>ORD01067</t>
  </si>
  <si>
    <t>ORD00556</t>
  </si>
  <si>
    <t>C0311</t>
  </si>
  <si>
    <t>ORD00697</t>
  </si>
  <si>
    <t>C0248</t>
  </si>
  <si>
    <t>ORD00145</t>
  </si>
  <si>
    <t>C0402</t>
  </si>
  <si>
    <t>ORD00693</t>
  </si>
  <si>
    <t>C0339</t>
  </si>
  <si>
    <t>ORD01243</t>
  </si>
  <si>
    <t>C0236</t>
  </si>
  <si>
    <t>ORD01341</t>
  </si>
  <si>
    <t>C0123</t>
  </si>
  <si>
    <t>ORD01302</t>
  </si>
  <si>
    <t>C0145</t>
  </si>
  <si>
    <t>ORD00475</t>
  </si>
  <si>
    <t>C0039</t>
  </si>
  <si>
    <t>ORD00763</t>
  </si>
  <si>
    <t>ORD00410</t>
  </si>
  <si>
    <t>ORD01016</t>
  </si>
  <si>
    <t>C0100</t>
  </si>
  <si>
    <t>ORD00814</t>
  </si>
  <si>
    <t>C0322</t>
  </si>
  <si>
    <t>ORD00620</t>
  </si>
  <si>
    <t>C0407</t>
  </si>
  <si>
    <t>ORD00683</t>
  </si>
  <si>
    <t>C0202</t>
  </si>
  <si>
    <t>ORD00493</t>
  </si>
  <si>
    <t>C0182</t>
  </si>
  <si>
    <t>ORD01413</t>
  </si>
  <si>
    <t>C0302</t>
  </si>
  <si>
    <t>ORD00940</t>
  </si>
  <si>
    <t>C0024</t>
  </si>
  <si>
    <t>ORD00162</t>
  </si>
  <si>
    <t>C0270</t>
  </si>
  <si>
    <t>ORD01291</t>
  </si>
  <si>
    <t>C0212</t>
  </si>
  <si>
    <t>ORD01000</t>
  </si>
  <si>
    <t>ORD00876</t>
  </si>
  <si>
    <t>ORD01308</t>
  </si>
  <si>
    <t>C0373</t>
  </si>
  <si>
    <t>ORD01387</t>
  </si>
  <si>
    <t>ORD01041</t>
  </si>
  <si>
    <t>ORD00923</t>
  </si>
  <si>
    <t>C0235</t>
  </si>
  <si>
    <t>ORD01133</t>
  </si>
  <si>
    <t>ORD00792</t>
  </si>
  <si>
    <t>C0297</t>
  </si>
  <si>
    <t>ORD00788</t>
  </si>
  <si>
    <t>ORD00110</t>
  </si>
  <si>
    <t>C0362</t>
  </si>
  <si>
    <t>ORD01440</t>
  </si>
  <si>
    <t>C0254</t>
  </si>
  <si>
    <t>ORD01234</t>
  </si>
  <si>
    <t>ORD01194</t>
  </si>
  <si>
    <t>C0385</t>
  </si>
  <si>
    <t>ORD00848</t>
  </si>
  <si>
    <t>C0117</t>
  </si>
  <si>
    <t>ORD01057</t>
  </si>
  <si>
    <t>C0101</t>
  </si>
  <si>
    <t>ORD00861</t>
  </si>
  <si>
    <t>ORD00932</t>
  </si>
  <si>
    <t>ORD00999</t>
  </si>
  <si>
    <t>ORD00078</t>
  </si>
  <si>
    <t>ORD01090</t>
  </si>
  <si>
    <t>ORD00771</t>
  </si>
  <si>
    <t>C0156</t>
  </si>
  <si>
    <t>ORD01155</t>
  </si>
  <si>
    <t>ORD01307</t>
  </si>
  <si>
    <t>C0263</t>
  </si>
  <si>
    <t>ORD00964</t>
  </si>
  <si>
    <t>C0428</t>
  </si>
  <si>
    <t>ORD00685</t>
  </si>
  <si>
    <t>C0269</t>
  </si>
  <si>
    <t>ORD00924</t>
  </si>
  <si>
    <t>ORD00857</t>
  </si>
  <si>
    <t>C0361</t>
  </si>
  <si>
    <t>ORD01320</t>
  </si>
  <si>
    <t>C0122</t>
  </si>
  <si>
    <t>ORD01498</t>
  </si>
  <si>
    <t>ORD00144</t>
  </si>
  <si>
    <t>C0230</t>
  </si>
  <si>
    <t>ORD01442</t>
  </si>
  <si>
    <t>ORD01048</t>
  </si>
  <si>
    <t>C0042</t>
  </si>
  <si>
    <t>ORD01425</t>
  </si>
  <si>
    <t>C0026</t>
  </si>
  <si>
    <t>ORD01139</t>
  </si>
  <si>
    <t>C0032</t>
  </si>
  <si>
    <t>ORD00533</t>
  </si>
  <si>
    <t>ORD01384</t>
  </si>
  <si>
    <t>C0317</t>
  </si>
  <si>
    <t>ORD00983</t>
  </si>
  <si>
    <t>ORD00462</t>
  </si>
  <si>
    <t>ORD00849</t>
  </si>
  <si>
    <t>ORD01208</t>
  </si>
  <si>
    <t>ORD00512</t>
  </si>
  <si>
    <t>C0239</t>
  </si>
  <si>
    <t>ORD00589</t>
  </si>
  <si>
    <t>ORD00955</t>
  </si>
  <si>
    <t>ORD01195</t>
  </si>
  <si>
    <t>C0177</t>
  </si>
  <si>
    <t>ORD01148</t>
  </si>
  <si>
    <t>ORD00311</t>
  </si>
  <si>
    <t>ORD00362</t>
  </si>
  <si>
    <t>C0289</t>
  </si>
  <si>
    <t>ORD00040</t>
  </si>
  <si>
    <t>C0140</t>
  </si>
  <si>
    <t>ORD00541</t>
  </si>
  <si>
    <t>C0258</t>
  </si>
  <si>
    <t>ORD00234</t>
  </si>
  <si>
    <t>C0206</t>
  </si>
  <si>
    <t>ORD00441</t>
  </si>
  <si>
    <t>ORD01363</t>
  </si>
  <si>
    <t>ORD00834</t>
  </si>
  <si>
    <t>ORD00676</t>
  </si>
  <si>
    <t>ORD00478</t>
  </si>
  <si>
    <t>ORD01393</t>
  </si>
  <si>
    <t>ORD00832</t>
  </si>
  <si>
    <t>C0244</t>
  </si>
  <si>
    <t>ORD01127</t>
  </si>
  <si>
    <t>ORD00847</t>
  </si>
  <si>
    <t>ORD00306</t>
  </si>
  <si>
    <t>C0051</t>
  </si>
  <si>
    <t>ORD00892</t>
  </si>
  <si>
    <t>ORD00261</t>
  </si>
  <si>
    <t>ORD00365</t>
  </si>
  <si>
    <t>ORD00230</t>
  </si>
  <si>
    <t>C0128</t>
  </si>
  <si>
    <t>ORD01452</t>
  </si>
  <si>
    <t>C0307</t>
  </si>
  <si>
    <t>ORD00778</t>
  </si>
  <si>
    <t>C0125</t>
  </si>
  <si>
    <t>ORD00718</t>
  </si>
  <si>
    <t>ORD00415</t>
  </si>
  <si>
    <t>ORD00919</t>
  </si>
  <si>
    <t>C0447</t>
  </si>
  <si>
    <t>ORD00460</t>
  </si>
  <si>
    <t>C0171</t>
  </si>
  <si>
    <t>ORD00237</t>
  </si>
  <si>
    <t>ORD00739</t>
  </si>
  <si>
    <t>ORD01316</t>
  </si>
  <si>
    <t>ORD00590</t>
  </si>
  <si>
    <t>ORD00506</t>
  </si>
  <si>
    <t>C0017</t>
  </si>
  <si>
    <t>ORD01336</t>
  </si>
  <si>
    <t>ORD00430</t>
  </si>
  <si>
    <t>ORD00732</t>
  </si>
  <si>
    <t>C0316</t>
  </si>
  <si>
    <t>ORD00658</t>
  </si>
  <si>
    <t>ORD00044</t>
  </si>
  <si>
    <t>C0184</t>
  </si>
  <si>
    <t>ORD00486</t>
  </si>
  <si>
    <t>ORD00937</t>
  </si>
  <si>
    <t>C0219</t>
  </si>
  <si>
    <t>ORD00922</t>
  </si>
  <si>
    <t>C0084</t>
  </si>
  <si>
    <t>ORD01237</t>
  </si>
  <si>
    <t>C0370</t>
  </si>
  <si>
    <t>ORD00673</t>
  </si>
  <si>
    <t>ORD01477</t>
  </si>
  <si>
    <t>ORD00650</t>
  </si>
  <si>
    <t>C0295</t>
  </si>
  <si>
    <t>ORD00265</t>
  </si>
  <si>
    <t>C0360</t>
  </si>
  <si>
    <t>ORD00738</t>
  </si>
  <si>
    <t>C0006</t>
  </si>
  <si>
    <t>ORD00513</t>
  </si>
  <si>
    <t>C0155</t>
  </si>
  <si>
    <t>ORD01210</t>
  </si>
  <si>
    <t>C0130</t>
  </si>
  <si>
    <t>ORD01109</t>
  </si>
  <si>
    <t>ORD01360</t>
  </si>
  <si>
    <t>C0300</t>
  </si>
  <si>
    <t>ORD00582</t>
  </si>
  <si>
    <t>ORD00527</t>
  </si>
  <si>
    <t>C0152</t>
  </si>
  <si>
    <t>ORD00984</t>
  </si>
  <si>
    <t>ORD00957</t>
  </si>
  <si>
    <t>ORD00784</t>
  </si>
  <si>
    <t>ORD00671</t>
  </si>
  <si>
    <t>C0163</t>
  </si>
  <si>
    <t>ORD00356</t>
  </si>
  <si>
    <t>ORD00124</t>
  </si>
  <si>
    <t>C0328</t>
  </si>
  <si>
    <t>ORD01072</t>
  </si>
  <si>
    <t>ORD00515</t>
  </si>
  <si>
    <t>C0114</t>
  </si>
  <si>
    <t>ORD00900</t>
  </si>
  <si>
    <t>C0141</t>
  </si>
  <si>
    <t>ORD00853</t>
  </si>
  <si>
    <t>ORD00956</t>
  </si>
  <si>
    <t>ORD01473</t>
  </si>
  <si>
    <t>ORD01083</t>
  </si>
  <si>
    <t>C0151</t>
  </si>
  <si>
    <t>ORD00687</t>
  </si>
  <si>
    <t>C0158</t>
  </si>
  <si>
    <t>ORD01111</t>
  </si>
  <si>
    <t>ORD00076</t>
  </si>
  <si>
    <t>ORD00375</t>
  </si>
  <si>
    <t>C0133</t>
  </si>
  <si>
    <t>ORD01169</t>
  </si>
  <si>
    <t>C0014</t>
  </si>
  <si>
    <t>ORD00968</t>
  </si>
  <si>
    <t>C0030</t>
  </si>
  <si>
    <t>ORD00021</t>
  </si>
  <si>
    <t>C0277</t>
  </si>
  <si>
    <t>ORD00070</t>
  </si>
  <si>
    <t>ORD01488</t>
  </si>
  <si>
    <t>ORD00378</t>
  </si>
  <si>
    <t>C0371</t>
  </si>
  <si>
    <t>ORD01212</t>
  </si>
  <si>
    <t>C0290</t>
  </si>
  <si>
    <t>ORD00754</t>
  </si>
  <si>
    <t>C0386</t>
  </si>
  <si>
    <t>ORD01084</t>
  </si>
  <si>
    <t>ORD00468</t>
  </si>
  <si>
    <t>ORD01265</t>
  </si>
  <si>
    <t>ORD00314</t>
  </si>
  <si>
    <t>C0033</t>
  </si>
  <si>
    <t>ORD00603</t>
  </si>
  <si>
    <t>C0240</t>
  </si>
  <si>
    <t>ORD01376</t>
  </si>
  <si>
    <t>ORD00798</t>
  </si>
  <si>
    <t>ORD00122</t>
  </si>
  <si>
    <t>ORD01345</t>
  </si>
  <si>
    <t>C0234</t>
  </si>
  <si>
    <t>ORD01174</t>
  </si>
  <si>
    <t>C0413</t>
  </si>
  <si>
    <t>ORD01162</t>
  </si>
  <si>
    <t>C0154</t>
  </si>
  <si>
    <t>ORD00246</t>
  </si>
  <si>
    <t>ORD00906</t>
  </si>
  <si>
    <t>ORD00171</t>
  </si>
  <si>
    <t>ORD00646</t>
  </si>
  <si>
    <t>C0305</t>
  </si>
  <si>
    <t>ORD00130</t>
  </si>
  <si>
    <t>C0257</t>
  </si>
  <si>
    <t>ORD00773</t>
  </si>
  <si>
    <t>ORD00406</t>
  </si>
  <si>
    <t>ORD01225</t>
  </si>
  <si>
    <t>ORD01068</t>
  </si>
  <si>
    <t>C0096</t>
  </si>
  <si>
    <t>ORD00046</t>
  </si>
  <si>
    <t>C0411</t>
  </si>
  <si>
    <t>ORD00866</t>
  </si>
  <si>
    <t>ORD00860</t>
  </si>
  <si>
    <t>ORD00380</t>
  </si>
  <si>
    <t>C0165</t>
  </si>
  <si>
    <t>ORD01305</t>
  </si>
  <si>
    <t>ORD00856</t>
  </si>
  <si>
    <t>ORD00455</t>
  </si>
  <si>
    <t>C0414</t>
  </si>
  <si>
    <t>ORD00820</t>
  </si>
  <si>
    <t>ORD00092</t>
  </si>
  <si>
    <t>ORD01426</t>
  </si>
  <si>
    <t>ORD00852</t>
  </si>
  <si>
    <t>C0143</t>
  </si>
  <si>
    <t>ORD01224</t>
  </si>
  <si>
    <t>ORD00664</t>
  </si>
  <si>
    <t>ORD00339</t>
  </si>
  <si>
    <t>ORD00340</t>
  </si>
  <si>
    <t>ORD00511</t>
  </si>
  <si>
    <t>C0220</t>
  </si>
  <si>
    <t>ORD00813</t>
  </si>
  <si>
    <t>C0040</t>
  </si>
  <si>
    <t>ORD00451</t>
  </si>
  <si>
    <t>ORD01458</t>
  </si>
  <si>
    <t>ORD00026</t>
  </si>
  <si>
    <t>C0211</t>
  </si>
  <si>
    <t>ORD00052</t>
  </si>
  <si>
    <t>ORD01182</t>
  </si>
  <si>
    <t>ORD00681</t>
  </si>
  <si>
    <t>ORD01014</t>
  </si>
  <si>
    <t>ORD00028</t>
  </si>
  <si>
    <t>ORD01390</t>
  </si>
  <si>
    <t>C0018</t>
  </si>
  <si>
    <t>ORD00088</t>
  </si>
  <si>
    <t>ORD00761</t>
  </si>
  <si>
    <t>C0337</t>
  </si>
  <si>
    <t>ORD00188</t>
  </si>
  <si>
    <t>C0394</t>
  </si>
  <si>
    <t>ORD00531</t>
  </si>
  <si>
    <t>C0237</t>
  </si>
  <si>
    <t>ORD01032</t>
  </si>
  <si>
    <t>C0216</t>
  </si>
  <si>
    <t>ORD00704</t>
  </si>
  <si>
    <t>ORD01254</t>
  </si>
  <si>
    <t>C0399</t>
  </si>
  <si>
    <t>ORD01258</t>
  </si>
  <si>
    <t>ORD01453</t>
  </si>
  <si>
    <t>ORD00235</t>
  </si>
  <si>
    <t>ORD01043</t>
  </si>
  <si>
    <t>ORD00850</t>
  </si>
  <si>
    <t>ORD01120</t>
  </si>
  <si>
    <t>C0417</t>
  </si>
  <si>
    <t>ORD00862</t>
  </si>
  <si>
    <t>ORD01201</t>
  </si>
  <si>
    <t>ORD00794</t>
  </si>
  <si>
    <t>ORD00215</t>
  </si>
  <si>
    <t>C0366</t>
  </si>
  <si>
    <t>ORD00886</t>
  </si>
  <si>
    <t>C0351</t>
  </si>
  <si>
    <t>ORD00766</t>
  </si>
  <si>
    <t>C0074</t>
  </si>
  <si>
    <t>ORD00409</t>
  </si>
  <si>
    <t>ORD01256</t>
  </si>
  <si>
    <t>ORD01229</t>
  </si>
  <si>
    <t>ORD01003</t>
  </si>
  <si>
    <t>ORD01429</t>
  </si>
  <si>
    <t>C0329</t>
  </si>
  <si>
    <t>ORD00564</t>
  </si>
  <si>
    <t>ORD00228</t>
  </si>
  <si>
    <t>ORD00677</t>
  </si>
  <si>
    <t>C0353</t>
  </si>
  <si>
    <t>ORD00334</t>
  </si>
  <si>
    <t>C0410</t>
  </si>
  <si>
    <t>ORD00733</t>
  </si>
  <si>
    <t>ORD01470</t>
  </si>
  <si>
    <t>C0067</t>
  </si>
  <si>
    <t>ORD00882</t>
  </si>
  <si>
    <t>ORD00659</t>
  </si>
  <si>
    <t>ORD00588</t>
  </si>
  <si>
    <t>C0144</t>
  </si>
  <si>
    <t>ORD01218</t>
  </si>
  <si>
    <t>C0310</t>
  </si>
  <si>
    <t>ORD00549</t>
  </si>
  <si>
    <t>ORD01432</t>
  </si>
  <si>
    <t>ORD00942</t>
  </si>
  <si>
    <t>ORD00530</t>
  </si>
  <si>
    <t>C0095</t>
  </si>
  <si>
    <t>ORD01332</t>
  </si>
  <si>
    <t>C0250</t>
  </si>
  <si>
    <t>ORD00251</t>
  </si>
  <si>
    <t>ORD00855</t>
  </si>
  <si>
    <t>ORD01261</t>
  </si>
  <si>
    <t>C0265</t>
  </si>
  <si>
    <t>ORD00195</t>
  </si>
  <si>
    <t>ORD00370</t>
  </si>
  <si>
    <t>ORD01165</t>
  </si>
  <si>
    <t>ORD00795</t>
  </si>
  <si>
    <t>ORD01284</t>
  </si>
  <si>
    <t>ORD00345</t>
  </si>
  <si>
    <t>ORD00448</t>
  </si>
  <si>
    <t>ORD00128</t>
  </si>
  <si>
    <t>C0050</t>
  </si>
  <si>
    <t>ORD00061</t>
  </si>
  <si>
    <t>ORD01088</t>
  </si>
  <si>
    <t>ORD00163</t>
  </si>
  <si>
    <t>ORD00169</t>
  </si>
  <si>
    <t>ORD00086</t>
  </si>
  <si>
    <t>ORD00584</t>
  </si>
  <si>
    <t>ORD01202</t>
  </si>
  <si>
    <t>ORD01456</t>
  </si>
  <si>
    <t>C0142</t>
  </si>
  <si>
    <t>ORD01271</t>
  </si>
  <si>
    <t>ORD00488</t>
  </si>
  <si>
    <t>ORD00155</t>
  </si>
  <si>
    <t>C0391</t>
  </si>
  <si>
    <t>ORD00023</t>
  </si>
  <si>
    <t>ORD01145</t>
  </si>
  <si>
    <t>C0201</t>
  </si>
  <si>
    <t>ORD01326</t>
  </si>
  <si>
    <t>C0003</t>
  </si>
  <si>
    <t>ORD00859</t>
  </si>
  <si>
    <t>C0431</t>
  </si>
  <si>
    <t>ORD01405</t>
  </si>
  <si>
    <t>ORD00648</t>
  </si>
  <si>
    <t>ORD01348</t>
  </si>
  <si>
    <t>ORD01200</t>
  </si>
  <si>
    <t>C0075</t>
  </si>
  <si>
    <t>ORD01241</t>
  </si>
  <si>
    <t>C0296</t>
  </si>
  <si>
    <t>ORD00303</t>
  </si>
  <si>
    <t>ORD00636</t>
  </si>
  <si>
    <t>ORD00663</t>
  </si>
  <si>
    <t>ORD00865</t>
  </si>
  <si>
    <t>ORD00123</t>
  </si>
  <si>
    <t>ORD00255</t>
  </si>
  <si>
    <t>C0429</t>
  </si>
  <si>
    <t>ORD00723</t>
  </si>
  <si>
    <t>ORD01223</t>
  </si>
  <si>
    <t>ORD00385</t>
  </si>
  <si>
    <t>C0001</t>
  </si>
  <si>
    <t>ORD00614</t>
  </si>
  <si>
    <t>ORD00581</t>
  </si>
  <si>
    <t>C0104</t>
  </si>
  <si>
    <t>ORD01103</t>
  </si>
  <si>
    <t>ORD00429</t>
  </si>
  <si>
    <t>ORD00888</t>
  </si>
  <si>
    <t>C0126</t>
  </si>
  <si>
    <t>ORD01386</t>
  </si>
  <si>
    <t>ORD00280</t>
  </si>
  <si>
    <t>ORD01217</t>
  </si>
  <si>
    <t>ORD01098</t>
  </si>
  <si>
    <t>ORD00775</t>
  </si>
  <si>
    <t>C0274</t>
  </si>
  <si>
    <t>ORD01263</t>
  </si>
  <si>
    <t>ORD00931</t>
  </si>
  <si>
    <t>C0400</t>
  </si>
  <si>
    <t>ORD01300</t>
  </si>
  <si>
    <t>ORD00085</t>
  </si>
  <si>
    <t>C0406</t>
  </si>
  <si>
    <t>ORD00283</t>
  </si>
  <si>
    <t>ORD01396</t>
  </si>
  <si>
    <t>ORD01244</t>
  </si>
  <si>
    <t>ORD01100</t>
  </si>
  <si>
    <t>ORD01436</t>
  </si>
  <si>
    <t>C0162</t>
  </si>
  <si>
    <t>ORD01230</t>
  </si>
  <si>
    <t>C0011</t>
  </si>
  <si>
    <t>ORD00278</t>
  </si>
  <si>
    <t>C0112</t>
  </si>
  <si>
    <t>ORD01439</t>
  </si>
  <si>
    <t>ORD00680</t>
  </si>
  <si>
    <t>C0199</t>
  </si>
  <si>
    <t>ORD00654</t>
  </si>
  <si>
    <t>ORD00064</t>
  </si>
  <si>
    <t>ORD00074</t>
  </si>
  <si>
    <t>ORD00579</t>
  </si>
  <si>
    <t>ORD00609</t>
  </si>
  <si>
    <t>ORD01198</t>
  </si>
  <si>
    <t>C0421</t>
  </si>
  <si>
    <t>ORD00395</t>
  </si>
  <si>
    <t>ORD00768</t>
  </si>
  <si>
    <t>ORD00625</t>
  </si>
  <si>
    <t>C0278</t>
  </si>
  <si>
    <t>ORD01492</t>
  </si>
  <si>
    <t>ORD00893</t>
  </si>
  <si>
    <t>ORD00180</t>
  </si>
  <si>
    <t>ORD01389</t>
  </si>
  <si>
    <t>ORD01116</t>
  </si>
  <si>
    <t>ORD00565</t>
  </si>
  <si>
    <t>C0071</t>
  </si>
  <si>
    <t>ORD00563</t>
  </si>
  <si>
    <t>C0314</t>
  </si>
  <si>
    <t>ORD00898</t>
  </si>
  <si>
    <t>ORD01167</t>
  </si>
  <si>
    <t>C0105</t>
  </si>
  <si>
    <t>ORD00997</t>
  </si>
  <si>
    <t>ORD00661</t>
  </si>
  <si>
    <t>ORD00476</t>
  </si>
  <si>
    <t>ORD00561</t>
  </si>
  <si>
    <t>ORD01018</t>
  </si>
  <si>
    <t>C0435</t>
  </si>
  <si>
    <t>ORD01301</t>
  </si>
  <si>
    <t>ORD01059</t>
  </si>
  <si>
    <t>ORD00868</t>
  </si>
  <si>
    <t>ORD00913</t>
  </si>
  <si>
    <t>ORD00546</t>
  </si>
  <si>
    <t>C0194</t>
  </si>
  <si>
    <t>ORD00538</t>
  </si>
  <si>
    <t>ORD00544</t>
  </si>
  <si>
    <t>ORD00096</t>
  </si>
  <si>
    <t>ORD00038</t>
  </si>
  <si>
    <t>ORD00635</t>
  </si>
  <si>
    <t>ORD00911</t>
  </si>
  <si>
    <t>ORD00769</t>
  </si>
  <si>
    <t>C0264</t>
  </si>
  <si>
    <t>ORD00405</t>
  </si>
  <si>
    <t>ORD00047</t>
  </si>
  <si>
    <t>ORD00885</t>
  </si>
  <si>
    <t>ORD00344</t>
  </si>
  <si>
    <t>C0390</t>
  </si>
  <si>
    <t>ORD00427</t>
  </si>
  <si>
    <t>C0343</t>
  </si>
  <si>
    <t>ORD01191</t>
  </si>
  <si>
    <t>C0072</t>
  </si>
  <si>
    <t>ORD00376</t>
  </si>
  <si>
    <t>ORD01203</t>
  </si>
  <si>
    <t>C0164</t>
  </si>
  <si>
    <t>ORD00446</t>
  </si>
  <si>
    <t>ORD01351</t>
  </si>
  <si>
    <t>ORD00796</t>
  </si>
  <si>
    <t>ORD01328</t>
  </si>
  <si>
    <t>C0062</t>
  </si>
  <si>
    <t>ORD01170</t>
  </si>
  <si>
    <t>ORD00381</t>
  </si>
  <si>
    <t>ORD00161</t>
  </si>
  <si>
    <t>ORD01005</t>
  </si>
  <si>
    <t>ORD00205</t>
  </si>
  <si>
    <t>ORD00258</t>
  </si>
  <si>
    <t>ORD01156</t>
  </si>
  <si>
    <t>ORD00357</t>
  </si>
  <si>
    <t>C0341</t>
  </si>
  <si>
    <t>ORD00500</t>
  </si>
  <si>
    <t>ORD01451</t>
  </si>
  <si>
    <t>ORD01309</t>
  </si>
  <si>
    <t>C0283</t>
  </si>
  <si>
    <t>ORD00994</t>
  </si>
  <si>
    <t>ORD01323</t>
  </si>
  <si>
    <t>ORD00750</t>
  </si>
  <si>
    <t>C0303</t>
  </si>
  <si>
    <t>ORD00223</t>
  </si>
  <si>
    <t>ORD00276</t>
  </si>
  <si>
    <t>C0415</t>
  </si>
  <si>
    <t>ORD00436</t>
  </si>
  <si>
    <t>C0203</t>
  </si>
  <si>
    <t>ORD01342</t>
  </si>
  <si>
    <t>ORD01073</t>
  </si>
  <si>
    <t>C0423</t>
  </si>
  <si>
    <t>ORD00042</t>
  </si>
  <si>
    <t>ORD00789</t>
  </si>
  <si>
    <t>C0091</t>
  </si>
  <si>
    <t>ORD00811</t>
  </si>
  <si>
    <t>ORD01424</t>
  </si>
  <si>
    <t>ORD00142</t>
  </si>
  <si>
    <t>ORD01450</t>
  </si>
  <si>
    <t>ORD00890</t>
  </si>
  <si>
    <t>ORD00008</t>
  </si>
  <si>
    <t>ORD00991</t>
  </si>
  <si>
    <t>ORD01274</t>
  </si>
  <si>
    <t>ORD00863</t>
  </si>
  <si>
    <t>ORD00049</t>
  </si>
  <si>
    <t>C0261</t>
  </si>
  <si>
    <t>ORD00138</t>
  </si>
  <si>
    <t>ORD01197</t>
  </si>
  <si>
    <t>C0079</t>
  </si>
  <si>
    <t>ORD01255</t>
  </si>
  <si>
    <t>ORD00912</t>
  </si>
  <si>
    <t>ORD00725</t>
  </si>
  <si>
    <t>ORD01069</t>
  </si>
  <si>
    <t>C0233</t>
  </si>
  <si>
    <t>ORD00785</t>
  </si>
  <si>
    <t>ORD01108</t>
  </si>
  <si>
    <t>C0070</t>
  </si>
  <si>
    <t>ORD01042</t>
  </si>
  <si>
    <t>ORD00873</t>
  </si>
  <si>
    <t>ORD00366</t>
  </si>
  <si>
    <t>ORD00642</t>
  </si>
  <si>
    <t>ORD00595</t>
  </si>
  <si>
    <t>ORD01180</t>
  </si>
  <si>
    <t>ORD01178</t>
  </si>
  <si>
    <t>C0326</t>
  </si>
  <si>
    <t>ORD01249</t>
  </si>
  <si>
    <t>ORD00749</t>
  </si>
  <si>
    <t>ORD00596</t>
  </si>
  <si>
    <t>ORD00249</t>
  </si>
  <si>
    <t>C0420</t>
  </si>
  <si>
    <t>ORD00154</t>
  </si>
  <si>
    <t>ORD01075</t>
  </si>
  <si>
    <t>ORD00343</t>
  </si>
  <si>
    <t>C0262</t>
  </si>
  <si>
    <t>ORD01356</t>
  </si>
  <si>
    <t>C0349</t>
  </si>
  <si>
    <t>ORD00688</t>
  </si>
  <si>
    <t>ORD00747</t>
  </si>
  <si>
    <t>ORD00985</t>
  </si>
  <si>
    <t>C0192</t>
  </si>
  <si>
    <t>ORD00167</t>
  </si>
  <si>
    <t>ORD00279</t>
  </si>
  <si>
    <t>ORD01395</t>
  </si>
  <si>
    <t>C0148</t>
  </si>
  <si>
    <t>ORD00164</t>
  </si>
  <si>
    <t>ORD01467</t>
  </si>
  <si>
    <t>ORD00477</t>
  </si>
  <si>
    <t>C0060</t>
  </si>
  <si>
    <t>ORD00502</t>
  </si>
  <si>
    <t>C0333</t>
  </si>
  <si>
    <t>ORD00532</t>
  </si>
  <si>
    <t>ORD01035</t>
  </si>
  <si>
    <t>ORD01078</t>
  </si>
  <si>
    <t>ORD00321</t>
  </si>
  <si>
    <t>ORD00816</t>
  </si>
  <si>
    <t>ORD00203</t>
  </si>
  <si>
    <t>C0159</t>
  </si>
  <si>
    <t>ORD01490</t>
  </si>
  <si>
    <t>ORD00969</t>
  </si>
  <si>
    <t>ORD01231</t>
  </si>
  <si>
    <t>C0115</t>
  </si>
  <si>
    <t>ORD00032</t>
  </si>
  <si>
    <t>C0383</t>
  </si>
  <si>
    <t>ORD00459</t>
  </si>
  <si>
    <t>ORD01157</t>
  </si>
  <si>
    <t>ORD01394</t>
  </si>
  <si>
    <t>ORD01188</t>
  </si>
  <si>
    <t>ORD00501</t>
  </si>
  <si>
    <t>ORD01107</t>
  </si>
  <si>
    <t>C0195</t>
  </si>
  <si>
    <t>ORD00645</t>
  </si>
  <si>
    <t>ORD01374</t>
  </si>
  <si>
    <t>ORD00836</t>
  </si>
  <si>
    <t>ORD00471</t>
  </si>
  <si>
    <t>ORD00196</t>
  </si>
  <si>
    <t>ORD00972</t>
  </si>
  <si>
    <t>C0369</t>
  </si>
  <si>
    <t>ORD00917</t>
  </si>
  <si>
    <t>ORD00710</t>
  </si>
  <si>
    <t>ORD01058</t>
  </si>
  <si>
    <t>ORD00945</t>
  </si>
  <si>
    <t>ORD01216</t>
  </si>
  <si>
    <t>ORD00835</t>
  </si>
  <si>
    <t>ORD00649</t>
  </si>
  <si>
    <t>ORD00665</t>
  </si>
  <si>
    <t>C0178</t>
  </si>
  <si>
    <t>ORD01251</t>
  </si>
  <si>
    <t>ORD01285</t>
  </si>
  <si>
    <t>ORD01422</t>
  </si>
  <si>
    <t>ORD00413</t>
  </si>
  <si>
    <t>ORD00241</t>
  </si>
  <si>
    <t>ORD00425</t>
  </si>
  <si>
    <t>ORD00129</t>
  </si>
  <si>
    <t>ORD00373</t>
  </si>
  <si>
    <t>C0045</t>
  </si>
  <si>
    <t>ORD00372</t>
  </si>
  <si>
    <t>ORD00712</t>
  </si>
  <si>
    <t>ORD00669</t>
  </si>
  <si>
    <t>ORD01486</t>
  </si>
  <si>
    <t>ORD00151</t>
  </si>
  <si>
    <t>ORD00231</t>
  </si>
  <si>
    <t>ORD01062</t>
  </si>
  <si>
    <t>ORD00883</t>
  </si>
  <si>
    <t>ORD01179</t>
  </si>
  <si>
    <t>ORD00891</t>
  </si>
  <si>
    <t>C0344</t>
  </si>
  <si>
    <t>ORD00941</t>
  </si>
  <si>
    <t>ORD00921</t>
  </si>
  <si>
    <t>ORD00524</t>
  </si>
  <si>
    <t>ORD01022</t>
  </si>
  <si>
    <t>ORD00037</t>
  </si>
  <si>
    <t>C0038</t>
  </si>
  <si>
    <t>ORD01055</t>
  </si>
  <si>
    <t>C0136</t>
  </si>
  <si>
    <t>ORD00896</t>
  </si>
  <si>
    <t>ORD00996</t>
  </si>
  <si>
    <t>C0087</t>
  </si>
  <si>
    <t>ORD01319</t>
  </si>
  <si>
    <t>ORD01493</t>
  </si>
  <si>
    <t>C0160</t>
  </si>
  <si>
    <t>ORD00672</t>
  </si>
  <si>
    <t>ORD00887</t>
  </si>
  <si>
    <t>C0331</t>
  </si>
  <si>
    <t>ORD00193</t>
  </si>
  <si>
    <t>ORD00330</t>
  </si>
  <si>
    <t>ORD01143</t>
  </si>
  <si>
    <t>ORD00290</t>
  </si>
  <si>
    <t>ORD01388</t>
  </si>
  <si>
    <t>ORD01050</t>
  </si>
  <si>
    <t>ORD01317</t>
  </si>
  <si>
    <t>ORD00930</t>
  </si>
  <si>
    <t>ORD00222</t>
  </si>
  <si>
    <t>C0129</t>
  </si>
  <si>
    <t>ORD01315</t>
  </si>
  <si>
    <t>ORD01020</t>
  </si>
  <si>
    <t>ORD00106</t>
  </si>
  <si>
    <t>ORD00019</t>
  </si>
  <si>
    <t>ORD00929</t>
  </si>
  <si>
    <t>ORD00160</t>
  </si>
  <si>
    <t>ORD00724</t>
  </si>
  <si>
    <t>ORD00083</t>
  </si>
  <si>
    <t>ORD00335</t>
  </si>
  <si>
    <t>ORD01465</t>
  </si>
  <si>
    <t>ORD00268</t>
  </si>
  <si>
    <t>ORD00800</t>
  </si>
  <si>
    <t>ORD00731</t>
  </si>
  <si>
    <t>ORD01273</t>
  </si>
  <si>
    <t>ORD00262</t>
  </si>
  <si>
    <t>ORD00292</t>
  </si>
  <si>
    <t>ORD00050</t>
  </si>
  <si>
    <t>ORD00516</t>
  </si>
  <si>
    <t>ORD00492</t>
  </si>
  <si>
    <t>ORD01369</t>
  </si>
  <si>
    <t>C0354</t>
  </si>
  <si>
    <t>ORD01235</t>
  </si>
  <si>
    <t>ORD01398</t>
  </si>
  <si>
    <t>C0450</t>
  </si>
  <si>
    <t>ORD00593</t>
  </si>
  <si>
    <t>ORD01038</t>
  </si>
  <si>
    <t>ORD00257</t>
  </si>
  <si>
    <t>ORD00058</t>
  </si>
  <si>
    <t>ORD00411</t>
  </si>
  <si>
    <t>ORD01444</t>
  </si>
  <si>
    <t>ORD00759</t>
  </si>
  <si>
    <t>ORD00959</t>
  </si>
  <si>
    <t>ORD01125</t>
  </si>
  <si>
    <t>ORD00825</t>
  </si>
  <si>
    <t>ORD01382</t>
  </si>
  <si>
    <t>ORD01469</t>
  </si>
  <si>
    <t>ORD01064</t>
  </si>
  <si>
    <t>C0276</t>
  </si>
  <si>
    <t>ORD00776</t>
  </si>
  <si>
    <t>ORD00307</t>
  </si>
  <si>
    <t>C0016</t>
  </si>
  <si>
    <t>ORD01037</t>
  </si>
  <si>
    <t>ORD01417</t>
  </si>
  <si>
    <t>ORD01009</t>
  </si>
  <si>
    <t>ORD01262</t>
  </si>
  <si>
    <t>ORD00184</t>
  </si>
  <si>
    <t>ORD00041</t>
  </si>
  <si>
    <t>ORD00177</t>
  </si>
  <si>
    <t>C0127</t>
  </si>
  <si>
    <t>ORD00607</t>
  </si>
  <si>
    <t>ORD00822</t>
  </si>
  <si>
    <t>ORD00435</t>
  </si>
  <si>
    <t>C0312</t>
  </si>
  <si>
    <t>ORD00574</t>
  </si>
  <si>
    <t>ORD01306</t>
  </si>
  <si>
    <t>C0082</t>
  </si>
  <si>
    <t>ORD00346</t>
  </si>
  <si>
    <t>ORD01236</t>
  </si>
  <si>
    <t>ORD00170</t>
  </si>
  <si>
    <t>C0053</t>
  </si>
  <si>
    <t>ORD00656</t>
  </si>
  <si>
    <t>ORD00181</t>
  </si>
  <si>
    <t>ORD00594</t>
  </si>
  <si>
    <t>ORD01359</t>
  </si>
  <si>
    <t>ORD01286</t>
  </si>
  <si>
    <t>ORD01012</t>
  </si>
  <si>
    <t>ORD01239</t>
  </si>
  <si>
    <t>ORD01331</t>
  </si>
  <si>
    <t>ORD00580</t>
  </si>
  <si>
    <t>ORD00960</t>
  </si>
  <si>
    <t>ORD01220</t>
  </si>
  <si>
    <t>ORD00840</t>
  </si>
  <si>
    <t>ORD01352</t>
  </si>
  <si>
    <t>C0106</t>
  </si>
  <si>
    <t>ORD00514</t>
  </si>
  <si>
    <t>ORD00482</t>
  </si>
  <si>
    <t>ORD00803</t>
  </si>
  <si>
    <t>ORD00536</t>
  </si>
  <si>
    <t>ORD01438</t>
  </si>
  <si>
    <t>C0118</t>
  </si>
  <si>
    <t>ORD01021</t>
  </si>
  <si>
    <t>ORD00217</t>
  </si>
  <si>
    <t>C0405</t>
  </si>
  <si>
    <t>ORD01171</t>
  </si>
  <si>
    <t>ORD00053</t>
  </si>
  <si>
    <t>C0161</t>
  </si>
  <si>
    <t>ORD00808</t>
  </si>
  <si>
    <t>ORD00772</t>
  </si>
  <si>
    <t>ORD00369</t>
  </si>
  <si>
    <t>ORD00897</t>
  </si>
  <si>
    <t>ORD00933</t>
  </si>
  <si>
    <t>ORD01404</t>
  </si>
  <si>
    <t>C0119</t>
  </si>
  <si>
    <t>ORD00695</t>
  </si>
  <si>
    <t>C0150</t>
  </si>
  <si>
    <t>ORD01092</t>
  </si>
  <si>
    <t>ORD00751</t>
  </si>
  <si>
    <t>ORD01339</t>
  </si>
  <si>
    <t>ORD00229</t>
  </si>
  <si>
    <t>ORD00426</t>
  </si>
  <si>
    <t>ORD00805</t>
  </si>
  <si>
    <t>ORD00285</t>
  </si>
  <si>
    <t>ORD00622</t>
  </si>
  <si>
    <t>ORD00190</t>
  </si>
  <si>
    <t>ORD00583</t>
  </si>
  <si>
    <t>C0094</t>
  </si>
  <si>
    <t>ORD00830</t>
  </si>
  <si>
    <t>ORD01412</t>
  </si>
  <si>
    <t>C0358</t>
  </si>
  <si>
    <t>ORD00479</t>
  </si>
  <si>
    <t>ORD00338</t>
  </si>
  <si>
    <t>ORD00927</t>
  </si>
  <si>
    <t>ORD01185</t>
  </si>
  <si>
    <t>C0436</t>
  </si>
  <si>
    <t>ORD00200</t>
  </si>
  <si>
    <t>ORD01063</t>
  </si>
  <si>
    <t>ORD01087</t>
  </si>
  <si>
    <t>ORD00418</t>
  </si>
  <si>
    <t>ORD00562</t>
  </si>
  <si>
    <t>ORD00641</t>
  </si>
  <si>
    <t>ORD01040</t>
  </si>
  <si>
    <t>ORD01383</t>
  </si>
  <si>
    <t>ORD01227</t>
  </si>
  <si>
    <t>ORD01353</t>
  </si>
  <si>
    <t>ORD01027</t>
  </si>
  <si>
    <t>ORD01126</t>
  </si>
  <si>
    <t>C0002</t>
  </si>
  <si>
    <t>ORD01172</t>
  </si>
  <si>
    <t>ORD00628</t>
  </si>
  <si>
    <t>ORD00010</t>
  </si>
  <si>
    <t>ORD01447</t>
  </si>
  <si>
    <t>ORD00243</t>
  </si>
  <si>
    <t>C0359</t>
  </si>
  <si>
    <t>ORD00005</t>
  </si>
  <si>
    <t>ORD00317</t>
  </si>
  <si>
    <t>ORD01137</t>
  </si>
  <si>
    <t>ORD00518</t>
  </si>
  <si>
    <t>ORD01101</t>
  </si>
  <si>
    <t>C0446</t>
  </si>
  <si>
    <t>ORD00765</t>
  </si>
  <si>
    <t>ORD00869</t>
  </si>
  <si>
    <t>ORD00361</t>
  </si>
  <si>
    <t>ORD00066</t>
  </si>
  <si>
    <t>C0209</t>
  </si>
  <si>
    <t>ORD01110</t>
  </si>
  <si>
    <t>C0020</t>
  </si>
  <si>
    <t>ORD00341</t>
  </si>
  <si>
    <t>ORD01449</t>
  </si>
  <si>
    <t>C0375</t>
  </si>
  <si>
    <t>ORD01232</t>
  </si>
  <si>
    <t>ORD01131</t>
  </si>
  <si>
    <t>ORD00214</t>
  </si>
  <si>
    <t>ORD01418</t>
  </si>
  <si>
    <t>C0218</t>
  </si>
  <si>
    <t>ORD01140</t>
  </si>
  <si>
    <t>ORD00899</t>
  </si>
  <si>
    <t>ORD00310</t>
  </si>
  <si>
    <t>ORD00894</t>
  </si>
  <si>
    <t>ORD00878</t>
  </si>
  <si>
    <t>C0346</t>
  </si>
  <si>
    <t>ORD01086</t>
  </si>
  <si>
    <t>C0025</t>
  </si>
  <si>
    <t>ORD01214</t>
  </si>
  <si>
    <t>ORD00758</t>
  </si>
  <si>
    <t>C0345</t>
  </si>
  <si>
    <t>ORD00367</t>
  </si>
  <si>
    <t>C0058</t>
  </si>
  <si>
    <t>ORD01311</t>
  </si>
  <si>
    <t>ORD00239</t>
  </si>
  <si>
    <t>ORD01011</t>
  </si>
  <si>
    <t>ORD00907</t>
  </si>
  <si>
    <t>ORD00585</t>
  </si>
  <si>
    <t>ORD01193</t>
  </si>
  <si>
    <t>C0102</t>
  </si>
  <si>
    <t>ORD00358</t>
  </si>
  <si>
    <t>ORD00621</t>
  </si>
  <si>
    <t>ORD00333</t>
  </si>
  <si>
    <t>ORD01052</t>
  </si>
  <si>
    <t>ORD01081</t>
  </si>
  <si>
    <t>ORD00213</t>
  </si>
  <si>
    <t>ORD01213</t>
  </si>
  <si>
    <t>ORD01115</t>
  </si>
  <si>
    <t>ORD01335</t>
  </si>
  <si>
    <t>ORD01130</t>
  </si>
  <si>
    <t>ORD01051</t>
  </si>
  <si>
    <t>ORD00396</t>
  </si>
  <si>
    <t>ORD01252</t>
  </si>
  <si>
    <t>C0287</t>
  </si>
  <si>
    <t>ORD00569</t>
  </si>
  <si>
    <t>ORD00995</t>
  </si>
  <si>
    <t>ORD00352</t>
  </si>
  <si>
    <t>ORD00981</t>
  </si>
  <si>
    <t>ORD01296</t>
  </si>
  <si>
    <t>ORD00467</t>
  </si>
  <si>
    <t>C0376</t>
  </si>
  <si>
    <t>ORD00864</t>
  </si>
  <si>
    <t>ORD00575</t>
  </si>
  <si>
    <t>ORD01259</t>
  </si>
  <si>
    <t>ORD01391</t>
  </si>
  <si>
    <t>ORD00272</t>
  </si>
  <si>
    <t>C0196</t>
  </si>
  <si>
    <t>ORD00554</t>
  </si>
  <si>
    <t>ORD00115</t>
  </si>
  <si>
    <t>ORD00844</t>
  </si>
  <si>
    <t>C0080</t>
  </si>
  <si>
    <t>ORD01289</t>
  </si>
  <si>
    <t>ORD01468</t>
  </si>
  <si>
    <t>ORD00490</t>
  </si>
  <si>
    <t>ORD00640</t>
  </si>
  <si>
    <t>ORD00901</t>
  </si>
  <si>
    <t>ORD00611</t>
  </si>
  <si>
    <t>ORD00253</t>
  </si>
  <si>
    <t>C0282</t>
  </si>
  <si>
    <t>ORD00313</t>
  </si>
  <si>
    <t>ORD00550</t>
  </si>
  <si>
    <t>ORD00192</t>
  </si>
  <si>
    <t>ORD00067</t>
  </si>
  <si>
    <t>ORD00439</t>
  </si>
  <si>
    <t>C0422</t>
  </si>
  <si>
    <t>ORD00094</t>
  </si>
  <si>
    <t>ORD00470</t>
  </si>
  <si>
    <t>ORD00472</t>
  </si>
  <si>
    <t>ORD00137</t>
  </si>
  <si>
    <t>ORD00055</t>
  </si>
  <si>
    <t>ORD00902</t>
  </si>
  <si>
    <t>C0356</t>
  </si>
  <si>
    <t>ORD00315</t>
  </si>
  <si>
    <t>ORD00480</t>
  </si>
  <si>
    <t>ORD00952</t>
  </si>
  <si>
    <t>ORD01443</t>
  </si>
  <si>
    <t>ORD01166</t>
  </si>
  <si>
    <t>ORD00655</t>
  </si>
  <si>
    <t>ORD00371</t>
  </si>
  <si>
    <t>ORD00431</t>
  </si>
  <si>
    <t>C0076</t>
  </si>
  <si>
    <t>ORD01104</t>
  </si>
  <si>
    <t>ORD00087</t>
  </si>
  <si>
    <t>ORD01378</t>
  </si>
  <si>
    <t>ORD01496</t>
  </si>
  <si>
    <t>C0131</t>
  </si>
  <si>
    <t>ORD00764</t>
  </si>
  <si>
    <t>ORD00678</t>
  </si>
  <si>
    <t>ORD01346</t>
  </si>
  <si>
    <t>ORD00535</t>
  </si>
  <si>
    <t>ORD00156</t>
  </si>
  <si>
    <t>ORD01313</t>
  </si>
  <si>
    <t>ORD00559</t>
  </si>
  <si>
    <t>ORD00354</t>
  </si>
  <si>
    <t>ORD00920</t>
  </si>
  <si>
    <t>ORD00150</t>
  </si>
  <si>
    <t>ORD01205</t>
  </si>
  <si>
    <t>ORD01338</t>
  </si>
  <si>
    <t>ORD00728</t>
  </si>
  <si>
    <t>ORD00651</t>
  </si>
  <si>
    <t>C0043</t>
  </si>
  <si>
    <t>ORD00736</t>
  </si>
  <si>
    <t>ORD01312</t>
  </si>
  <si>
    <t>ORD00221</t>
  </si>
  <si>
    <t>ORD00051</t>
  </si>
  <si>
    <t>ORD00605</t>
  </si>
  <si>
    <t>ORD00770</t>
  </si>
  <si>
    <t>ORD00168</t>
  </si>
  <si>
    <t>ORD00570</t>
  </si>
  <si>
    <t>ORD00363</t>
  </si>
  <si>
    <t>ORD00173</t>
  </si>
  <si>
    <t>ORD00895</t>
  </si>
  <si>
    <t>ORD00244</t>
  </si>
  <si>
    <t>ORD01268</t>
  </si>
  <si>
    <t>ORD00606</t>
  </si>
  <si>
    <t>ORD00057</t>
  </si>
  <si>
    <t>ORD01222</t>
  </si>
  <si>
    <t>ORD00029</t>
  </si>
  <si>
    <t>ORD00617</t>
  </si>
  <si>
    <t>ORD00831</t>
  </si>
  <si>
    <t>ORD00711</t>
  </si>
  <si>
    <t>ORD00187</t>
  </si>
  <si>
    <t>ORD00604</t>
  </si>
  <si>
    <t>ORD01033</t>
  </si>
  <si>
    <t>ORD00730</t>
  </si>
  <si>
    <t>C0056</t>
  </si>
  <si>
    <t>ORD01437</t>
  </si>
  <si>
    <t>ORD00327</t>
  </si>
  <si>
    <t>ORD00208</t>
  </si>
  <si>
    <t>ORD00519</t>
  </si>
  <si>
    <t>ORD00269</t>
  </si>
  <si>
    <t>ORD00566</t>
  </si>
  <si>
    <t>ORD00416</t>
  </si>
  <si>
    <t>C0132</t>
  </si>
  <si>
    <t>ORD01211</t>
  </si>
  <si>
    <t>C0215</t>
  </si>
  <si>
    <t>ORD00756</t>
  </si>
  <si>
    <t>C0273</t>
  </si>
  <si>
    <t>ORD01269</t>
  </si>
  <si>
    <t>ORD00191</t>
  </si>
  <si>
    <t>ORD00391</t>
  </si>
  <si>
    <t>ORD00220</t>
  </si>
  <si>
    <t>ORD00741</t>
  </si>
  <si>
    <t>ORD00786</t>
  </si>
  <si>
    <t>ORD00534</t>
  </si>
  <si>
    <t>ORD00097</t>
  </si>
  <si>
    <t>ORD00082</t>
  </si>
  <si>
    <t>ORD00390</t>
  </si>
  <si>
    <t>ORD00612</t>
  </si>
  <si>
    <t>ORD00802</t>
  </si>
  <si>
    <t>ORD01441</t>
  </si>
  <si>
    <t>ORD00928</t>
  </si>
  <si>
    <t>ORD00690</t>
  </si>
  <si>
    <t>ORD00072</t>
  </si>
  <si>
    <t>ORD00031</t>
  </si>
  <si>
    <t>C0368</t>
  </si>
  <si>
    <t>ORD00545</t>
  </si>
  <si>
    <t>ORD00329</t>
  </si>
  <si>
    <t>ORD00740</t>
  </si>
  <si>
    <t>ORD00125</t>
  </si>
  <si>
    <t>ORD00117</t>
  </si>
  <si>
    <t>ORD00062</t>
  </si>
  <si>
    <t>ORD00818</t>
  </si>
  <si>
    <t>ORD00777</t>
  </si>
  <si>
    <t>ORD00797</t>
  </si>
  <si>
    <t>ORD01380</t>
  </si>
  <si>
    <t>ORD00146</t>
  </si>
  <si>
    <t>ORD00713</t>
  </si>
  <si>
    <t>ORD00846</t>
  </si>
  <si>
    <t>C0179</t>
  </si>
  <si>
    <t>ORD00048</t>
  </si>
  <si>
    <t>ORD00398</t>
  </si>
  <si>
    <t>ORD01082</t>
  </si>
  <si>
    <t>ORD01013</t>
  </si>
  <si>
    <t>C0381</t>
  </si>
  <si>
    <t>ORD01154</t>
  </si>
  <si>
    <t>ORD00615</t>
  </si>
  <si>
    <t>C0029</t>
  </si>
  <si>
    <t>ORD00392</t>
  </si>
  <si>
    <t>ORD01030</t>
  </si>
  <si>
    <t>ORD01272</t>
  </si>
  <si>
    <t>ORD01054</t>
  </si>
  <si>
    <t>C0222</t>
  </si>
  <si>
    <t>ORD00744</t>
  </si>
  <si>
    <t>ORD00081</t>
  </si>
  <si>
    <t>ORD01423</t>
  </si>
  <si>
    <t>C0210</t>
  </si>
  <si>
    <t>ORD00634</t>
  </si>
  <si>
    <t>ORD00746</t>
  </si>
  <si>
    <t>C0170</t>
  </si>
  <si>
    <t>ORD00954</t>
  </si>
  <si>
    <t>ORD00801</t>
  </si>
  <si>
    <t>ORD01479</t>
  </si>
  <si>
    <t>ORD00134</t>
  </si>
  <si>
    <t>ORD00540</t>
  </si>
  <si>
    <t>ORD00111</t>
  </si>
  <si>
    <t>ORD01060</t>
  </si>
  <si>
    <t>ORD00618</t>
  </si>
  <si>
    <t>ORD00204</t>
  </si>
  <si>
    <t>ORD01025</t>
  </si>
  <si>
    <t>ORD01347</t>
  </si>
  <si>
    <t>ORD01061</t>
  </si>
  <si>
    <t>ORD00238</t>
  </si>
  <si>
    <t>ORD01253</t>
  </si>
  <si>
    <t>ORD00068</t>
  </si>
  <si>
    <t>ORD01246</t>
  </si>
  <si>
    <t>ORD00254</t>
  </si>
  <si>
    <t>ORD01071</t>
  </si>
  <si>
    <t>ORD00318</t>
  </si>
  <si>
    <t>ORD00219</t>
  </si>
  <si>
    <t>ORD00424</t>
  </si>
  <si>
    <t>ORD00653</t>
  </si>
  <si>
    <t>ORD01105</t>
  </si>
  <si>
    <t>ORD00131</t>
  </si>
  <si>
    <t>ORD00705</t>
  </si>
  <si>
    <t>ORD01279</t>
  </si>
  <si>
    <t>ORD01186</t>
  </si>
  <si>
    <t>ORD00328</t>
  </si>
  <si>
    <t>ORD00498</t>
  </si>
  <si>
    <t>ORD01257</t>
  </si>
  <si>
    <t>ORD00355</t>
  </si>
  <si>
    <t>ORD01372</t>
  </si>
  <si>
    <t>ORD00030</t>
  </si>
  <si>
    <t>ORD00944</t>
  </si>
  <si>
    <t>ORD01304</t>
  </si>
  <si>
    <t>ORD00774</t>
  </si>
  <si>
    <t>ORD01489</t>
  </si>
  <si>
    <t>ORD01267</t>
  </si>
  <si>
    <t>ORD00871</t>
  </si>
  <si>
    <t>ORD00293</t>
  </si>
  <si>
    <t>ORD01153</t>
  </si>
  <si>
    <t>ORD00342</t>
  </si>
  <si>
    <t>ORD00987</t>
  </si>
  <si>
    <t>ORD00351</t>
  </si>
  <si>
    <t>ORD00423</t>
  </si>
  <si>
    <t>ORD01349</t>
  </si>
  <si>
    <t>ORD00308</t>
  </si>
  <si>
    <t>ORD00837</t>
  </si>
  <si>
    <t>ORD00438</t>
  </si>
  <si>
    <t>ORD01233</t>
  </si>
  <si>
    <t>ORD01189</t>
  </si>
  <si>
    <t>C0064</t>
  </si>
  <si>
    <t>ORD00014</t>
  </si>
  <si>
    <t>ORD00101</t>
  </si>
  <si>
    <t>ORD01448</t>
  </si>
  <si>
    <t>ORD01455</t>
  </si>
  <si>
    <t>ORD00233</t>
  </si>
  <si>
    <t>C0275</t>
  </si>
  <si>
    <t>ORD00487</t>
  </si>
  <si>
    <t>ORD00256</t>
  </si>
  <si>
    <t>ORD01310</t>
  </si>
  <si>
    <t>ORD01371</t>
  </si>
  <si>
    <t>ORD01343</t>
  </si>
  <si>
    <t>ORD00950</t>
  </si>
  <si>
    <t>ORD00206</t>
  </si>
  <si>
    <t>ORD01392</t>
  </si>
  <si>
    <t>ORD01460</t>
  </si>
  <si>
    <t>ORD00689</t>
  </si>
  <si>
    <t>ORD01181</t>
  </si>
  <si>
    <t>ORD00926</t>
  </si>
  <si>
    <t>ORD00823</t>
  </si>
  <si>
    <t>ORD00165</t>
  </si>
  <si>
    <t>ORD00675</t>
  </si>
  <si>
    <t>ORD00298</t>
  </si>
  <si>
    <t>ORD00879</t>
  </si>
  <si>
    <t>C0224</t>
  </si>
  <si>
    <t>ORD00403</t>
  </si>
  <si>
    <t>C0306</t>
  </si>
  <si>
    <t>ORD00918</t>
  </si>
  <si>
    <t>ORD01434</t>
  </si>
  <si>
    <t>ORD01365</t>
  </si>
  <si>
    <t>ORD00063</t>
  </si>
  <si>
    <t>ORD00497</t>
  </si>
  <si>
    <t>ORD00989</t>
  </si>
  <si>
    <t>C0444</t>
  </si>
  <si>
    <t>ORD01008</t>
  </si>
  <si>
    <t>ORD01106</t>
  </si>
  <si>
    <t>ORD00149</t>
  </si>
  <si>
    <t>ORD00975</t>
  </si>
  <si>
    <t>ORD00296</t>
  </si>
  <si>
    <t>ORD00965</t>
  </si>
  <si>
    <t>ORD01401</t>
  </si>
  <si>
    <t>ORD00054</t>
  </si>
  <si>
    <t>ORD01036</t>
  </si>
  <si>
    <t>ORD01006</t>
  </si>
  <si>
    <t>ORD00829</t>
  </si>
  <si>
    <t>ORD01478</t>
  </si>
  <si>
    <t>ORD01367</t>
  </si>
  <si>
    <t>ORD00951</t>
  </si>
  <si>
    <t>ORD00394</t>
  </si>
  <si>
    <t>ORD00935</t>
  </si>
  <si>
    <t>ORD00877</t>
  </si>
  <si>
    <t>ORD00979</t>
  </si>
  <si>
    <t>ORD00440</t>
  </si>
  <si>
    <t>ORD00571</t>
  </si>
  <si>
    <t>ORD00547</t>
  </si>
  <si>
    <t>ORD01031</t>
  </si>
  <si>
    <t>ORD01419</t>
  </si>
  <si>
    <t>ORD01472</t>
  </si>
  <si>
    <t>ORD01454</t>
  </si>
  <si>
    <t>ORD00599</t>
  </si>
  <si>
    <t>ORD00668</t>
  </si>
  <si>
    <t>ORD00619</t>
  </si>
  <si>
    <t>C0185</t>
  </si>
  <si>
    <t>ORD01099</t>
  </si>
  <si>
    <t>ORD01282</t>
  </si>
  <si>
    <t>ORD00706</t>
  </si>
  <si>
    <t>ORD00494</t>
  </si>
  <si>
    <t>ORD00993</t>
  </si>
  <si>
    <t>ORD00178</t>
  </si>
  <si>
    <t>ORD00466</t>
  </si>
  <si>
    <t>ORD01119</t>
  </si>
  <si>
    <t>ORD00282</t>
  </si>
  <si>
    <t>ORD00910</t>
  </si>
  <si>
    <t>ORD01074</t>
  </si>
  <si>
    <t>ORD00936</t>
  </si>
  <si>
    <t>ORD01045</t>
  </si>
  <si>
    <t>ORD01474</t>
  </si>
  <si>
    <t>ORD00185</t>
  </si>
  <si>
    <t>ORD01147</t>
  </si>
  <si>
    <t>ORD00189</t>
  </si>
  <si>
    <t>ORD01207</t>
  </si>
  <si>
    <t>ORD00966</t>
  </si>
  <si>
    <t>ORD00841</t>
  </si>
  <si>
    <t>ORD00806</t>
  </si>
  <si>
    <t>ORD00297</t>
  </si>
  <si>
    <t>ORD00716</t>
  </si>
  <si>
    <t>C0077</t>
  </si>
  <si>
    <t>ORD01046</t>
  </si>
  <si>
    <t>ORD00289</t>
  </si>
  <si>
    <t>C0255</t>
  </si>
  <si>
    <t>ORD01322</t>
  </si>
  <si>
    <t>ORD00591</t>
  </si>
  <si>
    <t>ORD00463</t>
  </si>
  <si>
    <t>ORD00323</t>
  </si>
  <si>
    <t>ORD00197</t>
  </si>
  <si>
    <t>ORD00880</t>
  </si>
  <si>
    <t>ORD00006</t>
  </si>
  <si>
    <t>ORD00274</t>
  </si>
  <si>
    <t>ORD00576</t>
  </si>
  <si>
    <t>ORD00520</t>
  </si>
  <si>
    <t>ORD00013</t>
  </si>
  <si>
    <t>ORD01164</t>
  </si>
  <si>
    <t>ORD00073</t>
  </si>
  <si>
    <t>ORD00973</t>
  </si>
  <si>
    <t>ORD00719</t>
  </si>
  <si>
    <t>ORD00422</t>
  </si>
  <si>
    <t>ORD01416</t>
  </si>
  <si>
    <t>ORD00119</t>
  </si>
  <si>
    <t>ORD00842</t>
  </si>
  <si>
    <t>ORD00616</t>
  </si>
  <si>
    <t>ORD00304</t>
  </si>
  <si>
    <t>ORD00139</t>
  </si>
  <si>
    <t>ORD00099</t>
  </si>
  <si>
    <t>ORD00971</t>
  </si>
  <si>
    <t>ORD01364</t>
  </si>
  <si>
    <t>ORD00737</t>
  </si>
  <si>
    <t>ORD00320</t>
  </si>
  <si>
    <t>ORD00294</t>
  </si>
  <si>
    <t>ORD00420</t>
  </si>
  <si>
    <t>ORD00587</t>
  </si>
  <si>
    <t>ORD00652</t>
  </si>
  <si>
    <t>ORD00108</t>
  </si>
  <si>
    <t>ORD00735</t>
  </si>
  <si>
    <t>ORD00537</t>
  </si>
  <si>
    <t>ORD01175</t>
  </si>
  <si>
    <t>ORD00938</t>
  </si>
  <si>
    <t>ORD00114</t>
  </si>
  <si>
    <t>ORD00783</t>
  </si>
  <si>
    <t>ORD01287</t>
  </si>
  <si>
    <t>ORD00218</t>
  </si>
  <si>
    <t>ORD01002</t>
  </si>
  <si>
    <t>ORD00667</t>
  </si>
  <si>
    <t>ORD00084</t>
  </si>
  <si>
    <t>ORD00726</t>
  </si>
  <si>
    <t>ORD00284</t>
  </si>
  <si>
    <t>ORD00132</t>
  </si>
  <si>
    <t>ORD00281</t>
  </si>
  <si>
    <t>ORD00637</t>
  </si>
  <si>
    <t>ORD00624</t>
  </si>
  <si>
    <t>ORD00182</t>
  </si>
  <si>
    <t>ORD00845</t>
  </si>
  <si>
    <t>ORD00332</t>
  </si>
  <si>
    <t>ORD00889</t>
  </si>
  <si>
    <t>ORD01318</t>
  </si>
  <si>
    <t>ORD00809</t>
  </si>
  <si>
    <t>ORD01280</t>
  </si>
  <si>
    <t>ORD00003</t>
  </si>
  <si>
    <t>ORD00043</t>
  </si>
  <si>
    <t>ORD00962</t>
  </si>
  <si>
    <t>ORD00153</t>
  </si>
  <si>
    <t>ORD00872</t>
  </si>
  <si>
    <t>ORD00491</t>
  </si>
  <si>
    <t>ORD00172</t>
  </si>
  <si>
    <t>ORD00075</t>
  </si>
  <si>
    <t>ORD00300</t>
  </si>
  <si>
    <t>ORD00484</t>
  </si>
  <si>
    <t>ORD00988</t>
  </si>
  <si>
    <t>C0427</t>
  </si>
  <si>
    <t>ORD00977</t>
  </si>
  <si>
    <t>ORD00626</t>
  </si>
  <si>
    <t>ORD00414</t>
  </si>
  <si>
    <t>ORD00407</t>
  </si>
  <si>
    <t>ORD00100</t>
  </si>
  <si>
    <t>ORD00348</t>
  </si>
  <si>
    <t>ORD00949</t>
  </si>
  <si>
    <t>ORD00804</t>
  </si>
  <si>
    <t>ORD00632</t>
  </si>
  <si>
    <t>ORD00597</t>
  </si>
  <si>
    <t>ORD00176</t>
  </si>
  <si>
    <t>ORD00694</t>
  </si>
  <si>
    <t>ORD00552</t>
  </si>
  <si>
    <t>ORD00529</t>
  </si>
  <si>
    <t>ORD00349</t>
  </si>
  <si>
    <t>ORD01066</t>
  </si>
  <si>
    <t>ORD00821</t>
  </si>
  <si>
    <t>ORD00126</t>
  </si>
  <si>
    <t>ORD00904</t>
  </si>
  <si>
    <t>ORD00839</t>
  </si>
  <si>
    <t>ORD00319</t>
  </si>
  <si>
    <t>ORD00647</t>
  </si>
  <si>
    <t>ORD01149</t>
  </si>
  <si>
    <t>ORD00007</t>
  </si>
  <si>
    <t>ORD01238</t>
  </si>
  <si>
    <t>ORD00242</t>
  </si>
  <si>
    <t>ORD00881</t>
  </si>
  <si>
    <t>ORD01355</t>
  </si>
  <si>
    <t>ORD00810</t>
  </si>
  <si>
    <t>ORD00388</t>
  </si>
  <si>
    <t>C0304</t>
  </si>
  <si>
    <t>ORD00224</t>
  </si>
  <si>
    <t>ORD00539</t>
  </si>
  <si>
    <t>ORD00838</t>
  </si>
  <si>
    <t>ORD00201</t>
  </si>
  <si>
    <t>ORD01433</t>
  </si>
  <si>
    <t>ORD01397</t>
  </si>
  <si>
    <t>C0174</t>
  </si>
  <si>
    <t>ORD00453</t>
  </si>
  <si>
    <t>ORD00033</t>
  </si>
  <si>
    <t>ORD01329</t>
  </si>
  <si>
    <t>C0271</t>
  </si>
  <si>
    <t>ORD01370</t>
  </si>
  <si>
    <t>ORD00525</t>
  </si>
  <si>
    <t>ORD01123</t>
  </si>
  <si>
    <t>ORD00457</t>
  </si>
  <si>
    <t>ORD00444</t>
  </si>
  <si>
    <t>ORD01459</t>
  </si>
  <si>
    <t>ORD01314</t>
  </si>
  <si>
    <t>C0204</t>
  </si>
  <si>
    <t>ORD00252</t>
  </si>
  <si>
    <t>ORD01047</t>
  </si>
  <si>
    <t>ORD00113</t>
  </si>
  <si>
    <t>ORD00510</t>
  </si>
  <si>
    <t>ORD00095</t>
  </si>
  <si>
    <t>ORD01377</t>
  </si>
  <si>
    <t>ORD00465</t>
  </si>
  <si>
    <t>ORD00434</t>
  </si>
  <si>
    <t>ORD00428</t>
  </si>
  <si>
    <t>ORD00089</t>
  </si>
  <si>
    <t>ORD01446</t>
  </si>
  <si>
    <t>ORD01333</t>
  </si>
  <si>
    <t>ORD00833</t>
  </si>
  <si>
    <t>C0090</t>
  </si>
  <si>
    <t>ORD00384</t>
  </si>
  <si>
    <t>ORD00799</t>
  </si>
  <si>
    <t>ORD00782</t>
  </si>
  <si>
    <t>ORD01483</t>
  </si>
  <si>
    <t>ORD00316</t>
  </si>
  <si>
    <t>ORD00679</t>
  </si>
  <si>
    <t>ORD01340</t>
  </si>
  <si>
    <t>ORD00324</t>
  </si>
  <si>
    <t>ORD00034</t>
  </si>
  <si>
    <t>ORD00915</t>
  </si>
  <si>
    <t>ORD01362</t>
  </si>
  <si>
    <t>ORD00608</t>
  </si>
  <si>
    <t>ORD01464</t>
  </si>
  <si>
    <t>ORD01485</t>
  </si>
  <si>
    <t>ORD00568</t>
  </si>
  <si>
    <t>ORD01294</t>
  </si>
  <si>
    <t>ORD01428</t>
  </si>
  <si>
    <t>ORD00207</t>
  </si>
  <si>
    <t>ORD01114</t>
  </si>
  <si>
    <t>ORD00069</t>
  </si>
  <si>
    <t>ORD00558</t>
  </si>
  <si>
    <t>ORD00548</t>
  </si>
  <si>
    <t>ORD00916</t>
  </si>
  <si>
    <t>ORD00526</t>
  </si>
  <si>
    <t>ORD00421</t>
  </si>
  <si>
    <t>ORD01435</t>
  </si>
  <si>
    <t>ORD01010</t>
  </si>
  <si>
    <t>ORD00473</t>
  </si>
  <si>
    <t>ORD01095</t>
  </si>
  <si>
    <t>ORD00247</t>
  </si>
  <si>
    <t>ORD00336</t>
  </si>
  <si>
    <t>ORD00757</t>
  </si>
  <si>
    <t>ORD01028</t>
  </si>
  <si>
    <t>ORD00686</t>
  </si>
  <si>
    <t>ORD00787</t>
  </si>
  <si>
    <t>ORD00374</t>
  </si>
  <si>
    <t>C0007</t>
  </si>
  <si>
    <t>ORD00630</t>
  </si>
  <si>
    <t>ORD01076</t>
  </si>
  <si>
    <t>ORD00674</t>
  </si>
  <si>
    <t>ORD00400</t>
  </si>
  <si>
    <t>ORD00542</t>
  </si>
  <si>
    <t>ORD00767</t>
  </si>
  <si>
    <t>ORD01500</t>
  </si>
  <si>
    <t>ORD00557</t>
  </si>
  <si>
    <t>ORD01019</t>
  </si>
  <si>
    <t>ORD00175</t>
  </si>
  <si>
    <t>ORD00209</t>
  </si>
  <si>
    <t>ORD00337</t>
  </si>
  <si>
    <t>ORD00699</t>
  </si>
  <si>
    <t>ORD00198</t>
  </si>
  <si>
    <t>ORD00507</t>
  </si>
  <si>
    <t>ORD01499</t>
  </si>
  <si>
    <t>ORD01421</t>
  </si>
  <si>
    <t>ORD00701</t>
  </si>
  <si>
    <t>ORD00721</t>
  </si>
  <si>
    <t>ORD00909</t>
  </si>
  <si>
    <t>ORD01128</t>
  </si>
  <si>
    <t>ORD01026</t>
  </si>
  <si>
    <t>ORD00299</t>
  </si>
  <si>
    <t>ORD00807</t>
  </si>
  <si>
    <t>C0187</t>
  </si>
  <si>
    <t>ORD00727</t>
  </si>
  <si>
    <t>ORD00458</t>
  </si>
  <si>
    <t>ORD01431</t>
  </si>
  <si>
    <t>ORD00660</t>
  </si>
  <si>
    <t>ORD00953</t>
  </si>
  <si>
    <t>ORD00469</t>
  </si>
  <si>
    <t>ORD01357</t>
  </si>
  <si>
    <t>ORD00148</t>
  </si>
  <si>
    <t>ORD00990</t>
  </si>
  <si>
    <t>ORD00666</t>
  </si>
  <si>
    <t>ORD00610</t>
  </si>
  <si>
    <t>ORD00464</t>
  </si>
  <si>
    <t>ORD00908</t>
  </si>
  <si>
    <t>ORD00708</t>
  </si>
  <si>
    <t>ORD01228</t>
  </si>
  <si>
    <t>ORD00691</t>
  </si>
  <si>
    <t>ORD00093</t>
  </si>
  <si>
    <t>ORD00748</t>
  </si>
  <si>
    <t>ORD01445</t>
  </si>
  <si>
    <t>ORD00903</t>
  </si>
  <si>
    <t>ORD01475</t>
  </si>
  <si>
    <t>ORD01297</t>
  </si>
  <si>
    <t>ORD01144</t>
  </si>
  <si>
    <t>ORD01168</t>
  </si>
  <si>
    <t>ORD00120</t>
  </si>
  <si>
    <t>ORD01001</t>
  </si>
  <si>
    <t>ORD01288</t>
  </si>
  <si>
    <t>C0046</t>
  </si>
  <si>
    <t>ORD00461</t>
  </si>
  <si>
    <t>ORD00443</t>
  </si>
  <si>
    <t>ORD01122</t>
  </si>
  <si>
    <t>ORD00753</t>
  </si>
  <si>
    <t>ORD00091</t>
  </si>
  <si>
    <t>ORD00454</t>
  </si>
  <si>
    <t>ORD00001</t>
  </si>
  <si>
    <t>ORD00260</t>
  </si>
  <si>
    <t>ORD00018</t>
  </si>
  <si>
    <t>ORD00226</t>
  </si>
  <si>
    <t>ORD00702</t>
  </si>
  <si>
    <t>ORD00827</t>
  </si>
  <si>
    <t>ORD00140</t>
  </si>
  <si>
    <t>ORD01295</t>
  </si>
  <si>
    <t>ORD00992</t>
  </si>
  <si>
    <t>ORD01226</t>
  </si>
  <si>
    <t>ORD00824</t>
  </si>
  <si>
    <t>ORD00079</t>
  </si>
  <si>
    <t>ORD01491</t>
  </si>
  <si>
    <t>ORD01152</t>
  </si>
  <si>
    <t>ORD01150</t>
  </si>
  <si>
    <t>ORD00976</t>
  </si>
  <si>
    <t>ORD01034</t>
  </si>
  <si>
    <t>ORD00598</t>
  </si>
  <si>
    <t>ORD01240</t>
  </si>
  <si>
    <t>ORD01407</t>
  </si>
  <si>
    <t>ORD01044</t>
  </si>
  <si>
    <t>ORD00602</t>
  </si>
  <si>
    <t>ORD00456</t>
  </si>
  <si>
    <t>C0404</t>
  </si>
  <si>
    <t>ORD00350</t>
  </si>
  <si>
    <t>ORD00817</t>
  </si>
  <si>
    <t>ORD00012</t>
  </si>
  <si>
    <t>ORD01190</t>
  </si>
  <si>
    <t>ORD01463</t>
  </si>
  <si>
    <t>ORD00499</t>
  </si>
  <si>
    <t>ORD00639</t>
  </si>
  <si>
    <t>ORD00157</t>
  </si>
  <si>
    <t>ORD01375</t>
  </si>
  <si>
    <t>ORD00322</t>
  </si>
  <si>
    <t>ORD01163</t>
  </si>
  <si>
    <t>ORD00543</t>
  </si>
  <si>
    <t>ORD00870</t>
  </si>
  <si>
    <t>ORD00867</t>
  </si>
  <si>
    <t>ORD00939</t>
  </si>
  <si>
    <t>ORD00553</t>
  </si>
  <si>
    <t>ORD00875</t>
  </si>
  <si>
    <t>ORD01330</t>
  </si>
  <si>
    <t>ORD00389</t>
  </si>
  <si>
    <t>ORD00449</t>
  </si>
  <si>
    <t>ORD00925</t>
  </si>
  <si>
    <t>ORD00266</t>
  </si>
  <si>
    <t>ORD01135</t>
  </si>
  <si>
    <t>ORD00978</t>
  </si>
  <si>
    <t>ORD00045</t>
  </si>
  <si>
    <t>ORD00216</t>
  </si>
  <si>
    <t>ORD00517</t>
  </si>
  <si>
    <t>ORD00025</t>
  </si>
  <si>
    <t>ORD00036</t>
  </si>
  <si>
    <t>ORD00961</t>
  </si>
  <si>
    <t>ORD01368</t>
  </si>
  <si>
    <t>ORD00270</t>
  </si>
  <si>
    <t>ORD01457</t>
  </si>
  <si>
    <t>ORD01017</t>
  </si>
  <si>
    <t>ORD00133</t>
  </si>
  <si>
    <t>ORD00275</t>
  </si>
  <si>
    <t>ORD00027</t>
  </si>
  <si>
    <t>ORD01293</t>
  </si>
  <si>
    <t>ORD00504</t>
  </si>
  <si>
    <t>ORD00828</t>
  </si>
  <si>
    <t>ORD00793</t>
  </si>
  <si>
    <t>ORD00528</t>
  </si>
  <si>
    <t>ORD00331</t>
  </si>
  <si>
    <t>ORD00578</t>
  </si>
  <si>
    <t>ORD00781</t>
  </si>
  <si>
    <t>ORD01094</t>
  </si>
  <si>
    <t>ORD00210</t>
  </si>
  <si>
    <t>ORD00212</t>
  </si>
  <si>
    <t>ORD01151</t>
  </si>
  <si>
    <t>ORD01354</t>
  </si>
  <si>
    <t>ORD01142</t>
  </si>
  <si>
    <t>ORD00236</t>
  </si>
  <si>
    <t>ORD00577</t>
  </si>
  <si>
    <t>ORD01420</t>
  </si>
  <si>
    <t>ORD00815</t>
  </si>
  <si>
    <t>ORD00016</t>
  </si>
  <si>
    <t>ORD00399</t>
  </si>
  <si>
    <t>ORD00755</t>
  </si>
  <si>
    <t>ORD01206</t>
  </si>
  <si>
    <t>ORD01183</t>
  </si>
  <si>
    <t>ORD00670</t>
  </si>
  <si>
    <t>C0221</t>
  </si>
  <si>
    <t>ORD00745</t>
  </si>
  <si>
    <t>ORD00657</t>
  </si>
  <si>
    <t>ORD00707</t>
  </si>
  <si>
    <t>ORD00227</t>
  </si>
  <si>
    <t>ORD00202</t>
  </si>
  <si>
    <t>ORD00905</t>
  </si>
  <si>
    <t>ORD00127</t>
  </si>
  <si>
    <t>ORD00555</t>
  </si>
  <si>
    <t>ORD01462</t>
  </si>
  <si>
    <t>ORD00982</t>
  </si>
  <si>
    <t>C0259</t>
  </si>
  <si>
    <t>ORD01023</t>
  </si>
  <si>
    <t>ORD00264</t>
  </si>
  <si>
    <t>ORD00118</t>
  </si>
  <si>
    <t>ORD00186</t>
  </si>
  <si>
    <t>ORD00508</t>
  </si>
  <si>
    <t>ORD01494</t>
  </si>
  <si>
    <t>ORD00503</t>
  </si>
  <si>
    <t>ORD00105</t>
  </si>
  <si>
    <t>ORD00696</t>
  </si>
  <si>
    <t>ORD00194</t>
  </si>
  <si>
    <t>ORD01403</t>
  </si>
  <si>
    <t>ORD01215</t>
  </si>
  <si>
    <t>ORD01112</t>
  </si>
  <si>
    <t>ORD00060</t>
  </si>
  <si>
    <t>ORD01466</t>
  </si>
  <si>
    <t>ORD00567</t>
  </si>
  <si>
    <t>ORD01113</t>
  </si>
  <si>
    <t>ORD01410</t>
  </si>
  <si>
    <t>ORD01248</t>
  </si>
  <si>
    <t>ORD01118</t>
  </si>
  <si>
    <t>ORD01077</t>
  </si>
  <si>
    <t>ORD01007</t>
  </si>
  <si>
    <t>ORD01270</t>
  </si>
  <si>
    <t>ORD01158</t>
  </si>
  <si>
    <t>ORD00600</t>
  </si>
  <si>
    <t>C0049</t>
  </si>
  <si>
    <t>ORD00135</t>
  </si>
  <si>
    <t>ORD00009</t>
  </si>
  <si>
    <t>C0374</t>
  </si>
  <si>
    <t>ORD00638</t>
  </si>
  <si>
    <t>ORD01242</t>
  </si>
  <si>
    <t>ORD00948</t>
  </si>
  <si>
    <t>ORD01480</t>
  </si>
  <si>
    <t>ORD00288</t>
  </si>
  <si>
    <t>ORD00573</t>
  </si>
  <si>
    <t>ORD00039</t>
  </si>
  <si>
    <t>C0342</t>
  </si>
  <si>
    <t>ORD00248</t>
  </si>
  <si>
    <t>ORD00743</t>
  </si>
  <si>
    <t>ORD01219</t>
  </si>
  <si>
    <t>ORD00245</t>
  </si>
  <si>
    <t>ORD00709</t>
  </si>
  <si>
    <t>ORD00698</t>
  </si>
  <si>
    <t>ORD01381</t>
  </si>
  <si>
    <t>ORD01199</t>
  </si>
  <si>
    <t>C0097</t>
  </si>
  <si>
    <t>ORD00412</t>
  </si>
  <si>
    <t>ORD00024</t>
  </si>
  <si>
    <t>ORD00080</t>
  </si>
  <si>
    <t>ORD01177</t>
  </si>
  <si>
    <t>ORD00762</t>
  </si>
  <si>
    <t>ORD00240</t>
  </si>
  <si>
    <t>ORD00700</t>
  </si>
  <si>
    <t>ORD00963</t>
  </si>
  <si>
    <t>ORD00812</t>
  </si>
  <si>
    <t>C0318</t>
  </si>
  <si>
    <t>ORD00109</t>
  </si>
  <si>
    <t>ORD01266</t>
  </si>
  <si>
    <t>ORD00347</t>
  </si>
  <si>
    <t>ORD00729</t>
  </si>
  <si>
    <t>C0238</t>
  </si>
  <si>
    <t>ORD00147</t>
  </si>
  <si>
    <t>ORD00742</t>
  </si>
  <si>
    <t>ORD00377</t>
  </si>
  <si>
    <t>ORD01093</t>
  </si>
  <si>
    <t>ORD00998</t>
  </si>
  <si>
    <t>ORD01409</t>
  </si>
  <si>
    <t>ORD01159</t>
  </si>
  <si>
    <t>ORD01176</t>
  </si>
  <si>
    <t>ORD00065</t>
  </si>
  <si>
    <t>ORD00022</t>
  </si>
  <si>
    <t>Grand Total</t>
  </si>
  <si>
    <t>Sum of Revenue_INR</t>
  </si>
  <si>
    <t>Sum of Profit_INR</t>
  </si>
  <si>
    <t>Sales Channel</t>
  </si>
  <si>
    <t>Products</t>
  </si>
  <si>
    <t>2024</t>
  </si>
  <si>
    <t>Jan</t>
  </si>
  <si>
    <t>Feb</t>
  </si>
  <si>
    <t>Mar</t>
  </si>
  <si>
    <t>Apr</t>
  </si>
  <si>
    <t>May</t>
  </si>
  <si>
    <t>Jun</t>
  </si>
  <si>
    <t>Jul</t>
  </si>
  <si>
    <t>Aug</t>
  </si>
  <si>
    <t>Sep</t>
  </si>
  <si>
    <t>Oct</t>
  </si>
  <si>
    <t>Nov</t>
  </si>
  <si>
    <t>Dec</t>
  </si>
  <si>
    <t>2025</t>
  </si>
  <si>
    <t>Sum of Total_Cost_INR</t>
  </si>
  <si>
    <t>E-COMMERCE SALES ANALYTICS DASHBOARD</t>
  </si>
  <si>
    <t>Count of Order_ID</t>
  </si>
  <si>
    <t>States</t>
  </si>
  <si>
    <t>Year</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</si>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</sst>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_ [$₹-4009]\ * #,##0_ ;_ [$₹-4009]\ * \-#,##0_ ;_ [$₹-4009]\ * &quot;-&quot;??_ ;_ @_ "/>
    <numFmt numFmtId="171" formatCode="0.0%"/>
  </numFmts>
  <fonts count="3" x14ac:knownFonts="1">
    <font>
      <sz val="11"/>
      <color theme="1"/>
      <name val="Aptos Narrow"/>
      <family val="2"/>
      <scheme val="minor"/>
    </font>
    <font>
      <sz val="11"/>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2" fillId="0" borderId="0" xfId="0" applyFont="1"/>
    <xf numFmtId="170" fontId="0" fillId="0" borderId="0" xfId="0" applyNumberFormat="1"/>
    <xf numFmtId="171" fontId="0" fillId="0" borderId="0" xfId="1" applyNumberFormat="1" applyFont="1"/>
  </cellXfs>
  <cellStyles count="2">
    <cellStyle name="Normal" xfId="0" builtinId="0"/>
    <cellStyle name="Percent" xfId="1" builtinId="5"/>
  </cellStyles>
  <dxfs count="12">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156082"/>
      <color rgb="FF9DD9F3"/>
      <color rgb="FFA6C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[excel_analysis_backup.xlsx]Sales Channel Analysis!PivotTable4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Channel Analysis</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Channel Analysis'!$B$3</c:f>
              <c:strCache>
                <c:ptCount val="1"/>
                <c:pt idx="0">
                  <c:v>Sum of Revenue_INR</c:v>
                </c:pt>
              </c:strCache>
            </c:strRef>
          </c:tx>
          <c:spPr>
            <a:solidFill>
              <a:schemeClr val="accent1"/>
            </a:solidFill>
            <a:ln>
              <a:noFill/>
            </a:ln>
            <a:effectLst/>
          </c:spPr>
          <c:invertIfNegative val="0"/>
          <c:cat>
            <c:strRef>
              <c:f>'Sales Channel Analysis'!$A$4:$A$7</c:f>
              <c:strCache>
                <c:ptCount val="3"/>
                <c:pt idx="0">
                  <c:v>Marketplace</c:v>
                </c:pt>
                <c:pt idx="1">
                  <c:v>Mobile App</c:v>
                </c:pt>
                <c:pt idx="2">
                  <c:v>Website</c:v>
                </c:pt>
              </c:strCache>
            </c:strRef>
          </c:cat>
          <c:val>
            <c:numRef>
              <c:f>'Sales Channel Analysis'!$B$4:$B$7</c:f>
              <c:numCache>
                <c:formatCode>General</c:formatCode>
                <c:ptCount val="3"/>
                <c:pt idx="0">
                  <c:v>1956787.3499999999</c:v>
                </c:pt>
                <c:pt idx="1">
                  <c:v>1630214.3499999999</c:v>
                </c:pt>
                <c:pt idx="2">
                  <c:v>1796967.3500000006</c:v>
                </c:pt>
              </c:numCache>
            </c:numRef>
          </c:val>
          <c:extLst>
            <c:ext xmlns:c16="http://schemas.microsoft.com/office/drawing/2014/chart" uri="{C3380CC4-5D6E-409C-BE32-E72D297353CC}">
              <c16:uniqueId val="{00000003-CF7F-46B5-94D2-8E291D553480}"/>
            </c:ext>
          </c:extLst>
        </c:ser>
        <c:ser>
          <c:idx val="1"/>
          <c:order val="1"/>
          <c:tx>
            <c:strRef>
              <c:f>'Sales Channel Analysis'!$C$3</c:f>
              <c:strCache>
                <c:ptCount val="1"/>
                <c:pt idx="0">
                  <c:v>Sum of Profit_INR</c:v>
                </c:pt>
              </c:strCache>
            </c:strRef>
          </c:tx>
          <c:invertIfNegative val="0"/>
          <c:cat>
            <c:strRef>
              <c:f>'Sales Channel Analysis'!$A$4:$A$7</c:f>
              <c:strCache>
                <c:ptCount val="3"/>
                <c:pt idx="0">
                  <c:v>Marketplace</c:v>
                </c:pt>
                <c:pt idx="1">
                  <c:v>Mobile App</c:v>
                </c:pt>
                <c:pt idx="2">
                  <c:v>Website</c:v>
                </c:pt>
              </c:strCache>
            </c:strRef>
          </c:cat>
          <c:val>
            <c:numRef>
              <c:f>'Sales Channel Analysis'!$C$4:$C$7</c:f>
              <c:numCache>
                <c:formatCode>General</c:formatCode>
                <c:ptCount val="3"/>
                <c:pt idx="0">
                  <c:v>653717.35000000033</c:v>
                </c:pt>
                <c:pt idx="1">
                  <c:v>557104.34999999986</c:v>
                </c:pt>
                <c:pt idx="2">
                  <c:v>616157.35000000021</c:v>
                </c:pt>
              </c:numCache>
            </c:numRef>
          </c:val>
          <c:extLst>
            <c:ext xmlns:c16="http://schemas.microsoft.com/office/drawing/2014/chart" uri="{C3380CC4-5D6E-409C-BE32-E72D297353CC}">
              <c16:uniqueId val="{00000004-CF7F-46B5-94D2-8E291D553480}"/>
            </c:ext>
          </c:extLst>
        </c:ser>
        <c:dLbls>
          <c:showLegendKey val="0"/>
          <c:showVal val="0"/>
          <c:showCatName val="0"/>
          <c:showSerName val="0"/>
          <c:showPercent val="0"/>
          <c:showBubbleSize val="0"/>
        </c:dLbls>
        <c:gapWidth val="219"/>
        <c:overlap val="-27"/>
        <c:axId val="2093821359"/>
        <c:axId val="2093818959"/>
      </c:barChart>
      <c:catAx>
        <c:axId val="20938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18959"/>
        <c:crosses val="autoZero"/>
        <c:auto val="1"/>
        <c:lblAlgn val="ctr"/>
        <c:lblOffset val="100"/>
        <c:noMultiLvlLbl val="0"/>
      </c:catAx>
      <c:valAx>
        <c:axId val="20938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213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[excel_analysis_backup.xlsx]Top 10 Product!PivotTable5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Product'!$B$3</c:f>
              <c:strCache>
                <c:ptCount val="1"/>
                <c:pt idx="0">
                  <c:v>Total</c:v>
                </c:pt>
              </c:strCache>
            </c:strRef>
          </c:tx>
          <c:spPr>
            <a:solidFill>
              <a:schemeClr val="accent1"/>
            </a:solidFill>
            <a:ln>
              <a:noFill/>
            </a:ln>
            <a:effectLst/>
          </c:spPr>
          <c:invertIfNegative val="0"/>
          <c:cat>
            <c:strRef>
              <c:f>'Top 10 Product'!$A$4:$A$14</c:f>
              <c:strCache>
                <c:ptCount val="10"/>
                <c:pt idx="0">
                  <c:v>Office Chair</c:v>
                </c:pt>
                <c:pt idx="1">
                  <c:v>Running Shoes</c:v>
                </c:pt>
                <c:pt idx="2">
                  <c:v>Mechanical Keyboard</c:v>
                </c:pt>
                <c:pt idx="3">
                  <c:v>Bluetooth Speaker</c:v>
                </c:pt>
                <c:pt idx="4">
                  <c:v>Backpack</c:v>
                </c:pt>
                <c:pt idx="5">
                  <c:v>USB-C Hub</c:v>
                </c:pt>
                <c:pt idx="6">
                  <c:v>Desk Lamp</c:v>
                </c:pt>
                <c:pt idx="7">
                  <c:v>Yoga Mat</c:v>
                </c:pt>
                <c:pt idx="8">
                  <c:v>Wireless Mouse</c:v>
                </c:pt>
                <c:pt idx="9">
                  <c:v>Water Bottle</c:v>
                </c:pt>
              </c:strCache>
            </c:strRef>
          </c:cat>
          <c:val>
            <c:numRef>
              <c:f>'Top 10 Product'!$B$4:$B$14</c:f>
              <c:numCache>
                <c:formatCode>General</c:formatCode>
                <c:ptCount val="10"/>
                <c:pt idx="0">
                  <c:v>1719654.3</c:v>
                </c:pt>
                <c:pt idx="1">
                  <c:v>750049.89999999979</c:v>
                </c:pt>
                <c:pt idx="2">
                  <c:v>591138.45000000007</c:v>
                </c:pt>
                <c:pt idx="3">
                  <c:v>534247.05000000005</c:v>
                </c:pt>
                <c:pt idx="4">
                  <c:v>428791.64999999997</c:v>
                </c:pt>
                <c:pt idx="5">
                  <c:v>342985.49999999994</c:v>
                </c:pt>
                <c:pt idx="6">
                  <c:v>285585.15000000008</c:v>
                </c:pt>
                <c:pt idx="7">
                  <c:v>263486.25</c:v>
                </c:pt>
                <c:pt idx="8">
                  <c:v>138626.50000000003</c:v>
                </c:pt>
                <c:pt idx="9">
                  <c:v>137249.95000000004</c:v>
                </c:pt>
              </c:numCache>
            </c:numRef>
          </c:val>
          <c:extLst>
            <c:ext xmlns:c16="http://schemas.microsoft.com/office/drawing/2014/chart" uri="{C3380CC4-5D6E-409C-BE32-E72D297353CC}">
              <c16:uniqueId val="{00000000-4505-40FE-85CA-6A3082CBA814}"/>
            </c:ext>
          </c:extLst>
        </c:ser>
        <c:dLbls>
          <c:showLegendKey val="0"/>
          <c:showVal val="0"/>
          <c:showCatName val="0"/>
          <c:showSerName val="0"/>
          <c:showPercent val="0"/>
          <c:showBubbleSize val="0"/>
        </c:dLbls>
        <c:gapWidth val="219"/>
        <c:overlap val="-27"/>
        <c:axId val="1017134575"/>
        <c:axId val="1017135055"/>
      </c:barChart>
      <c:catAx>
        <c:axId val="10171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5055"/>
        <c:crosses val="autoZero"/>
        <c:auto val="1"/>
        <c:lblAlgn val="ctr"/>
        <c:lblOffset val="100"/>
        <c:noMultiLvlLbl val="0"/>
      </c:catAx>
      <c:valAx>
        <c:axId val="101713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[excel_analysis_backup.xlsx]Monthly Revenue Trend!PivotTable1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none"/>
          </c:marker>
          <c:cat>
            <c:multiLvlStrRef>
              <c:f>'Monthly Revenue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'Monthly Revenue Trend'!$B$4:$B$30</c:f>
              <c:numCache>
                <c:formatCode>General</c:formatCode>
                <c:ptCount val="24"/>
                <c:pt idx="0">
                  <c:v>278305.75000000017</c:v>
                </c:pt>
                <c:pt idx="1">
                  <c:v>207957.49999999997</c:v>
                </c:pt>
                <c:pt idx="2">
                  <c:v>238384.35000000006</c:v>
                </c:pt>
                <c:pt idx="3">
                  <c:v>226483.64999999997</c:v>
                </c:pt>
                <c:pt idx="4">
                  <c:v>273032.95000000007</c:v>
                </c:pt>
                <c:pt idx="5">
                  <c:v>168757.70000000004</c:v>
                </c:pt>
                <c:pt idx="6">
                  <c:v>228314.75</c:v>
                </c:pt>
                <c:pt idx="7">
                  <c:v>187681.45000000004</c:v>
                </c:pt>
                <c:pt idx="8">
                  <c:v>165445.80000000002</c:v>
                </c:pt>
                <c:pt idx="9">
                  <c:v>347640.00000000006</c:v>
                </c:pt>
                <c:pt idx="10">
                  <c:v>197122.85000000006</c:v>
                </c:pt>
                <c:pt idx="11">
                  <c:v>196595.59999999998</c:v>
                </c:pt>
                <c:pt idx="12">
                  <c:v>212511.54999999993</c:v>
                </c:pt>
                <c:pt idx="13">
                  <c:v>201418.4</c:v>
                </c:pt>
                <c:pt idx="14">
                  <c:v>210489.75000000003</c:v>
                </c:pt>
                <c:pt idx="15">
                  <c:v>270367.64999999997</c:v>
                </c:pt>
                <c:pt idx="16">
                  <c:v>243465.05000000002</c:v>
                </c:pt>
                <c:pt idx="17">
                  <c:v>193993.25</c:v>
                </c:pt>
                <c:pt idx="18">
                  <c:v>178765.00000000003</c:v>
                </c:pt>
                <c:pt idx="19">
                  <c:v>226098.4</c:v>
                </c:pt>
                <c:pt idx="20">
                  <c:v>244699.10000000006</c:v>
                </c:pt>
                <c:pt idx="21">
                  <c:v>141076.44999999998</c:v>
                </c:pt>
                <c:pt idx="22">
                  <c:v>279442.75</c:v>
                </c:pt>
                <c:pt idx="23">
                  <c:v>265919.35000000003</c:v>
                </c:pt>
              </c:numCache>
            </c:numRef>
          </c:val>
          <c:smooth val="0"/>
          <c:extLst>
            <c:ext xmlns:c16="http://schemas.microsoft.com/office/drawing/2014/chart" uri="{C3380CC4-5D6E-409C-BE32-E72D297353CC}">
              <c16:uniqueId val="{00000000-BF9E-4473-871F-171C6C76796E}"/>
            </c:ext>
          </c:extLst>
        </c:ser>
        <c:dLbls>
          <c:showLegendKey val="0"/>
          <c:showVal val="0"/>
          <c:showCatName val="0"/>
          <c:showSerName val="0"/>
          <c:showPercent val="0"/>
          <c:showBubbleSize val="0"/>
        </c:dLbls>
        <c:smooth val="0"/>
        <c:axId val="922707759"/>
        <c:axId val="922710639"/>
      </c:lineChart>
      <c:catAx>
        <c:axId val="92270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10639"/>
        <c:crosses val="autoZero"/>
        <c:auto val="1"/>
        <c:lblAlgn val="ctr"/>
        <c:lblOffset val="100"/>
        <c:noMultiLvlLbl val="0"/>
      </c:catAx>
      <c:valAx>
        <c:axId val="92271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0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[excel_analysis_backup.xlsx]Profit by Product Ctegory!PivotTable2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Product Ctegory'!$B$3</c:f>
              <c:strCache>
                <c:ptCount val="1"/>
                <c:pt idx="0">
                  <c:v>Total</c:v>
                </c:pt>
              </c:strCache>
            </c:strRef>
          </c:tx>
          <c:spPr>
            <a:solidFill>
              <a:schemeClr val="accent1"/>
            </a:solidFill>
            <a:ln>
              <a:noFill/>
            </a:ln>
            <a:effectLst/>
          </c:spPr>
          <c:invertIfNegative val="0"/>
          <c:cat>
            <c:strRef>
              <c:f>'Profit by Product Ctegory'!$A$4:$A$9</c:f>
              <c:strCache>
                <c:ptCount val="5"/>
                <c:pt idx="0">
                  <c:v>Electronics</c:v>
                </c:pt>
                <c:pt idx="1">
                  <c:v>Fashion</c:v>
                </c:pt>
                <c:pt idx="2">
                  <c:v>Home &amp; Kitchen</c:v>
                </c:pt>
                <c:pt idx="3">
                  <c:v>Sports</c:v>
                </c:pt>
                <c:pt idx="4">
                  <c:v>Stationery</c:v>
                </c:pt>
              </c:strCache>
            </c:strRef>
          </c:cat>
          <c:val>
            <c:numRef>
              <c:f>'Profit by Product Ctegory'!$B$4:$B$9</c:f>
              <c:numCache>
                <c:formatCode>General</c:formatCode>
                <c:ptCount val="5"/>
                <c:pt idx="0">
                  <c:v>578867.50000000035</c:v>
                </c:pt>
                <c:pt idx="1">
                  <c:v>265280.34999999992</c:v>
                </c:pt>
                <c:pt idx="2">
                  <c:v>587909.40000000014</c:v>
                </c:pt>
                <c:pt idx="3">
                  <c:v>363016.15</c:v>
                </c:pt>
                <c:pt idx="4">
                  <c:v>31905.65</c:v>
                </c:pt>
              </c:numCache>
            </c:numRef>
          </c:val>
          <c:extLst>
            <c:ext xmlns:c16="http://schemas.microsoft.com/office/drawing/2014/chart" uri="{C3380CC4-5D6E-409C-BE32-E72D297353CC}">
              <c16:uniqueId val="{00000000-CC06-4073-A5F2-6422DD9DC9A3}"/>
            </c:ext>
          </c:extLst>
        </c:ser>
        <c:dLbls>
          <c:showLegendKey val="0"/>
          <c:showVal val="0"/>
          <c:showCatName val="0"/>
          <c:showSerName val="0"/>
          <c:showPercent val="0"/>
          <c:showBubbleSize val="0"/>
        </c:dLbls>
        <c:gapWidth val="219"/>
        <c:overlap val="-27"/>
        <c:axId val="922715919"/>
        <c:axId val="922706319"/>
      </c:barChart>
      <c:catAx>
        <c:axId val="9227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06319"/>
        <c:crosses val="autoZero"/>
        <c:auto val="1"/>
        <c:lblAlgn val="ctr"/>
        <c:lblOffset val="100"/>
        <c:noMultiLvlLbl val="0"/>
      </c:catAx>
      <c:valAx>
        <c:axId val="92270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[excel_analysis_backup.xlsx]Revenue Vs Total cost 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Vs Total Cost by Sales Channel</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marker>
          <c:symbol val="none"/>
        </c:marker>
      </c:pivotFmt>
    </c:pivotFmts>
    <c:plotArea>
      <c:layout/>
      <c:barChart>
        <c:barDir val="col"/>
        <c:grouping val="clustered"/>
        <c:varyColors val="0"/>
        <c:ser>
          <c:idx val="0"/>
          <c:order val="0"/>
          <c:tx>
            <c:strRef>
              <c:f>'Revenue Vs Total cost Analysis'!$B$3</c:f>
              <c:strCache>
                <c:ptCount val="1"/>
                <c:pt idx="0">
                  <c:v>Sum of Revenue_INR</c:v>
                </c:pt>
              </c:strCache>
            </c:strRef>
          </c:tx>
          <c:spPr>
            <a:solidFill>
              <a:schemeClr val="accent1"/>
            </a:solidFill>
            <a:ln>
              <a:noFill/>
            </a:ln>
            <a:effectLst/>
          </c:spPr>
          <c:invertIfNegative val="0"/>
          <c:cat>
            <c:strRef>
              <c:f>'Revenue Vs Total cost Analysis'!$A$4:$A$7</c:f>
              <c:strCache>
                <c:ptCount val="3"/>
                <c:pt idx="0">
                  <c:v>Marketplace</c:v>
                </c:pt>
                <c:pt idx="1">
                  <c:v>Mobile App</c:v>
                </c:pt>
                <c:pt idx="2">
                  <c:v>Website</c:v>
                </c:pt>
              </c:strCache>
            </c:strRef>
          </c:cat>
          <c:val>
            <c:numRef>
              <c:f>'Revenue Vs Total cost Analysis'!$B$4:$B$7</c:f>
              <c:numCache>
                <c:formatCode>General</c:formatCode>
                <c:ptCount val="3"/>
                <c:pt idx="0">
                  <c:v>1956787.3499999999</c:v>
                </c:pt>
                <c:pt idx="1">
                  <c:v>1630214.3499999999</c:v>
                </c:pt>
                <c:pt idx="2">
                  <c:v>1796967.3500000006</c:v>
                </c:pt>
              </c:numCache>
            </c:numRef>
          </c:val>
          <c:extLst>
            <c:ext xmlns:c16="http://schemas.microsoft.com/office/drawing/2014/chart" uri="{C3380CC4-5D6E-409C-BE32-E72D297353CC}">
              <c16:uniqueId val="{00000009-212E-4B5F-8191-A1C2F7B6CEDA}"/>
            </c:ext>
          </c:extLst>
        </c:ser>
        <c:ser>
          <c:idx val="1"/>
          <c:order val="1"/>
          <c:tx>
            <c:strRef>
              <c:f>'Revenue Vs Total cost Analysis'!$C$3</c:f>
              <c:strCache>
                <c:ptCount val="1"/>
                <c:pt idx="0">
                  <c:v>Sum of Total_Cost_INR</c:v>
                </c:pt>
              </c:strCache>
            </c:strRef>
          </c:tx>
          <c:invertIfNegative val="0"/>
          <c:cat>
            <c:strRef>
              <c:f>'Revenue Vs Total cost Analysis'!$A$4:$A$7</c:f>
              <c:strCache>
                <c:ptCount val="3"/>
                <c:pt idx="0">
                  <c:v>Marketplace</c:v>
                </c:pt>
                <c:pt idx="1">
                  <c:v>Mobile App</c:v>
                </c:pt>
                <c:pt idx="2">
                  <c:v>Website</c:v>
                </c:pt>
              </c:strCache>
            </c:strRef>
          </c:cat>
          <c:val>
            <c:numRef>
              <c:f>'Revenue Vs Total cost Analysis'!$C$4:$C$7</c:f>
              <c:numCache>
                <c:formatCode>General</c:formatCode>
                <c:ptCount val="3"/>
                <c:pt idx="0">
                  <c:v>1274070</c:v>
                </c:pt>
                <c:pt idx="1">
                  <c:v>1046710</c:v>
                </c:pt>
                <c:pt idx="2">
                  <c:v>1151750</c:v>
                </c:pt>
              </c:numCache>
            </c:numRef>
          </c:val>
          <c:extLst>
            <c:ext xmlns:c16="http://schemas.microsoft.com/office/drawing/2014/chart" uri="{C3380CC4-5D6E-409C-BE32-E72D297353CC}">
              <c16:uniqueId val="{0000000B-212E-4B5F-8191-A1C2F7B6CEDA}"/>
            </c:ext>
          </c:extLst>
        </c:ser>
        <c:dLbls>
          <c:showLegendKey val="0"/>
          <c:showVal val="0"/>
          <c:showCatName val="0"/>
          <c:showSerName val="0"/>
          <c:showPercent val="0"/>
          <c:showBubbleSize val="0"/>
        </c:dLbls>
        <c:gapWidth val="219"/>
        <c:overlap val="-27"/>
        <c:axId val="2093821359"/>
        <c:axId val="2093818959"/>
      </c:barChart>
      <c:catAx>
        <c:axId val="20938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18959"/>
        <c:crosses val="autoZero"/>
        <c:auto val="1"/>
        <c:lblAlgn val="ctr"/>
        <c:lblOffset val="100"/>
        <c:noMultiLvlLbl val="0"/>
      </c:catAx>
      <c:valAx>
        <c:axId val="20938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213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[excel_analysis_backup.xlsx]Profit Margin Analysis!PivotTable4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Margin Analysis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'Profit Margin Analysis'!$B$3</c:f>
              <c:strCache>
                <c:ptCount val="1"/>
                <c:pt idx="0">
                  <c:v>Sum of Revenue_INR</c:v>
                </c:pt>
              </c:strCache>
            </c:strRef>
          </c:tx>
          <c:spPr>
            <a:solidFill>
              <a:schemeClr val="accent1"/>
            </a:solidFill>
            <a:ln>
              <a:noFill/>
            </a:ln>
            <a:effectLst/>
          </c:spPr>
          <c:invertIfNegative val="0"/>
          <c:cat>
            <c:strRef>
              <c:f>'Profit Margin Analysis'!$A$4:$A$7</c:f>
              <c:strCache>
                <c:ptCount val="3"/>
                <c:pt idx="0">
                  <c:v>Marketplace</c:v>
                </c:pt>
                <c:pt idx="1">
                  <c:v>Mobile App</c:v>
                </c:pt>
                <c:pt idx="2">
                  <c:v>Website</c:v>
                </c:pt>
              </c:strCache>
            </c:strRef>
          </c:cat>
          <c:val>
            <c:numRef>
              <c:f>'Profit Margin Analysis'!$B$4:$B$7</c:f>
              <c:numCache>
                <c:formatCode>General</c:formatCode>
                <c:ptCount val="3"/>
                <c:pt idx="0">
                  <c:v>1956787.3499999999</c:v>
                </c:pt>
                <c:pt idx="1">
                  <c:v>1630214.3499999999</c:v>
                </c:pt>
                <c:pt idx="2">
                  <c:v>1796967.3500000006</c:v>
                </c:pt>
              </c:numCache>
            </c:numRef>
          </c:val>
          <c:extLst>
            <c:ext xmlns:c16="http://schemas.microsoft.com/office/drawing/2014/chart" uri="{C3380CC4-5D6E-409C-BE32-E72D297353CC}">
              <c16:uniqueId val="{00000003-745B-4B97-AD9E-51C328E71236}"/>
            </c:ext>
          </c:extLst>
        </c:ser>
        <c:ser>
          <c:idx val="1"/>
          <c:order val="1"/>
          <c:tx>
            <c:strRef>
              <c:f>'Profit Margin Analysis'!$C$3</c:f>
              <c:strCache>
                <c:ptCount val="1"/>
                <c:pt idx="0">
                  <c:v>Sum of Profit_INR</c:v>
                </c:pt>
              </c:strCache>
            </c:strRef>
          </c:tx>
          <c:invertIfNegative val="0"/>
          <c:cat>
            <c:strRef>
              <c:f>'Profit Margin Analysis'!$A$4:$A$7</c:f>
              <c:strCache>
                <c:ptCount val="3"/>
                <c:pt idx="0">
                  <c:v>Marketplace</c:v>
                </c:pt>
                <c:pt idx="1">
                  <c:v>Mobile App</c:v>
                </c:pt>
                <c:pt idx="2">
                  <c:v>Website</c:v>
                </c:pt>
              </c:strCache>
            </c:strRef>
          </c:cat>
          <c:val>
            <c:numRef>
              <c:f>'Profit Margin Analysis'!$C$4:$C$7</c:f>
              <c:numCache>
                <c:formatCode>General</c:formatCode>
                <c:ptCount val="3"/>
                <c:pt idx="0">
                  <c:v>653717.35000000033</c:v>
                </c:pt>
                <c:pt idx="1">
                  <c:v>557104.34999999986</c:v>
                </c:pt>
                <c:pt idx="2">
                  <c:v>616157.35000000021</c:v>
                </c:pt>
              </c:numCache>
            </c:numRef>
          </c:val>
          <c:extLst>
            <c:ext xmlns:c16="http://schemas.microsoft.com/office/drawing/2014/chart" uri="{C3380CC4-5D6E-409C-BE32-E72D297353CC}">
              <c16:uniqueId val="{00000005-745B-4B97-AD9E-51C328E71236}"/>
            </c:ext>
          </c:extLst>
        </c:ser>
        <c:dLbls>
          <c:showLegendKey val="0"/>
          <c:showVal val="0"/>
          <c:showCatName val="0"/>
          <c:showSerName val="0"/>
          <c:showPercent val="0"/>
          <c:showBubbleSize val="0"/>
        </c:dLbls>
        <c:gapWidth val="219"/>
        <c:overlap val="-27"/>
        <c:axId val="2093821359"/>
        <c:axId val="2093818959"/>
      </c:barChart>
      <c:catAx>
        <c:axId val="20938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18959"/>
        <c:crosses val="autoZero"/>
        <c:auto val="1"/>
        <c:lblAlgn val="ctr"/>
        <c:lblOffset val="100"/>
        <c:noMultiLvlLbl val="0"/>
      </c:catAx>
      <c:valAx>
        <c:axId val="20938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213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tx1">
          <a:lumMod val="95000"/>
          <a:lumOff val="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[excel_analysis_backup.xlsx]State-wise Revenue!PivotTable10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State-wise</a:t>
            </a:r>
            <a:r>
              <a:rPr lang="en-IN" b="1" baseline="0"/>
              <a:t> Revenue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Revenue'!$B$3</c:f>
              <c:strCache>
                <c:ptCount val="1"/>
                <c:pt idx="0">
                  <c:v>Total</c:v>
                </c:pt>
              </c:strCache>
            </c:strRef>
          </c:tx>
          <c:spPr>
            <a:solidFill>
              <a:schemeClr val="accent1"/>
            </a:solidFill>
            <a:ln>
              <a:noFill/>
            </a:ln>
            <a:effectLst/>
          </c:spPr>
          <c:invertIfNegative val="0"/>
          <c:cat>
            <c:strRef>
              <c:f>'State-wise Revenue'!$A$4:$A$14</c:f>
              <c:strCache>
                <c:ptCount val="10"/>
                <c:pt idx="0">
                  <c:v>Madhya Pradesh</c:v>
                </c:pt>
                <c:pt idx="1">
                  <c:v>Maharashtra</c:v>
                </c:pt>
                <c:pt idx="2">
                  <c:v>West Bengal</c:v>
                </c:pt>
                <c:pt idx="3">
                  <c:v>Delhi</c:v>
                </c:pt>
                <c:pt idx="4">
                  <c:v>Uttar Pradesh</c:v>
                </c:pt>
                <c:pt idx="5">
                  <c:v>Gujarat</c:v>
                </c:pt>
                <c:pt idx="6">
                  <c:v>Rajasthan</c:v>
                </c:pt>
                <c:pt idx="7">
                  <c:v>Karnataka</c:v>
                </c:pt>
                <c:pt idx="8">
                  <c:v>Tamil Nadu</c:v>
                </c:pt>
                <c:pt idx="9">
                  <c:v>Telangana</c:v>
                </c:pt>
              </c:strCache>
            </c:strRef>
          </c:cat>
          <c:val>
            <c:numRef>
              <c:f>'State-wise Revenue'!$B$4:$B$14</c:f>
              <c:numCache>
                <c:formatCode>General</c:formatCode>
                <c:ptCount val="10"/>
                <c:pt idx="0">
                  <c:v>958989.45000000019</c:v>
                </c:pt>
                <c:pt idx="1">
                  <c:v>805098.59999999974</c:v>
                </c:pt>
                <c:pt idx="2">
                  <c:v>541454.19999999995</c:v>
                </c:pt>
                <c:pt idx="3">
                  <c:v>518699.9499999999</c:v>
                </c:pt>
                <c:pt idx="4">
                  <c:v>491999.85000000015</c:v>
                </c:pt>
                <c:pt idx="5">
                  <c:v>488579.85000000003</c:v>
                </c:pt>
                <c:pt idx="6">
                  <c:v>423634.45000000013</c:v>
                </c:pt>
                <c:pt idx="7">
                  <c:v>395310.64999999997</c:v>
                </c:pt>
                <c:pt idx="8">
                  <c:v>385739.5500000001</c:v>
                </c:pt>
                <c:pt idx="9">
                  <c:v>374462.49999999983</c:v>
                </c:pt>
              </c:numCache>
            </c:numRef>
          </c:val>
          <c:extLst>
            <c:ext xmlns:c16="http://schemas.microsoft.com/office/drawing/2014/chart" uri="{C3380CC4-5D6E-409C-BE32-E72D297353CC}">
              <c16:uniqueId val="{00000000-D04B-43BA-AC59-73A8F7D20D6C}"/>
            </c:ext>
          </c:extLst>
        </c:ser>
        <c:dLbls>
          <c:showLegendKey val="0"/>
          <c:showVal val="0"/>
          <c:showCatName val="0"/>
          <c:showSerName val="0"/>
          <c:showPercent val="0"/>
          <c:showBubbleSize val="0"/>
        </c:dLbls>
        <c:gapWidth val="219"/>
        <c:overlap val="-27"/>
        <c:axId val="1123834255"/>
        <c:axId val="1123836175"/>
      </c:barChart>
      <c:catAx>
        <c:axId val="11238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6175"/>
        <c:crosses val="autoZero"/>
        <c:auto val="1"/>
        <c:lblAlgn val="ctr"/>
        <c:lblOffset val="100"/>
        <c:noMultiLvlLbl val="0"/>
      </c:catAx>
      <c:valAx>
        <c:axId val="112383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[excel_analysis_backup.xlsx]State-wise Profit!PivotTable11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State-wise</a:t>
            </a:r>
            <a:r>
              <a:rPr lang="en-IN" b="1" baseline="0"/>
              <a:t>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Profit'!$B$1</c:f>
              <c:strCache>
                <c:ptCount val="1"/>
                <c:pt idx="0">
                  <c:v>Total</c:v>
                </c:pt>
              </c:strCache>
            </c:strRef>
          </c:tx>
          <c:spPr>
            <a:solidFill>
              <a:schemeClr val="accent1"/>
            </a:solidFill>
            <a:ln>
              <a:noFill/>
            </a:ln>
            <a:effectLst/>
          </c:spPr>
          <c:invertIfNegative val="0"/>
          <c:cat>
            <c:strRef>
              <c:f>'State-wise Profit'!$A$2:$A$12</c:f>
              <c:strCache>
                <c:ptCount val="10"/>
                <c:pt idx="0">
                  <c:v>Madhya Pradesh</c:v>
                </c:pt>
                <c:pt idx="1">
                  <c:v>Maharashtra</c:v>
                </c:pt>
                <c:pt idx="2">
                  <c:v>Delhi</c:v>
                </c:pt>
                <c:pt idx="3">
                  <c:v>West Bengal</c:v>
                </c:pt>
                <c:pt idx="4">
                  <c:v>Gujarat</c:v>
                </c:pt>
                <c:pt idx="5">
                  <c:v>Uttar Pradesh</c:v>
                </c:pt>
                <c:pt idx="6">
                  <c:v>Rajasthan</c:v>
                </c:pt>
                <c:pt idx="7">
                  <c:v>Tamil Nadu</c:v>
                </c:pt>
                <c:pt idx="8">
                  <c:v>Karnataka</c:v>
                </c:pt>
                <c:pt idx="9">
                  <c:v>Telangana</c:v>
                </c:pt>
              </c:strCache>
            </c:strRef>
          </c:cat>
          <c:val>
            <c:numRef>
              <c:f>'State-wise Profit'!$B$2:$B$12</c:f>
              <c:numCache>
                <c:formatCode>General</c:formatCode>
                <c:ptCount val="10"/>
                <c:pt idx="0">
                  <c:v>310349.44999999995</c:v>
                </c:pt>
                <c:pt idx="1">
                  <c:v>287688.59999999986</c:v>
                </c:pt>
                <c:pt idx="2">
                  <c:v>185369.95000000007</c:v>
                </c:pt>
                <c:pt idx="3">
                  <c:v>178134.19999999998</c:v>
                </c:pt>
                <c:pt idx="4">
                  <c:v>165899.84999999989</c:v>
                </c:pt>
                <c:pt idx="5">
                  <c:v>156229.84999999992</c:v>
                </c:pt>
                <c:pt idx="6">
                  <c:v>140504.45000000001</c:v>
                </c:pt>
                <c:pt idx="7">
                  <c:v>138369.54999999996</c:v>
                </c:pt>
                <c:pt idx="8">
                  <c:v>134000.65000000002</c:v>
                </c:pt>
                <c:pt idx="9">
                  <c:v>130432.50000000004</c:v>
                </c:pt>
              </c:numCache>
            </c:numRef>
          </c:val>
          <c:extLst>
            <c:ext xmlns:c16="http://schemas.microsoft.com/office/drawing/2014/chart" uri="{C3380CC4-5D6E-409C-BE32-E72D297353CC}">
              <c16:uniqueId val="{00000000-A5DA-484B-816D-18BC157BB190}"/>
            </c:ext>
          </c:extLst>
        </c:ser>
        <c:dLbls>
          <c:showLegendKey val="0"/>
          <c:showVal val="0"/>
          <c:showCatName val="0"/>
          <c:showSerName val="0"/>
          <c:showPercent val="0"/>
          <c:showBubbleSize val="0"/>
        </c:dLbls>
        <c:gapWidth val="219"/>
        <c:overlap val="-27"/>
        <c:axId val="1286683551"/>
        <c:axId val="1286681631"/>
      </c:barChart>
      <c:catAx>
        <c:axId val="128668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81631"/>
        <c:crosses val="autoZero"/>
        <c:auto val="1"/>
        <c:lblAlgn val="ctr"/>
        <c:lblOffset val="100"/>
        <c:noMultiLvlLbl val="0"/>
      </c:catAx>
      <c:valAx>
        <c:axId val="128668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47625</xdr:colOff>
      <xdr:row>3</xdr:row>
      <xdr:rowOff>19050</xdr:rowOff>
    </xdr:from>
    <xdr:to>
      <xdr:col>8</xdr:col>
      <xdr:colOff>57150</xdr:colOff>
      <xdr:row>17</xdr:row>
      <xdr:rowOff>59055</xdr:rowOff>
    </xdr:to>
    <mc:AlternateContent xmlns:mc="http://schemas.openxmlformats.org/markup-compatibility/2006">
      <mc:Choice xmlns:a14="http://schemas.microsoft.com/office/drawing/2010/main" Requires="a14">
        <xdr:graphicFrame macro="">
          <xdr:nvGraphicFramePr>
            <xdr:cNvPr id="2" name="State 3">
              <a:extLst>
                <a:ext uri="{FF2B5EF4-FFF2-40B4-BE49-F238E27FC236}">
                  <a16:creationId xmlns:a16="http://schemas.microsoft.com/office/drawing/2014/main" id="{DF4676A3-A5D0-C5CA-3D2C-48C975AA7E5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dr:sp macro="" textlink="">
          <xdr:nvSpPr>
            <xdr:cNvPr id="0" name=""/>
            <xdr:cNvSpPr>
              <a:spLocks noTextEdit="1"/>
            </xdr:cNvSpPr>
          </xdr:nvSpPr>
          <xdr:spPr>
            <a:xfrm>
              <a:off x="4840605" y="558165"/>
              <a:ext cx="183261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276225</xdr:colOff>
      <xdr:row>2</xdr:row>
      <xdr:rowOff>161925</xdr:rowOff>
    </xdr:from>
    <xdr:to>
      <xdr:col>11</xdr:col>
      <xdr:colOff>285750</xdr:colOff>
      <xdr:row>17</xdr:row>
      <xdr:rowOff>38100</xdr:rowOff>
    </xdr:to>
    <mc:AlternateContent xmlns:mc="http://schemas.openxmlformats.org/markup-compatibility/2006">
      <mc:Choice xmlns:a14="http://schemas.microsoft.com/office/drawing/2010/main" Requires="a14">
        <xdr:graphicFrame macro="">
          <xdr:nvGraphicFramePr>
            <xdr:cNvPr id="3" name="Sales_Channel 3">
              <a:extLst>
                <a:ext uri="{FF2B5EF4-FFF2-40B4-BE49-F238E27FC236}">
                  <a16:creationId xmlns:a16="http://schemas.microsoft.com/office/drawing/2014/main" id="{26BE1A51-BF2B-8431-E1AF-F449B82A1277}"/>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dr:sp macro="" textlink="">
          <xdr:nvSpPr>
            <xdr:cNvPr id="0" name=""/>
            <xdr:cNvSpPr>
              <a:spLocks noTextEdit="1"/>
            </xdr:cNvSpPr>
          </xdr:nvSpPr>
          <xdr:spPr>
            <a:xfrm>
              <a:off x="6898005" y="525780"/>
              <a:ext cx="1832610" cy="2588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21</xdr:row>
      <xdr:rowOff>93335</xdr:rowOff>
    </xdr:from>
    <xdr:to>
      <xdr:col>9</xdr:col>
      <xdr:colOff>514764</xdr:colOff>
      <xdr:row>37</xdr:row>
      <xdr:rowOff>158289</xdr:rowOff>
    </xdr:to>
    <xdr:graphicFrame macro="">
      <xdr:nvGraphicFramePr>
        <xdr:cNvPr id="4" name="Chart 3">
          <a:extLst>
            <a:ext uri="{FF2B5EF4-FFF2-40B4-BE49-F238E27FC236}">
              <a16:creationId xmlns:a16="http://schemas.microsoft.com/office/drawing/2014/main" id="{18E5EE39-89E9-4C86-A4B4-9DD7EC6FD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595312</xdr:colOff>
      <xdr:row>21</xdr:row>
      <xdr:rowOff>83537</xdr:rowOff>
    </xdr:from>
    <xdr:to>
      <xdr:col>18</xdr:col>
      <xdr:colOff>480059</xdr:colOff>
      <xdr:row>37</xdr:row>
      <xdr:rowOff>158288</xdr:rowOff>
    </xdr:to>
    <xdr:graphicFrame macro="">
      <xdr:nvGraphicFramePr>
        <xdr:cNvPr id="5" name="Chart 4">
          <a:extLst>
            <a:ext uri="{FF2B5EF4-FFF2-40B4-BE49-F238E27FC236}">
              <a16:creationId xmlns:a16="http://schemas.microsoft.com/office/drawing/2014/main" id="{BED19F33-115E-4833-97C0-97F17AE41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38</xdr:row>
      <xdr:rowOff>51430</xdr:rowOff>
    </xdr:from>
    <xdr:to>
      <xdr:col>9</xdr:col>
      <xdr:colOff>521804</xdr:colOff>
      <xdr:row>54</xdr:row>
      <xdr:rowOff>112574</xdr:rowOff>
    </xdr:to>
    <xdr:graphicFrame macro="">
      <xdr:nvGraphicFramePr>
        <xdr:cNvPr id="6" name="Chart 5">
          <a:extLst>
            <a:ext uri="{FF2B5EF4-FFF2-40B4-BE49-F238E27FC236}">
              <a16:creationId xmlns:a16="http://schemas.microsoft.com/office/drawing/2014/main" id="{11A070EB-A889-40E6-90F2-0E73BAFE4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596348</xdr:colOff>
      <xdr:row>38</xdr:row>
      <xdr:rowOff>55240</xdr:rowOff>
    </xdr:from>
    <xdr:to>
      <xdr:col>18</xdr:col>
      <xdr:colOff>472440</xdr:colOff>
      <xdr:row>54</xdr:row>
      <xdr:rowOff>112574</xdr:rowOff>
    </xdr:to>
    <xdr:graphicFrame macro="">
      <xdr:nvGraphicFramePr>
        <xdr:cNvPr id="7" name="Chart 6">
          <a:extLst>
            <a:ext uri="{FF2B5EF4-FFF2-40B4-BE49-F238E27FC236}">
              <a16:creationId xmlns:a16="http://schemas.microsoft.com/office/drawing/2014/main" id="{2C47241C-8A7C-4520-A756-C5EAC5B46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523429</xdr:colOff>
      <xdr:row>21</xdr:row>
      <xdr:rowOff>95241</xdr:rowOff>
    </xdr:from>
    <xdr:to>
      <xdr:col>27</xdr:col>
      <xdr:colOff>477531</xdr:colOff>
      <xdr:row>37</xdr:row>
      <xdr:rowOff>167816</xdr:rowOff>
    </xdr:to>
    <xdr:graphicFrame macro="">
      <xdr:nvGraphicFramePr>
        <xdr:cNvPr id="8" name="Chart 7">
          <a:extLst>
            <a:ext uri="{FF2B5EF4-FFF2-40B4-BE49-F238E27FC236}">
              <a16:creationId xmlns:a16="http://schemas.microsoft.com/office/drawing/2014/main" id="{7748D969-83C9-4C9B-AD90-1D3A615B7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536519</xdr:colOff>
      <xdr:row>38</xdr:row>
      <xdr:rowOff>59728</xdr:rowOff>
    </xdr:from>
    <xdr:to>
      <xdr:col>27</xdr:col>
      <xdr:colOff>476164</xdr:colOff>
      <xdr:row>54</xdr:row>
      <xdr:rowOff>130670</xdr:rowOff>
    </xdr:to>
    <xdr:graphicFrame macro="">
      <xdr:nvGraphicFramePr>
        <xdr:cNvPr id="9" name="Chart 8">
          <a:extLst>
            <a:ext uri="{FF2B5EF4-FFF2-40B4-BE49-F238E27FC236}">
              <a16:creationId xmlns:a16="http://schemas.microsoft.com/office/drawing/2014/main" id="{5D21A924-CF08-4C05-8F11-BEC797B4E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462642</xdr:colOff>
      <xdr:row>5</xdr:row>
      <xdr:rowOff>1252</xdr:rowOff>
    </xdr:from>
    <xdr:to>
      <xdr:col>27</xdr:col>
      <xdr:colOff>478687</xdr:colOff>
      <xdr:row>21</xdr:row>
      <xdr:rowOff>60949</xdr:rowOff>
    </xdr:to>
    <mc:AlternateContent xmlns:mc="http://schemas.openxmlformats.org/markup-compatibility/2006">
      <mc:Choice xmlns:a14="http://schemas.microsoft.com/office/drawing/2010/main" Requires="a14">
        <xdr:graphicFrame macro="">
          <xdr:nvGraphicFramePr>
            <xdr:cNvPr id="11" name="Sales_Channel">
              <a:extLst>
                <a:ext uri="{FF2B5EF4-FFF2-40B4-BE49-F238E27FC236}">
                  <a16:creationId xmlns:a16="http://schemas.microsoft.com/office/drawing/2014/main" id="{5B001382-A32A-6D51-7BE2-248CFC3C455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4680610" y="1096627"/>
              <a:ext cx="2486830" cy="3103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xdr:row>
      <xdr:rowOff>159088</xdr:rowOff>
    </xdr:from>
    <xdr:to>
      <xdr:col>9</xdr:col>
      <xdr:colOff>515302</xdr:colOff>
      <xdr:row>21</xdr:row>
      <xdr:rowOff>37134</xdr:rowOff>
    </xdr:to>
    <xdr:graphicFrame macro="">
      <xdr:nvGraphicFramePr>
        <xdr:cNvPr id="12" name="Chart 11">
          <a:extLst>
            <a:ext uri="{FF2B5EF4-FFF2-40B4-BE49-F238E27FC236}">
              <a16:creationId xmlns:a16="http://schemas.microsoft.com/office/drawing/2014/main" id="{DD5DA4E3-5E0F-41C7-AF91-E942D93F7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588066</xdr:colOff>
      <xdr:row>4</xdr:row>
      <xdr:rowOff>180013</xdr:rowOff>
    </xdr:from>
    <xdr:to>
      <xdr:col>18</xdr:col>
      <xdr:colOff>474617</xdr:colOff>
      <xdr:row>21</xdr:row>
      <xdr:rowOff>51423</xdr:rowOff>
    </xdr:to>
    <xdr:graphicFrame macro="">
      <xdr:nvGraphicFramePr>
        <xdr:cNvPr id="13" name="Chart 12">
          <a:extLst>
            <a:ext uri="{FF2B5EF4-FFF2-40B4-BE49-F238E27FC236}">
              <a16:creationId xmlns:a16="http://schemas.microsoft.com/office/drawing/2014/main" id="{B4E70B01-CF3C-4A28-A4F8-F5544A4B5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512878</xdr:colOff>
      <xdr:row>4</xdr:row>
      <xdr:rowOff>168991</xdr:rowOff>
    </xdr:from>
    <xdr:to>
      <xdr:col>23</xdr:col>
      <xdr:colOff>211999</xdr:colOff>
      <xdr:row>21</xdr:row>
      <xdr:rowOff>74082</xdr:rowOff>
    </xdr:to>
    <mc:AlternateContent xmlns:mc="http://schemas.openxmlformats.org/markup-compatibility/2006">
      <mc:Choice xmlns:a14="http://schemas.microsoft.com/office/drawing/2010/main" Requires="a14">
        <xdr:graphicFrame macro="">
          <xdr:nvGraphicFramePr>
            <xdr:cNvPr id="14" name="State">
              <a:extLst>
                <a:ext uri="{FF2B5EF4-FFF2-40B4-BE49-F238E27FC236}">
                  <a16:creationId xmlns:a16="http://schemas.microsoft.com/office/drawing/2014/main" id="{8E80FA71-FBC0-AF52-C3BB-6135C14354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637126" y="1077676"/>
              <a:ext cx="2787126" cy="3139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682264</xdr:colOff>
      <xdr:row>0</xdr:row>
      <xdr:rowOff>101236</xdr:rowOff>
    </xdr:from>
    <xdr:to>
      <xdr:col>13</xdr:col>
      <xdr:colOff>604159</xdr:colOff>
      <xdr:row>4</xdr:row>
      <xdr:rowOff>95250</xdr:rowOff>
    </xdr:to>
    <xdr:sp macro="" textlink="">
      <xdr:nvSpPr>
        <xdr:cNvPr id="15" name="Rectangle: Rounded Corners 14">
          <a:extLst>
            <a:ext uri="{FF2B5EF4-FFF2-40B4-BE49-F238E27FC236}">
              <a16:creationId xmlns:a16="http://schemas.microsoft.com/office/drawing/2014/main" id="{6850BDE1-DFB6-5F93-B5E0-BF7BBF88E382}"/>
            </a:ext>
          </a:extLst>
        </xdr:cNvPr>
        <xdr:cNvSpPr/>
      </xdr:nvSpPr>
      <xdr:spPr>
        <a:xfrm>
          <a:off x="6193157" y="101236"/>
          <a:ext cx="1976573" cy="851264"/>
        </a:xfrm>
        <a:prstGeom prst="roundRect">
          <a:avLst/>
        </a:prstGeom>
        <a:solidFill>
          <a:srgbClr val="9DD9F3">
            <a:alpha val="49804"/>
          </a:srgbClr>
        </a:solidFill>
        <a:ln>
          <a:solidFill>
            <a:srgbClr val="9DD9F3"/>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0">
              <a:solidFill>
                <a:srgbClr val="156082"/>
              </a:solidFill>
            </a:rPr>
            <a:t>Total Sales</a:t>
          </a:r>
        </a:p>
      </xdr:txBody>
    </xdr:sp>
    <xdr:clientData/>
  </xdr:twoCellAnchor>
  <xdr:oneCellAnchor>
    <xdr:from>
      <xdr:col>10</xdr:col>
      <xdr:colOff>248738</xdr:colOff>
      <xdr:row>3</xdr:row>
      <xdr:rowOff>40822</xdr:rowOff>
    </xdr:from>
    <xdr:ext cx="184731" cy="264560"/>
    <xdr:sp macro="" textlink="">
      <xdr:nvSpPr>
        <xdr:cNvPr id="16" name="TextBox 15">
          <a:extLst>
            <a:ext uri="{FF2B5EF4-FFF2-40B4-BE49-F238E27FC236}">
              <a16:creationId xmlns:a16="http://schemas.microsoft.com/office/drawing/2014/main" id="{350A6FEF-97C5-CB72-ADF6-CBEE6EA13EB5}"/>
            </a:ext>
          </a:extLst>
        </xdr:cNvPr>
        <xdr:cNvSpPr txBox="1"/>
      </xdr:nvSpPr>
      <xdr:spPr>
        <a:xfrm>
          <a:off x="5759631" y="721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803365</xdr:colOff>
      <xdr:row>2</xdr:row>
      <xdr:rowOff>6833</xdr:rowOff>
    </xdr:from>
    <xdr:to>
      <xdr:col>13</xdr:col>
      <xdr:colOff>416107</xdr:colOff>
      <xdr:row>4</xdr:row>
      <xdr:rowOff>12492</xdr:rowOff>
    </xdr:to>
    <xdr:sp macro="" textlink="$BN$1">
      <xdr:nvSpPr>
        <xdr:cNvPr id="17" name="TextBox 16">
          <a:extLst>
            <a:ext uri="{FF2B5EF4-FFF2-40B4-BE49-F238E27FC236}">
              <a16:creationId xmlns:a16="http://schemas.microsoft.com/office/drawing/2014/main" id="{55D18567-EE5D-F833-4E7D-68825663469B}"/>
            </a:ext>
          </a:extLst>
        </xdr:cNvPr>
        <xdr:cNvSpPr txBox="1"/>
      </xdr:nvSpPr>
      <xdr:spPr>
        <a:xfrm>
          <a:off x="6375490" y="530708"/>
          <a:ext cx="1684430" cy="38665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BBF0CB-AC06-43DD-90D7-8D966F06A736}" type="TxLink">
            <a:rPr lang="en-US" sz="1800" b="1" i="0" u="none" strike="noStrike">
              <a:solidFill>
                <a:srgbClr val="156082"/>
              </a:solidFill>
              <a:latin typeface="Aptos Narrow"/>
            </a:rPr>
            <a:pPr algn="ctr"/>
            <a:t> ₹ 53,83,969 </a:t>
          </a:fld>
          <a:endParaRPr lang="en-US" sz="1800" b="1">
            <a:solidFill>
              <a:srgbClr val="156082"/>
            </a:solidFill>
          </a:endParaRPr>
        </a:p>
      </xdr:txBody>
    </xdr:sp>
    <xdr:clientData/>
  </xdr:twoCellAnchor>
  <xdr:twoCellAnchor>
    <xdr:from>
      <xdr:col>15</xdr:col>
      <xdr:colOff>321998</xdr:colOff>
      <xdr:row>0</xdr:row>
      <xdr:rowOff>93146</xdr:rowOff>
    </xdr:from>
    <xdr:to>
      <xdr:col>18</xdr:col>
      <xdr:colOff>474742</xdr:colOff>
      <xdr:row>4</xdr:row>
      <xdr:rowOff>92875</xdr:rowOff>
    </xdr:to>
    <xdr:sp macro="" textlink="">
      <xdr:nvSpPr>
        <xdr:cNvPr id="26" name="Rectangle: Rounded Corners 25">
          <a:extLst>
            <a:ext uri="{FF2B5EF4-FFF2-40B4-BE49-F238E27FC236}">
              <a16:creationId xmlns:a16="http://schemas.microsoft.com/office/drawing/2014/main" id="{E2C5F6AE-4098-F731-2186-D9219D9C5480}"/>
            </a:ext>
          </a:extLst>
        </xdr:cNvPr>
        <xdr:cNvSpPr/>
      </xdr:nvSpPr>
      <xdr:spPr>
        <a:xfrm>
          <a:off x="9112212" y="93146"/>
          <a:ext cx="1989709" cy="856979"/>
        </a:xfrm>
        <a:prstGeom prst="roundRect">
          <a:avLst/>
        </a:prstGeom>
        <a:solidFill>
          <a:srgbClr val="9DD9F3">
            <a:alpha val="49804"/>
          </a:srgbClr>
        </a:solidFill>
        <a:ln>
          <a:solidFill>
            <a:srgbClr val="9DD9F3"/>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0">
              <a:solidFill>
                <a:srgbClr val="156082"/>
              </a:solidFill>
            </a:rPr>
            <a:t>Total Profit</a:t>
          </a:r>
        </a:p>
      </xdr:txBody>
    </xdr:sp>
    <xdr:clientData/>
  </xdr:twoCellAnchor>
  <xdr:twoCellAnchor>
    <xdr:from>
      <xdr:col>15</xdr:col>
      <xdr:colOff>475756</xdr:colOff>
      <xdr:row>2</xdr:row>
      <xdr:rowOff>4458</xdr:rowOff>
    </xdr:from>
    <xdr:to>
      <xdr:col>18</xdr:col>
      <xdr:colOff>340302</xdr:colOff>
      <xdr:row>3</xdr:row>
      <xdr:rowOff>189187</xdr:rowOff>
    </xdr:to>
    <xdr:sp macro="" textlink="$BO$1">
      <xdr:nvSpPr>
        <xdr:cNvPr id="27" name="TextBox 26">
          <a:extLst>
            <a:ext uri="{FF2B5EF4-FFF2-40B4-BE49-F238E27FC236}">
              <a16:creationId xmlns:a16="http://schemas.microsoft.com/office/drawing/2014/main" id="{2009DE12-F0D5-E23E-C2B3-313AB1C6B7F1}"/>
            </a:ext>
          </a:extLst>
        </xdr:cNvPr>
        <xdr:cNvSpPr txBox="1"/>
      </xdr:nvSpPr>
      <xdr:spPr>
        <a:xfrm>
          <a:off x="9357819" y="528333"/>
          <a:ext cx="1721921" cy="3752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557016-6E64-465F-B4D3-65874F12ECFE}" type="TxLink">
            <a:rPr lang="en-US" sz="1800" b="1" i="0" u="none" strike="noStrike">
              <a:solidFill>
                <a:srgbClr val="156082"/>
              </a:solidFill>
              <a:latin typeface="Aptos Narrow"/>
              <a:ea typeface="+mn-ea"/>
              <a:cs typeface="+mn-cs"/>
            </a:rPr>
            <a:pPr marL="0" indent="0" algn="ctr"/>
            <a:t> ₹ 18,26,979 </a:t>
          </a:fld>
          <a:endParaRPr lang="en-US" sz="1800" b="1" i="0" u="none" strike="noStrike">
            <a:solidFill>
              <a:srgbClr val="156082"/>
            </a:solidFill>
            <a:latin typeface="Aptos Narrow"/>
            <a:ea typeface="+mn-ea"/>
            <a:cs typeface="+mn-cs"/>
          </a:endParaRPr>
        </a:p>
      </xdr:txBody>
    </xdr:sp>
    <xdr:clientData/>
  </xdr:twoCellAnchor>
  <xdr:twoCellAnchor>
    <xdr:from>
      <xdr:col>19</xdr:col>
      <xdr:colOff>608335</xdr:colOff>
      <xdr:row>0</xdr:row>
      <xdr:rowOff>79638</xdr:rowOff>
    </xdr:from>
    <xdr:to>
      <xdr:col>23</xdr:col>
      <xdr:colOff>158283</xdr:colOff>
      <xdr:row>4</xdr:row>
      <xdr:rowOff>79367</xdr:rowOff>
    </xdr:to>
    <xdr:sp macro="" textlink="">
      <xdr:nvSpPr>
        <xdr:cNvPr id="28" name="Rectangle: Rounded Corners 27">
          <a:extLst>
            <a:ext uri="{FF2B5EF4-FFF2-40B4-BE49-F238E27FC236}">
              <a16:creationId xmlns:a16="http://schemas.microsoft.com/office/drawing/2014/main" id="{5973EAAA-E46D-795F-0F28-ACA3B4C8754E}"/>
            </a:ext>
          </a:extLst>
        </xdr:cNvPr>
        <xdr:cNvSpPr/>
      </xdr:nvSpPr>
      <xdr:spPr>
        <a:xfrm>
          <a:off x="11966898" y="79638"/>
          <a:ext cx="2026448" cy="904604"/>
        </a:xfrm>
        <a:prstGeom prst="roundRect">
          <a:avLst/>
        </a:prstGeom>
        <a:solidFill>
          <a:srgbClr val="9DD9F3">
            <a:alpha val="49804"/>
          </a:srgbClr>
        </a:solidFill>
        <a:ln>
          <a:solidFill>
            <a:srgbClr val="9DD9F3"/>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0">
              <a:solidFill>
                <a:srgbClr val="156082"/>
              </a:solidFill>
            </a:rPr>
            <a:t>Total Orders</a:t>
          </a:r>
        </a:p>
      </xdr:txBody>
    </xdr:sp>
    <xdr:clientData/>
  </xdr:twoCellAnchor>
  <xdr:twoCellAnchor>
    <xdr:from>
      <xdr:col>20</xdr:col>
      <xdr:colOff>72756</xdr:colOff>
      <xdr:row>1</xdr:row>
      <xdr:rowOff>173830</xdr:rowOff>
    </xdr:from>
    <xdr:to>
      <xdr:col>22</xdr:col>
      <xdr:colOff>537848</xdr:colOff>
      <xdr:row>4</xdr:row>
      <xdr:rowOff>15659</xdr:rowOff>
    </xdr:to>
    <xdr:sp macro="" textlink="$BP$1">
      <xdr:nvSpPr>
        <xdr:cNvPr id="29" name="TextBox 28">
          <a:extLst>
            <a:ext uri="{FF2B5EF4-FFF2-40B4-BE49-F238E27FC236}">
              <a16:creationId xmlns:a16="http://schemas.microsoft.com/office/drawing/2014/main" id="{92E2B97C-BD04-8034-DDE2-A1457859AEE2}"/>
            </a:ext>
          </a:extLst>
        </xdr:cNvPr>
        <xdr:cNvSpPr txBox="1"/>
      </xdr:nvSpPr>
      <xdr:spPr>
        <a:xfrm>
          <a:off x="12050444" y="507205"/>
          <a:ext cx="1703342" cy="4133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D01971-41AB-4011-B9A8-A4882D7516D5}" type="TxLink">
            <a:rPr lang="en-US" sz="1800" b="1" i="0" u="none" strike="noStrike">
              <a:solidFill>
                <a:srgbClr val="156082"/>
              </a:solidFill>
              <a:latin typeface="Aptos Narrow"/>
            </a:rPr>
            <a:pPr algn="ctr"/>
            <a:t>1500</a:t>
          </a:fld>
          <a:endParaRPr lang="en-US" sz="1800" b="1">
            <a:solidFill>
              <a:srgbClr val="156082"/>
            </a:solidFill>
          </a:endParaRPr>
        </a:p>
      </xdr:txBody>
    </xdr:sp>
    <xdr:clientData/>
  </xdr:twoCellAnchor>
  <xdr:twoCellAnchor>
    <xdr:from>
      <xdr:col>24</xdr:col>
      <xdr:colOff>273083</xdr:colOff>
      <xdr:row>0</xdr:row>
      <xdr:rowOff>96956</xdr:rowOff>
    </xdr:from>
    <xdr:to>
      <xdr:col>27</xdr:col>
      <xdr:colOff>401532</xdr:colOff>
      <xdr:row>4</xdr:row>
      <xdr:rowOff>96685</xdr:rowOff>
    </xdr:to>
    <xdr:sp macro="" textlink="">
      <xdr:nvSpPr>
        <xdr:cNvPr id="30" name="Rectangle: Rounded Corners 29">
          <a:extLst>
            <a:ext uri="{FF2B5EF4-FFF2-40B4-BE49-F238E27FC236}">
              <a16:creationId xmlns:a16="http://schemas.microsoft.com/office/drawing/2014/main" id="{C564CAF3-AD12-A71E-118D-01CE0035EE63}"/>
            </a:ext>
          </a:extLst>
        </xdr:cNvPr>
        <xdr:cNvSpPr/>
      </xdr:nvSpPr>
      <xdr:spPr>
        <a:xfrm>
          <a:off x="14574190" y="96956"/>
          <a:ext cx="1965413" cy="856979"/>
        </a:xfrm>
        <a:prstGeom prst="roundRect">
          <a:avLst/>
        </a:prstGeom>
        <a:solidFill>
          <a:srgbClr val="9DD9F3">
            <a:alpha val="49804"/>
          </a:srgbClr>
        </a:solidFill>
        <a:ln>
          <a:solidFill>
            <a:srgbClr val="9DD9F3"/>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0">
              <a:solidFill>
                <a:srgbClr val="156082"/>
              </a:solidFill>
            </a:rPr>
            <a:t>Profit</a:t>
          </a:r>
          <a:r>
            <a:rPr lang="en-IN" sz="2000" b="0" baseline="0">
              <a:solidFill>
                <a:srgbClr val="156082"/>
              </a:solidFill>
            </a:rPr>
            <a:t> Margin</a:t>
          </a:r>
          <a:endParaRPr lang="en-IN" sz="2000" b="0">
            <a:solidFill>
              <a:srgbClr val="156082"/>
            </a:solidFill>
          </a:endParaRPr>
        </a:p>
      </xdr:txBody>
    </xdr:sp>
    <xdr:clientData/>
  </xdr:twoCellAnchor>
  <xdr:twoCellAnchor>
    <xdr:from>
      <xdr:col>24</xdr:col>
      <xdr:colOff>401262</xdr:colOff>
      <xdr:row>1</xdr:row>
      <xdr:rowOff>185433</xdr:rowOff>
    </xdr:from>
    <xdr:to>
      <xdr:col>27</xdr:col>
      <xdr:colOff>251039</xdr:colOff>
      <xdr:row>4</xdr:row>
      <xdr:rowOff>8212</xdr:rowOff>
    </xdr:to>
    <xdr:sp macro="" textlink="$BQ$1">
      <xdr:nvSpPr>
        <xdr:cNvPr id="31" name="TextBox 30">
          <a:extLst>
            <a:ext uri="{FF2B5EF4-FFF2-40B4-BE49-F238E27FC236}">
              <a16:creationId xmlns:a16="http://schemas.microsoft.com/office/drawing/2014/main" id="{BADEF2BD-DA98-6E1A-558C-E31263EDD4B0}"/>
            </a:ext>
          </a:extLst>
        </xdr:cNvPr>
        <xdr:cNvSpPr txBox="1"/>
      </xdr:nvSpPr>
      <xdr:spPr>
        <a:xfrm>
          <a:off x="14855450" y="518808"/>
          <a:ext cx="1707152" cy="3942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CAA1F9-00A9-4B64-BBFD-5135544EA145}" type="TxLink">
            <a:rPr lang="en-US" sz="1800" b="1" i="0" u="none" strike="noStrike">
              <a:solidFill>
                <a:srgbClr val="156082"/>
              </a:solidFill>
              <a:latin typeface="Aptos Narrow"/>
            </a:rPr>
            <a:pPr algn="ctr"/>
            <a:t>33.9%</a:t>
          </a:fld>
          <a:endParaRPr lang="en-US" sz="1800" b="1">
            <a:solidFill>
              <a:srgbClr val="15608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7.515714120367" createdVersion="8" refreshedVersion="8" minRefreshableVersion="3" recordCount="1500" xr:uid="{D4728F32-EA9D-4B4F-B7CB-1F5FD7B0EF45}">
  <cacheSource type="worksheet">
    <worksheetSource name="ecommerce_db"/>
  </cacheSource>
  <cacheFields count="21">
    <cacheField name="Order_ID" numFmtId="0">
      <sharedItems/>
    </cacheField>
    <cacheField name="Order_Date" numFmtId="14">
      <sharedItems containsSemiMixedTypes="0" containsNonDate="0" containsDate="1" containsString="0" minDate="2024-01-01T00:00:00" maxDate="2026-01-01T00:00:00" count="646">
        <d v="2024-01-01T00:00:00"/>
        <d v="2024-01-02T00:00:00"/>
        <d v="2024-01-03T00:00:00"/>
        <d v="2024-01-04T00:00:00"/>
        <d v="2024-01-06T00:00:00"/>
        <d v="2024-01-07T00:00:00"/>
        <d v="2024-01-08T00:00:00"/>
        <d v="2024-01-09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5T00:00:00"/>
        <d v="2024-02-06T00:00:00"/>
        <d v="2024-02-07T00:00:00"/>
        <d v="2024-02-08T00:00:00"/>
        <d v="2024-02-10T00:00:00"/>
        <d v="2024-02-11T00:00:00"/>
        <d v="2024-02-12T00:00:00"/>
        <d v="2024-02-13T00:00:00"/>
        <d v="2024-02-14T00:00:00"/>
        <d v="2024-02-15T00:00:00"/>
        <d v="2024-02-16T00:00:00"/>
        <d v="2024-02-17T00:00:00"/>
        <d v="2024-02-18T00:00:00"/>
        <d v="2024-02-19T00:00:00"/>
        <d v="2024-02-20T00:00:00"/>
        <d v="2024-02-23T00:00:00"/>
        <d v="2024-02-25T00:00:00"/>
        <d v="2024-02-27T00:00:00"/>
        <d v="2024-02-28T00:00:00"/>
        <d v="2024-02-29T00:00:00"/>
        <d v="2024-03-01T00:00:00"/>
        <d v="2024-03-02T00:00:00"/>
        <d v="2024-03-03T00:00:00"/>
        <d v="2024-03-04T00:00:00"/>
        <d v="2024-03-05T00:00:00"/>
        <d v="2024-03-06T00:00:00"/>
        <d v="2024-03-07T00:00:00"/>
        <d v="2024-03-09T00:00:00"/>
        <d v="2024-03-10T00:00:00"/>
        <d v="2024-03-11T00:00:00"/>
        <d v="2024-03-12T00:00:00"/>
        <d v="2024-03-13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5T00:00:00"/>
        <d v="2024-04-07T00:00:00"/>
        <d v="2024-04-08T00:00:00"/>
        <d v="2024-04-09T00:00:00"/>
        <d v="2024-04-10T00:00:00"/>
        <d v="2024-04-11T00:00:00"/>
        <d v="2024-04-16T00:00:00"/>
        <d v="2024-04-17T00:00:00"/>
        <d v="2024-04-18T00:00:00"/>
        <d v="2024-04-19T00:00:00"/>
        <d v="2024-04-20T00:00:00"/>
        <d v="2024-04-21T00:00:00"/>
        <d v="2024-04-22T00:00:00"/>
        <d v="2024-04-23T00:00:00"/>
        <d v="2024-04-24T00:00:00"/>
        <d v="2024-04-25T00:00:00"/>
        <d v="2024-04-26T00:00:00"/>
        <d v="2024-04-27T00:00:00"/>
        <d v="2024-04-28T00:00:00"/>
        <d v="2024-04-30T00:00:00"/>
        <d v="2024-05-01T00:00:00"/>
        <d v="2024-05-02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7T00:00:00"/>
        <d v="2024-05-28T00:00:00"/>
        <d v="2024-05-29T00:00:00"/>
        <d v="2024-05-30T00:00:00"/>
        <d v="2024-05-31T00:00:00"/>
        <d v="2024-06-01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6T00:00:00"/>
        <d v="2024-06-28T00:00:00"/>
        <d v="2024-06-29T00:00:00"/>
        <d v="2024-06-30T00:00:00"/>
        <d v="2024-07-02T00:00:00"/>
        <d v="2024-07-03T00:00:00"/>
        <d v="2024-07-04T00:00:00"/>
        <d v="2024-07-05T00:00:00"/>
        <d v="2024-07-07T00:00:00"/>
        <d v="2024-07-08T00:00:00"/>
        <d v="2024-07-09T00:00:00"/>
        <d v="2024-07-10T00:00:00"/>
        <d v="2024-07-11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8-02T00:00:00"/>
        <d v="2024-08-03T00:00:00"/>
        <d v="2024-08-04T00:00:00"/>
        <d v="2024-08-05T00:00:00"/>
        <d v="2024-08-07T00:00:00"/>
        <d v="2024-08-08T00:00:00"/>
        <d v="2024-08-09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1-11T00:00:00"/>
        <d v="2024-11-12T00:00:00"/>
        <d v="2024-11-13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2-01T00:00:00"/>
        <d v="2024-12-02T00:00:00"/>
        <d v="2024-12-03T00:00:00"/>
        <d v="2024-12-05T00:00:00"/>
        <d v="2024-12-07T00:00:00"/>
        <d v="2024-12-08T00:00:00"/>
        <d v="2024-12-09T00:00:00"/>
        <d v="2024-12-10T00:00:00"/>
        <d v="2024-12-11T00:00:00"/>
        <d v="2024-12-12T00:00:00"/>
        <d v="2024-12-13T00:00:00"/>
        <d v="2024-12-14T00:00:00"/>
        <d v="2024-12-15T00:00:00"/>
        <d v="2024-12-17T00:00:00"/>
        <d v="2024-12-18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5T00:00:00"/>
        <d v="2025-01-06T00:00:00"/>
        <d v="2025-01-07T00:00:00"/>
        <d v="2025-01-09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3T00:00:00"/>
        <d v="2025-02-14T00:00:00"/>
        <d v="2025-02-15T00:00:00"/>
        <d v="2025-02-16T00:00:00"/>
        <d v="2025-02-17T00:00:00"/>
        <d v="2025-02-18T00:00:00"/>
        <d v="2025-02-20T00:00:00"/>
        <d v="2025-02-21T00:00:00"/>
        <d v="2025-02-22T00:00:00"/>
        <d v="2025-02-24T00:00:00"/>
        <d v="2025-02-25T00:00:00"/>
        <d v="2025-02-26T00:00:00"/>
        <d v="2025-02-27T00:00:00"/>
        <d v="2025-02-28T00:00:00"/>
        <d v="2025-03-01T00:00:00"/>
        <d v="2025-03-02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5T00:00:00"/>
        <d v="2025-03-26T00:00:00"/>
        <d v="2025-03-27T00:00:00"/>
        <d v="2025-03-28T00:00:00"/>
        <d v="2025-03-29T00:00:00"/>
        <d v="2025-03-30T00:00:00"/>
        <d v="2025-03-31T00:00:00"/>
        <d v="2025-04-01T00:00:00"/>
        <d v="2025-04-02T00:00:00"/>
        <d v="2025-04-04T00:00:00"/>
        <d v="2025-04-05T00:00:00"/>
        <d v="2025-04-06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29T00:00:00"/>
        <d v="2025-04-30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3T00:00:00"/>
        <d v="2025-05-24T00:00:00"/>
        <d v="2025-05-25T00:00:00"/>
        <d v="2025-05-26T00:00:00"/>
        <d v="2025-05-27T00:00:00"/>
        <d v="2025-05-29T00:00:00"/>
        <d v="2025-05-30T00:00:00"/>
        <d v="2025-05-31T00:00:00"/>
        <d v="2025-06-01T00:00:00"/>
        <d v="2025-06-03T00:00:00"/>
        <d v="2025-06-06T00:00:00"/>
        <d v="2025-06-07T00:00:00"/>
        <d v="2025-06-08T00:00:00"/>
        <d v="2025-06-09T00:00:00"/>
        <d v="2025-06-11T00:00:00"/>
        <d v="2025-06-12T00:00:00"/>
        <d v="2025-06-13T00:00:00"/>
        <d v="2025-06-15T00:00:00"/>
        <d v="2025-06-17T00:00:00"/>
        <d v="2025-06-18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10T00:00:00"/>
        <d v="2025-07-11T00:00:00"/>
        <d v="2025-07-12T00:00:00"/>
        <d v="2025-07-13T00:00:00"/>
        <d v="2025-07-14T00:00:00"/>
        <d v="2025-07-15T00:00:00"/>
        <d v="2025-07-16T00:00:00"/>
        <d v="2025-07-18T00:00:00"/>
        <d v="2025-07-19T00:00:00"/>
        <d v="2025-07-20T00:00:00"/>
        <d v="2025-07-21T00:00:00"/>
        <d v="2025-07-22T00:00:00"/>
        <d v="2025-07-23T00:00:00"/>
        <d v="2025-07-24T00:00:00"/>
        <d v="2025-07-25T00:00:00"/>
        <d v="2025-07-26T00:00:00"/>
        <d v="2025-07-27T00:00:00"/>
        <d v="2025-07-28T00:00:00"/>
        <d v="2025-07-29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30T00:00:00"/>
        <d v="2025-08-31T00:00:00"/>
        <d v="2025-09-01T00:00:00"/>
        <d v="2025-09-03T00:00:00"/>
        <d v="2025-09-04T00:00:00"/>
        <d v="2025-09-05T00:00:00"/>
        <d v="2025-09-06T00:00:00"/>
        <d v="2025-09-08T00:00:00"/>
        <d v="2025-09-09T00:00:00"/>
        <d v="2025-09-10T00:00:00"/>
        <d v="2025-09-12T00:00:00"/>
        <d v="2025-09-13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10T00:00:00"/>
        <d v="2025-10-11T00:00:00"/>
        <d v="2025-10-12T00:00:00"/>
        <d v="2025-10-13T00:00:00"/>
        <d v="2025-10-14T00:00:00"/>
        <d v="2025-10-15T00:00:00"/>
        <d v="2025-10-16T00:00:00"/>
        <d v="2025-10-17T00:00:00"/>
        <d v="2025-10-18T00:00:00"/>
        <d v="2025-10-19T00:00:00"/>
        <d v="2025-10-21T00:00:00"/>
        <d v="2025-10-22T00:00:00"/>
        <d v="2025-10-24T00:00:00"/>
        <d v="2025-10-25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9T00:00:00"/>
        <d v="2025-11-20T00:00:00"/>
        <d v="2025-11-21T00:00:00"/>
        <d v="2025-11-24T00:00:00"/>
        <d v="2025-11-25T00:00:00"/>
        <d v="2025-11-26T00:00:00"/>
        <d v="2025-11-27T00:00:00"/>
        <d v="2025-11-28T00:00:00"/>
        <d v="2025-11-29T00:00:00"/>
        <d v="2025-11-30T00:00:00"/>
        <d v="2025-12-01T00:00:00"/>
        <d v="2025-12-02T00:00:00"/>
        <d v="2025-12-03T00:00:00"/>
        <d v="2025-12-05T00:00:00"/>
        <d v="2025-12-06T00:00:00"/>
        <d v="2025-12-07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0"/>
    </cacheField>
    <cacheField name="Customer_ID" numFmtId="0">
      <sharedItems/>
    </cacheField>
    <cacheField name="Customer_Segment" numFmtId="0">
      <sharedItems/>
    </cacheField>
    <cacheField name="City" numFmtId="0">
      <sharedItems/>
    </cacheField>
    <cacheField name="State" numFmtId="0">
      <sharedItems count="10">
        <s v="Telangana"/>
        <s v="Madhya Pradesh"/>
        <s v="Karnataka"/>
        <s v="Maharashtra"/>
        <s v="Rajasthan"/>
        <s v="Delhi"/>
        <s v="Gujarat"/>
        <s v="West Bengal"/>
        <s v="Uttar Pradesh"/>
        <s v="Tamil Nadu"/>
      </sharedItems>
    </cacheField>
    <cacheField name="Sales_Channel" numFmtId="0">
      <sharedItems count="3">
        <s v="Marketplace"/>
        <s v="Mobile App"/>
        <s v="Website"/>
      </sharedItems>
    </cacheField>
    <cacheField name="Payment_Method" numFmtId="0">
      <sharedItems/>
    </cacheField>
    <cacheField name="Product_ID" numFmtId="0">
      <sharedItems/>
    </cacheField>
    <cacheField name="Product_Name" numFmtId="0">
      <sharedItems count="12">
        <s v="Wireless Mouse"/>
        <s v="Desk Lamp"/>
        <s v="Backpack"/>
        <s v="Water Bottle"/>
        <s v="Yoga Mat"/>
        <s v="Mechanical Keyboard"/>
        <s v="Bluetooth Speaker"/>
        <s v="Office Chair"/>
        <s v="Running Shoes"/>
        <s v="Cotton T-Shirt"/>
        <s v="USB-C Hub"/>
        <s v="Notebook Set"/>
      </sharedItems>
    </cacheField>
    <cacheField name="Category" numFmtId="0">
      <sharedItems count="5">
        <s v="Electronics"/>
        <s v="Home &amp; Kitchen"/>
        <s v="Fashion"/>
        <s v="Sports"/>
        <s v="Stationery"/>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containsInteger="1" minValue="299" maxValue="6999"/>
    </cacheField>
    <cacheField name="Discount_Pct" numFmtId="0">
      <sharedItems containsSemiMixedTypes="0" containsString="0" containsNumber="1" minValue="0" maxValue="0.2"/>
    </cacheField>
    <cacheField name="Revenue_INR" numFmtId="0">
      <sharedItems containsSemiMixedTypes="0" containsString="0" containsNumber="1" minValue="239.2" maxValue="34995"/>
    </cacheField>
    <cacheField name="Unit_Cost_INR" numFmtId="0">
      <sharedItems containsSemiMixedTypes="0" containsString="0" containsNumber="1" containsInteger="1" minValue="110" maxValue="4900"/>
    </cacheField>
    <cacheField name="Total_Cost_INR" numFmtId="0">
      <sharedItems containsSemiMixedTypes="0" containsString="0" containsNumber="1" containsInteger="1" minValue="110" maxValue="24500"/>
    </cacheField>
    <cacheField name="Shipping_Cost_INR" numFmtId="0">
      <sharedItems containsSemiMixedTypes="0" containsString="0" containsNumber="1" containsInteger="1" minValue="0" maxValue="100"/>
    </cacheField>
    <cacheField name="Profit_INR" numFmtId="0">
      <sharedItems containsSemiMixedTypes="0" containsString="0" containsNumber="1" minValue="29.2" maxValue="10495"/>
    </cacheField>
    <cacheField name="Months (Order_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Years (Order_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823127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1204"/>
    <x v="0"/>
    <s v="C0242"/>
    <s v="Corporate"/>
    <s v="Hyderabad"/>
    <x v="0"/>
    <x v="0"/>
    <s v="UPI"/>
    <s v="P001"/>
    <x v="0"/>
    <x v="0"/>
    <n v="2"/>
    <n v="799"/>
    <n v="0.05"/>
    <n v="1518.1"/>
    <n v="420"/>
    <n v="840"/>
    <n v="40"/>
    <n v="638.1"/>
  </r>
  <r>
    <s v="ORD00056"/>
    <x v="0"/>
    <s v="C0336"/>
    <s v="Corporate"/>
    <s v="Bhopal"/>
    <x v="1"/>
    <x v="1"/>
    <s v="Net Banking"/>
    <s v="P005"/>
    <x v="1"/>
    <x v="1"/>
    <n v="1"/>
    <n v="1299"/>
    <n v="0.1"/>
    <n v="1169.0999999999999"/>
    <n v="700"/>
    <n v="700"/>
    <n v="100"/>
    <n v="369.1"/>
  </r>
  <r>
    <s v="ORD01004"/>
    <x v="1"/>
    <s v="C0086"/>
    <s v="Consumer"/>
    <s v="Indore"/>
    <x v="1"/>
    <x v="2"/>
    <s v="Net Banking"/>
    <s v="P008"/>
    <x v="2"/>
    <x v="2"/>
    <n v="5"/>
    <n v="1799"/>
    <n v="0.15"/>
    <n v="7645.75"/>
    <n v="850"/>
    <n v="4250"/>
    <n v="60"/>
    <n v="3335.75"/>
  </r>
  <r>
    <s v="ORD00359"/>
    <x v="1"/>
    <s v="C0266"/>
    <s v="Small Business"/>
    <s v="Bengaluru"/>
    <x v="2"/>
    <x v="1"/>
    <s v="UPI"/>
    <s v="P004"/>
    <x v="3"/>
    <x v="1"/>
    <n v="2"/>
    <n v="499"/>
    <n v="0"/>
    <n v="998"/>
    <n v="180"/>
    <n v="360"/>
    <n v="100"/>
    <n v="538"/>
  </r>
  <r>
    <s v="ORD00379"/>
    <x v="2"/>
    <s v="C0242"/>
    <s v="Corporate"/>
    <s v="Mumbai"/>
    <x v="3"/>
    <x v="1"/>
    <s v="Credit Card"/>
    <s v="P001"/>
    <x v="0"/>
    <x v="0"/>
    <n v="3"/>
    <n v="799"/>
    <n v="0"/>
    <n v="2397"/>
    <n v="420"/>
    <n v="1260"/>
    <n v="40"/>
    <n v="1097"/>
  </r>
  <r>
    <s v="ORD01461"/>
    <x v="3"/>
    <s v="C0364"/>
    <s v="Consumer"/>
    <s v="Bengaluru"/>
    <x v="2"/>
    <x v="2"/>
    <s v="Net Banking"/>
    <s v="P007"/>
    <x v="4"/>
    <x v="3"/>
    <n v="1"/>
    <n v="999"/>
    <n v="0.15"/>
    <n v="849.15"/>
    <n v="520"/>
    <n v="520"/>
    <n v="100"/>
    <n v="229.15"/>
  </r>
  <r>
    <s v="ORD01344"/>
    <x v="3"/>
    <s v="C0379"/>
    <s v="Corporate"/>
    <s v="Jaipur"/>
    <x v="4"/>
    <x v="0"/>
    <s v="Credit Card"/>
    <s v="P002"/>
    <x v="5"/>
    <x v="0"/>
    <n v="1"/>
    <n v="2499"/>
    <n v="0.2"/>
    <n v="1999.2"/>
    <n v="1450"/>
    <n v="1450"/>
    <n v="100"/>
    <n v="449.2"/>
  </r>
  <r>
    <s v="ORD00017"/>
    <x v="3"/>
    <s v="C0260"/>
    <s v="Consumer"/>
    <s v="Delhi"/>
    <x v="5"/>
    <x v="0"/>
    <s v="Debit Card"/>
    <s v="P012"/>
    <x v="6"/>
    <x v="0"/>
    <n v="3"/>
    <n v="2199"/>
    <n v="0.05"/>
    <n v="6267.15"/>
    <n v="1250"/>
    <n v="3750"/>
    <n v="100"/>
    <n v="2417.15"/>
  </r>
  <r>
    <s v="ORD01039"/>
    <x v="3"/>
    <s v="C0110"/>
    <s v="Consumer"/>
    <s v="Bhopal"/>
    <x v="1"/>
    <x v="1"/>
    <s v="Debit Card"/>
    <s v="P011"/>
    <x v="7"/>
    <x v="1"/>
    <n v="1"/>
    <n v="6999"/>
    <n v="0"/>
    <n v="6999"/>
    <n v="4900"/>
    <n v="4900"/>
    <n v="80"/>
    <n v="2019"/>
  </r>
  <r>
    <s v="ORD01192"/>
    <x v="4"/>
    <s v="C0098"/>
    <s v="Corporate"/>
    <s v="Pune"/>
    <x v="3"/>
    <x v="2"/>
    <s v="Credit Card"/>
    <s v="P006"/>
    <x v="8"/>
    <x v="3"/>
    <n v="4"/>
    <n v="2999"/>
    <n v="0.2"/>
    <n v="9596.7999999999993"/>
    <n v="1750"/>
    <n v="7000"/>
    <n v="40"/>
    <n v="2556.8000000000002"/>
  </r>
  <r>
    <s v="ORD01160"/>
    <x v="4"/>
    <s v="C0066"/>
    <s v="Small Business"/>
    <s v="Mumbai"/>
    <x v="3"/>
    <x v="2"/>
    <s v="Credit Card"/>
    <s v="P009"/>
    <x v="9"/>
    <x v="2"/>
    <n v="2"/>
    <n v="599"/>
    <n v="0.05"/>
    <n v="1138.0999999999999"/>
    <n v="240"/>
    <n v="480"/>
    <n v="0"/>
    <n v="658.1"/>
  </r>
  <r>
    <s v="ORD00943"/>
    <x v="4"/>
    <s v="C0355"/>
    <s v="Corporate"/>
    <s v="Jaipur"/>
    <x v="4"/>
    <x v="0"/>
    <s v="Cash on Delivery"/>
    <s v="P007"/>
    <x v="4"/>
    <x v="3"/>
    <n v="1"/>
    <n v="999"/>
    <n v="0"/>
    <n v="999"/>
    <n v="520"/>
    <n v="520"/>
    <n v="80"/>
    <n v="399"/>
  </r>
  <r>
    <s v="ORD00004"/>
    <x v="5"/>
    <s v="C0111"/>
    <s v="Corporate"/>
    <s v="Delhi"/>
    <x v="5"/>
    <x v="2"/>
    <s v="UPI"/>
    <s v="P003"/>
    <x v="10"/>
    <x v="0"/>
    <n v="2"/>
    <n v="1599"/>
    <n v="0.05"/>
    <n v="3038.1"/>
    <n v="900"/>
    <n v="1800"/>
    <n v="60"/>
    <n v="1178.0999999999999"/>
  </r>
  <r>
    <s v="ORD00703"/>
    <x v="5"/>
    <s v="C0292"/>
    <s v="Small Business"/>
    <s v="Ahmedabad"/>
    <x v="6"/>
    <x v="2"/>
    <s v="Credit Card"/>
    <s v="P002"/>
    <x v="5"/>
    <x v="0"/>
    <n v="2"/>
    <n v="2499"/>
    <n v="0.05"/>
    <n v="4748.1000000000004"/>
    <n v="1450"/>
    <n v="2900"/>
    <n v="80"/>
    <n v="1768.1"/>
  </r>
  <r>
    <s v="ORD00295"/>
    <x v="5"/>
    <s v="C0363"/>
    <s v="Consumer"/>
    <s v="Pune"/>
    <x v="3"/>
    <x v="2"/>
    <s v="Credit Card"/>
    <s v="P007"/>
    <x v="4"/>
    <x v="3"/>
    <n v="1"/>
    <n v="999"/>
    <n v="0.2"/>
    <n v="799.2"/>
    <n v="520"/>
    <n v="520"/>
    <n v="40"/>
    <n v="239.2"/>
  </r>
  <r>
    <s v="ORD00158"/>
    <x v="5"/>
    <s v="C0073"/>
    <s v="Small Business"/>
    <s v="Pune"/>
    <x v="3"/>
    <x v="0"/>
    <s v="UPI"/>
    <s v="P003"/>
    <x v="10"/>
    <x v="0"/>
    <n v="3"/>
    <n v="1599"/>
    <n v="0.15"/>
    <n v="4077.45"/>
    <n v="900"/>
    <n v="2700"/>
    <n v="80"/>
    <n v="1297.45"/>
  </r>
  <r>
    <s v="ORD01292"/>
    <x v="6"/>
    <s v="C0338"/>
    <s v="Corporate"/>
    <s v="Hyderabad"/>
    <x v="0"/>
    <x v="1"/>
    <s v="Net Banking"/>
    <s v="P006"/>
    <x v="8"/>
    <x v="3"/>
    <n v="3"/>
    <n v="2999"/>
    <n v="0.15"/>
    <n v="7647.45"/>
    <n v="1750"/>
    <n v="5250"/>
    <n v="60"/>
    <n v="2337.4499999999998"/>
  </r>
  <r>
    <s v="ORD00383"/>
    <x v="7"/>
    <s v="C0319"/>
    <s v="Consumer"/>
    <s v="Ahmedabad"/>
    <x v="6"/>
    <x v="1"/>
    <s v="Debit Card"/>
    <s v="P006"/>
    <x v="8"/>
    <x v="3"/>
    <n v="1"/>
    <n v="2999"/>
    <n v="0.15"/>
    <n v="2549.15"/>
    <n v="1750"/>
    <n v="1750"/>
    <n v="60"/>
    <n v="739.15"/>
  </r>
  <r>
    <s v="ORD00970"/>
    <x v="7"/>
    <s v="C0207"/>
    <s v="Corporate"/>
    <s v="Ahmedabad"/>
    <x v="6"/>
    <x v="0"/>
    <s v="Credit Card"/>
    <s v="P005"/>
    <x v="1"/>
    <x v="1"/>
    <n v="4"/>
    <n v="1299"/>
    <n v="0.15"/>
    <n v="4416.6000000000004"/>
    <n v="700"/>
    <n v="2800"/>
    <n v="40"/>
    <n v="1576.6"/>
  </r>
  <r>
    <s v="ORD00360"/>
    <x v="7"/>
    <s v="C0068"/>
    <s v="Corporate"/>
    <s v="Ahmedabad"/>
    <x v="6"/>
    <x v="2"/>
    <s v="Credit Card"/>
    <s v="P012"/>
    <x v="6"/>
    <x v="0"/>
    <n v="1"/>
    <n v="2199"/>
    <n v="0"/>
    <n v="2199"/>
    <n v="1250"/>
    <n v="1250"/>
    <n v="80"/>
    <n v="869"/>
  </r>
  <r>
    <s v="ORD00447"/>
    <x v="7"/>
    <s v="C0193"/>
    <s v="Corporate"/>
    <s v="Kolkata"/>
    <x v="7"/>
    <x v="1"/>
    <s v="Debit Card"/>
    <s v="P004"/>
    <x v="3"/>
    <x v="1"/>
    <n v="1"/>
    <n v="499"/>
    <n v="0.05"/>
    <n v="474.05"/>
    <n v="180"/>
    <n v="180"/>
    <n v="60"/>
    <n v="234.05"/>
  </r>
  <r>
    <s v="ORD00914"/>
    <x v="8"/>
    <s v="C0109"/>
    <s v="Small Business"/>
    <s v="Indore"/>
    <x v="1"/>
    <x v="1"/>
    <s v="Net Banking"/>
    <s v="P008"/>
    <x v="2"/>
    <x v="2"/>
    <n v="1"/>
    <n v="1799"/>
    <n v="0.05"/>
    <n v="1709.05"/>
    <n v="850"/>
    <n v="850"/>
    <n v="80"/>
    <n v="779.05"/>
  </r>
  <r>
    <s v="ORD01070"/>
    <x v="9"/>
    <s v="C0057"/>
    <s v="Consumer"/>
    <s v="Delhi"/>
    <x v="5"/>
    <x v="0"/>
    <s v="Net Banking"/>
    <s v="P003"/>
    <x v="10"/>
    <x v="0"/>
    <n v="1"/>
    <n v="1599"/>
    <n v="0.1"/>
    <n v="1439.1"/>
    <n v="900"/>
    <n v="900"/>
    <n v="80"/>
    <n v="459.1"/>
  </r>
  <r>
    <s v="ORD01250"/>
    <x v="9"/>
    <s v="C0365"/>
    <s v="Corporate"/>
    <s v="Lucknow"/>
    <x v="8"/>
    <x v="0"/>
    <s v="Cash on Delivery"/>
    <s v="P007"/>
    <x v="4"/>
    <x v="3"/>
    <n v="3"/>
    <n v="999"/>
    <n v="0.2"/>
    <n v="2397.6"/>
    <n v="520"/>
    <n v="1560"/>
    <n v="80"/>
    <n v="757.6"/>
  </r>
  <r>
    <s v="ORD00760"/>
    <x v="10"/>
    <s v="C0113"/>
    <s v="Small Business"/>
    <s v="Chennai"/>
    <x v="9"/>
    <x v="1"/>
    <s v="Debit Card"/>
    <s v="P007"/>
    <x v="4"/>
    <x v="3"/>
    <n v="1"/>
    <n v="999"/>
    <n v="0"/>
    <n v="999"/>
    <n v="520"/>
    <n v="520"/>
    <n v="80"/>
    <n v="399"/>
  </r>
  <r>
    <s v="ORD01091"/>
    <x v="10"/>
    <s v="C0418"/>
    <s v="Corporate"/>
    <s v="Indore"/>
    <x v="1"/>
    <x v="0"/>
    <s v="Cash on Delivery"/>
    <s v="P007"/>
    <x v="4"/>
    <x v="3"/>
    <n v="1"/>
    <n v="999"/>
    <n v="0"/>
    <n v="999"/>
    <n v="520"/>
    <n v="520"/>
    <n v="0"/>
    <n v="479"/>
  </r>
  <r>
    <s v="ORD00586"/>
    <x v="10"/>
    <s v="C0186"/>
    <s v="Small Business"/>
    <s v="Chennai"/>
    <x v="9"/>
    <x v="1"/>
    <s v="Credit Card"/>
    <s v="P011"/>
    <x v="7"/>
    <x v="1"/>
    <n v="1"/>
    <n v="6999"/>
    <n v="0.15"/>
    <n v="5949.15"/>
    <n v="4900"/>
    <n v="4900"/>
    <n v="0"/>
    <n v="1049.1500000000001"/>
  </r>
  <r>
    <s v="ORD00433"/>
    <x v="10"/>
    <s v="C0213"/>
    <s v="Consumer"/>
    <s v="Pune"/>
    <x v="3"/>
    <x v="2"/>
    <s v="Cash on Delivery"/>
    <s v="P012"/>
    <x v="6"/>
    <x v="0"/>
    <n v="2"/>
    <n v="2199"/>
    <n v="0.15"/>
    <n v="3738.3"/>
    <n v="1250"/>
    <n v="2500"/>
    <n v="80"/>
    <n v="1158.3"/>
  </r>
  <r>
    <s v="ORD01247"/>
    <x v="10"/>
    <s v="C0241"/>
    <s v="Small Business"/>
    <s v="Delhi"/>
    <x v="5"/>
    <x v="2"/>
    <s v="Cash on Delivery"/>
    <s v="P010"/>
    <x v="11"/>
    <x v="4"/>
    <n v="3"/>
    <n v="299"/>
    <n v="0.1"/>
    <n v="807.3"/>
    <n v="110"/>
    <n v="330"/>
    <n v="40"/>
    <n v="437.3"/>
  </r>
  <r>
    <s v="ORD01350"/>
    <x v="11"/>
    <s v="C0439"/>
    <s v="Small Business"/>
    <s v="Indore"/>
    <x v="1"/>
    <x v="1"/>
    <s v="UPI"/>
    <s v="P006"/>
    <x v="8"/>
    <x v="3"/>
    <n v="1"/>
    <n v="2999"/>
    <n v="0.05"/>
    <n v="2849.05"/>
    <n v="1750"/>
    <n v="1750"/>
    <n v="100"/>
    <n v="999.05"/>
  </r>
  <r>
    <s v="ORD00090"/>
    <x v="12"/>
    <s v="C0284"/>
    <s v="Corporate"/>
    <s v="Mumbai"/>
    <x v="3"/>
    <x v="0"/>
    <s v="Credit Card"/>
    <s v="P012"/>
    <x v="6"/>
    <x v="0"/>
    <n v="2"/>
    <n v="2199"/>
    <n v="0.05"/>
    <n v="4178.1000000000004"/>
    <n v="1250"/>
    <n v="2500"/>
    <n v="0"/>
    <n v="1678.1"/>
  </r>
  <r>
    <s v="ORD00854"/>
    <x v="12"/>
    <s v="C0387"/>
    <s v="Small Business"/>
    <s v="Delhi"/>
    <x v="5"/>
    <x v="2"/>
    <s v="UPI"/>
    <s v="P009"/>
    <x v="9"/>
    <x v="2"/>
    <n v="1"/>
    <n v="599"/>
    <n v="0"/>
    <n v="599"/>
    <n v="240"/>
    <n v="240"/>
    <n v="60"/>
    <n v="299"/>
  </r>
  <r>
    <s v="ORD00259"/>
    <x v="12"/>
    <s v="C0388"/>
    <s v="Consumer"/>
    <s v="Indore"/>
    <x v="1"/>
    <x v="2"/>
    <s v="Cash on Delivery"/>
    <s v="P012"/>
    <x v="6"/>
    <x v="0"/>
    <n v="1"/>
    <n v="2199"/>
    <n v="0.05"/>
    <n v="2089.0500000000002"/>
    <n v="1250"/>
    <n v="1250"/>
    <n v="100"/>
    <n v="739.05"/>
  </r>
  <r>
    <s v="ORD00779"/>
    <x v="12"/>
    <s v="C0313"/>
    <s v="Consumer"/>
    <s v="Jaipur"/>
    <x v="4"/>
    <x v="0"/>
    <s v="UPI"/>
    <s v="P003"/>
    <x v="10"/>
    <x v="0"/>
    <n v="2"/>
    <n v="1599"/>
    <n v="0.05"/>
    <n v="3038.1"/>
    <n v="900"/>
    <n v="1800"/>
    <n v="0"/>
    <n v="1238.0999999999999"/>
  </r>
  <r>
    <s v="ORD01281"/>
    <x v="12"/>
    <s v="C0059"/>
    <s v="Small Business"/>
    <s v="Chennai"/>
    <x v="9"/>
    <x v="1"/>
    <s v="Debit Card"/>
    <s v="P003"/>
    <x v="10"/>
    <x v="0"/>
    <n v="4"/>
    <n v="1599"/>
    <n v="0"/>
    <n v="6396"/>
    <n v="900"/>
    <n v="3600"/>
    <n v="80"/>
    <n v="2716"/>
  </r>
  <r>
    <s v="ORD00717"/>
    <x v="13"/>
    <s v="C0180"/>
    <s v="Small Business"/>
    <s v="Lucknow"/>
    <x v="8"/>
    <x v="1"/>
    <s v="Debit Card"/>
    <s v="P010"/>
    <x v="11"/>
    <x v="4"/>
    <n v="2"/>
    <n v="299"/>
    <n v="0"/>
    <n v="598"/>
    <n v="110"/>
    <n v="220"/>
    <n v="40"/>
    <n v="338"/>
  </r>
  <r>
    <s v="ORD00143"/>
    <x v="13"/>
    <s v="C0009"/>
    <s v="Consumer"/>
    <s v="Chennai"/>
    <x v="9"/>
    <x v="1"/>
    <s v="UPI"/>
    <s v="P006"/>
    <x v="8"/>
    <x v="3"/>
    <n v="3"/>
    <n v="2999"/>
    <n v="0"/>
    <n v="8997"/>
    <n v="1750"/>
    <n v="5250"/>
    <n v="100"/>
    <n v="3647"/>
  </r>
  <r>
    <s v="ORD00287"/>
    <x v="13"/>
    <s v="C0387"/>
    <s v="Corporate"/>
    <s v="Ahmedabad"/>
    <x v="6"/>
    <x v="2"/>
    <s v="Cash on Delivery"/>
    <s v="P004"/>
    <x v="3"/>
    <x v="1"/>
    <n v="4"/>
    <n v="499"/>
    <n v="0.2"/>
    <n v="1596.8"/>
    <n v="180"/>
    <n v="720"/>
    <n v="0"/>
    <n v="876.8"/>
  </r>
  <r>
    <s v="ORD01264"/>
    <x v="13"/>
    <s v="C0256"/>
    <s v="Consumer"/>
    <s v="Pune"/>
    <x v="3"/>
    <x v="1"/>
    <s v="Debit Card"/>
    <s v="P003"/>
    <x v="10"/>
    <x v="0"/>
    <n v="3"/>
    <n v="1599"/>
    <n v="0.05"/>
    <n v="4557.1499999999996"/>
    <n v="900"/>
    <n v="2700"/>
    <n v="100"/>
    <n v="1757.15"/>
  </r>
  <r>
    <s v="ORD00277"/>
    <x v="14"/>
    <s v="C0229"/>
    <s v="Small Business"/>
    <s v="Mumbai"/>
    <x v="3"/>
    <x v="0"/>
    <s v="UPI"/>
    <s v="P004"/>
    <x v="3"/>
    <x v="1"/>
    <n v="1"/>
    <n v="499"/>
    <n v="0"/>
    <n v="499"/>
    <n v="180"/>
    <n v="180"/>
    <n v="100"/>
    <n v="219"/>
  </r>
  <r>
    <s v="ORD00291"/>
    <x v="14"/>
    <s v="C0214"/>
    <s v="Corporate"/>
    <s v="Ahmedabad"/>
    <x v="6"/>
    <x v="2"/>
    <s v="Credit Card"/>
    <s v="P005"/>
    <x v="1"/>
    <x v="1"/>
    <n v="2"/>
    <n v="1299"/>
    <n v="0.15"/>
    <n v="2208.3000000000002"/>
    <n v="700"/>
    <n v="1400"/>
    <n v="100"/>
    <n v="708.3"/>
  </r>
  <r>
    <s v="ORD01129"/>
    <x v="15"/>
    <s v="C0228"/>
    <s v="Consumer"/>
    <s v="Indore"/>
    <x v="1"/>
    <x v="0"/>
    <s v="Net Banking"/>
    <s v="P011"/>
    <x v="7"/>
    <x v="1"/>
    <n v="1"/>
    <n v="6999"/>
    <n v="0"/>
    <n v="6999"/>
    <n v="4900"/>
    <n v="4900"/>
    <n v="60"/>
    <n v="2039"/>
  </r>
  <r>
    <s v="ORD01321"/>
    <x v="16"/>
    <s v="C0146"/>
    <s v="Consumer"/>
    <s v="Jaipur"/>
    <x v="4"/>
    <x v="1"/>
    <s v="UPI"/>
    <s v="P011"/>
    <x v="7"/>
    <x v="1"/>
    <n v="3"/>
    <n v="6999"/>
    <n v="0.15"/>
    <n v="17847.45"/>
    <n v="4900"/>
    <n v="14700"/>
    <n v="0"/>
    <n v="3147.45"/>
  </r>
  <r>
    <s v="ORD00958"/>
    <x v="16"/>
    <s v="C0424"/>
    <s v="Small Business"/>
    <s v="Delhi"/>
    <x v="5"/>
    <x v="2"/>
    <s v="UPI"/>
    <s v="P006"/>
    <x v="8"/>
    <x v="3"/>
    <n v="4"/>
    <n v="2999"/>
    <n v="0.05"/>
    <n v="11396.2"/>
    <n v="1750"/>
    <n v="7000"/>
    <n v="40"/>
    <n v="4356.2"/>
  </r>
  <r>
    <s v="ORD00166"/>
    <x v="17"/>
    <s v="C0294"/>
    <s v="Corporate"/>
    <s v="Kolkata"/>
    <x v="7"/>
    <x v="0"/>
    <s v="Net Banking"/>
    <s v="P008"/>
    <x v="2"/>
    <x v="2"/>
    <n v="4"/>
    <n v="1799"/>
    <n v="0.05"/>
    <n v="6836.2"/>
    <n v="850"/>
    <n v="3400"/>
    <n v="100"/>
    <n v="3336.2"/>
  </r>
  <r>
    <s v="ORD00402"/>
    <x v="17"/>
    <s v="C0401"/>
    <s v="Corporate"/>
    <s v="Lucknow"/>
    <x v="8"/>
    <x v="1"/>
    <s v="Cash on Delivery"/>
    <s v="P007"/>
    <x v="4"/>
    <x v="3"/>
    <n v="3"/>
    <n v="999"/>
    <n v="0.05"/>
    <n v="2847.15"/>
    <n v="520"/>
    <n v="1560"/>
    <n v="80"/>
    <n v="1207.1500000000001"/>
  </r>
  <r>
    <s v="ORD00884"/>
    <x v="17"/>
    <s v="C0110"/>
    <s v="Small Business"/>
    <s v="Jaipur"/>
    <x v="4"/>
    <x v="0"/>
    <s v="Net Banking"/>
    <s v="P011"/>
    <x v="7"/>
    <x v="1"/>
    <n v="2"/>
    <n v="6999"/>
    <n v="0"/>
    <n v="13998"/>
    <n v="4900"/>
    <n v="9800"/>
    <n v="100"/>
    <n v="4098"/>
  </r>
  <r>
    <s v="ORD00419"/>
    <x v="18"/>
    <s v="C0088"/>
    <s v="Corporate"/>
    <s v="Chennai"/>
    <x v="9"/>
    <x v="2"/>
    <s v="UPI"/>
    <s v="P006"/>
    <x v="8"/>
    <x v="3"/>
    <n v="1"/>
    <n v="2999"/>
    <n v="0"/>
    <n v="2999"/>
    <n v="1750"/>
    <n v="1750"/>
    <n v="0"/>
    <n v="1249"/>
  </r>
  <r>
    <s v="ORD01096"/>
    <x v="19"/>
    <s v="C0378"/>
    <s v="Corporate"/>
    <s v="Bengaluru"/>
    <x v="2"/>
    <x v="2"/>
    <s v="Cash on Delivery"/>
    <s v="P010"/>
    <x v="11"/>
    <x v="4"/>
    <n v="3"/>
    <n v="299"/>
    <n v="0"/>
    <n v="897"/>
    <n v="110"/>
    <n v="330"/>
    <n v="60"/>
    <n v="507"/>
  </r>
  <r>
    <s v="ORD01471"/>
    <x v="19"/>
    <s v="C0393"/>
    <s v="Small Business"/>
    <s v="Chennai"/>
    <x v="9"/>
    <x v="2"/>
    <s v="UPI"/>
    <s v="P007"/>
    <x v="4"/>
    <x v="3"/>
    <n v="1"/>
    <n v="999"/>
    <n v="0.2"/>
    <n v="799.2"/>
    <n v="520"/>
    <n v="520"/>
    <n v="60"/>
    <n v="219.2"/>
  </r>
  <r>
    <s v="ORD00643"/>
    <x v="20"/>
    <s v="C0293"/>
    <s v="Small Business"/>
    <s v="Lucknow"/>
    <x v="8"/>
    <x v="2"/>
    <s v="UPI"/>
    <s v="P012"/>
    <x v="6"/>
    <x v="0"/>
    <n v="3"/>
    <n v="2199"/>
    <n v="0.15"/>
    <n v="5607.45"/>
    <n v="1250"/>
    <n v="3750"/>
    <n v="100"/>
    <n v="1757.45"/>
  </r>
  <r>
    <s v="ORD01146"/>
    <x v="20"/>
    <s v="C0388"/>
    <s v="Corporate"/>
    <s v="Chennai"/>
    <x v="9"/>
    <x v="1"/>
    <s v="UPI"/>
    <s v="P009"/>
    <x v="9"/>
    <x v="2"/>
    <n v="1"/>
    <n v="599"/>
    <n v="0.1"/>
    <n v="539.1"/>
    <n v="240"/>
    <n v="240"/>
    <n v="80"/>
    <n v="219.1"/>
  </r>
  <r>
    <s v="ORD00613"/>
    <x v="20"/>
    <s v="C0367"/>
    <s v="Corporate"/>
    <s v="Delhi"/>
    <x v="5"/>
    <x v="0"/>
    <s v="UPI"/>
    <s v="P003"/>
    <x v="10"/>
    <x v="0"/>
    <n v="5"/>
    <n v="1599"/>
    <n v="0.05"/>
    <n v="7595.25"/>
    <n v="900"/>
    <n v="4500"/>
    <n v="60"/>
    <n v="3035.25"/>
  </r>
  <r>
    <s v="ORD00551"/>
    <x v="20"/>
    <s v="C0069"/>
    <s v="Small Business"/>
    <s v="Delhi"/>
    <x v="5"/>
    <x v="0"/>
    <s v="UPI"/>
    <s v="P004"/>
    <x v="3"/>
    <x v="1"/>
    <n v="1"/>
    <n v="499"/>
    <n v="0.15"/>
    <n v="424.15"/>
    <n v="180"/>
    <n v="180"/>
    <n v="100"/>
    <n v="144.15"/>
  </r>
  <r>
    <s v="ORD00715"/>
    <x v="21"/>
    <s v="C0103"/>
    <s v="Consumer"/>
    <s v="Chennai"/>
    <x v="9"/>
    <x v="1"/>
    <s v="Debit Card"/>
    <s v="P010"/>
    <x v="11"/>
    <x v="4"/>
    <n v="3"/>
    <n v="299"/>
    <n v="0.2"/>
    <n v="717.6"/>
    <n v="110"/>
    <n v="330"/>
    <n v="40"/>
    <n v="347.6"/>
  </r>
  <r>
    <s v="ORD01065"/>
    <x v="21"/>
    <s v="C0291"/>
    <s v="Small Business"/>
    <s v="Chennai"/>
    <x v="9"/>
    <x v="0"/>
    <s v="Cash on Delivery"/>
    <s v="P010"/>
    <x v="11"/>
    <x v="4"/>
    <n v="3"/>
    <n v="299"/>
    <n v="0"/>
    <n v="897"/>
    <n v="110"/>
    <n v="330"/>
    <n v="40"/>
    <n v="527"/>
  </r>
  <r>
    <s v="ORD01276"/>
    <x v="21"/>
    <s v="C0073"/>
    <s v="Consumer"/>
    <s v="Pune"/>
    <x v="3"/>
    <x v="1"/>
    <s v="Net Banking"/>
    <s v="P011"/>
    <x v="7"/>
    <x v="1"/>
    <n v="1"/>
    <n v="6999"/>
    <n v="0.05"/>
    <n v="6649.05"/>
    <n v="4900"/>
    <n v="4900"/>
    <n v="40"/>
    <n v="1709.05"/>
  </r>
  <r>
    <s v="ORD00974"/>
    <x v="21"/>
    <s v="C0124"/>
    <s v="Corporate"/>
    <s v="Hyderabad"/>
    <x v="0"/>
    <x v="0"/>
    <s v="Net Banking"/>
    <s v="P001"/>
    <x v="0"/>
    <x v="0"/>
    <n v="4"/>
    <n v="799"/>
    <n v="0.15"/>
    <n v="2716.6"/>
    <n v="420"/>
    <n v="1680"/>
    <n v="100"/>
    <n v="936.6"/>
  </r>
  <r>
    <s v="ORD00522"/>
    <x v="22"/>
    <s v="C0028"/>
    <s v="Consumer"/>
    <s v="Pune"/>
    <x v="3"/>
    <x v="1"/>
    <s v="Cash on Delivery"/>
    <s v="P008"/>
    <x v="2"/>
    <x v="2"/>
    <n v="2"/>
    <n v="1799"/>
    <n v="0"/>
    <n v="3598"/>
    <n v="850"/>
    <n v="1700"/>
    <n v="0"/>
    <n v="1898"/>
  </r>
  <r>
    <s v="ORD00684"/>
    <x v="23"/>
    <s v="C0047"/>
    <s v="Corporate"/>
    <s v="Jaipur"/>
    <x v="4"/>
    <x v="1"/>
    <s v="Credit Card"/>
    <s v="P003"/>
    <x v="10"/>
    <x v="0"/>
    <n v="2"/>
    <n v="1599"/>
    <n v="0.2"/>
    <n v="2558.4"/>
    <n v="900"/>
    <n v="1800"/>
    <n v="40"/>
    <n v="718.4"/>
  </r>
  <r>
    <s v="ORD01430"/>
    <x v="23"/>
    <s v="C0334"/>
    <s v="Corporate"/>
    <s v="Kolkata"/>
    <x v="7"/>
    <x v="1"/>
    <s v="Debit Card"/>
    <s v="P006"/>
    <x v="8"/>
    <x v="3"/>
    <n v="2"/>
    <n v="2999"/>
    <n v="0.05"/>
    <n v="5698.1"/>
    <n v="1750"/>
    <n v="3500"/>
    <n v="60"/>
    <n v="2138.1"/>
  </r>
  <r>
    <s v="ORD00505"/>
    <x v="23"/>
    <s v="C0137"/>
    <s v="Consumer"/>
    <s v="Bengaluru"/>
    <x v="2"/>
    <x v="1"/>
    <s v="Debit Card"/>
    <s v="P007"/>
    <x v="4"/>
    <x v="3"/>
    <n v="1"/>
    <n v="999"/>
    <n v="0.2"/>
    <n v="799.2"/>
    <n v="520"/>
    <n v="520"/>
    <n v="0"/>
    <n v="279.2"/>
  </r>
  <r>
    <s v="ORD00826"/>
    <x v="23"/>
    <s v="C0048"/>
    <s v="Corporate"/>
    <s v="Chennai"/>
    <x v="9"/>
    <x v="2"/>
    <s v="Cash on Delivery"/>
    <s v="P007"/>
    <x v="4"/>
    <x v="3"/>
    <n v="2"/>
    <n v="999"/>
    <n v="0"/>
    <n v="1998"/>
    <n v="520"/>
    <n v="1040"/>
    <n v="80"/>
    <n v="878"/>
  </r>
  <r>
    <s v="ORD01402"/>
    <x v="24"/>
    <s v="C0247"/>
    <s v="Consumer"/>
    <s v="Lucknow"/>
    <x v="8"/>
    <x v="1"/>
    <s v="Net Banking"/>
    <s v="P004"/>
    <x v="3"/>
    <x v="1"/>
    <n v="2"/>
    <n v="499"/>
    <n v="0.1"/>
    <n v="898.2"/>
    <n v="180"/>
    <n v="360"/>
    <n v="0"/>
    <n v="538.20000000000005"/>
  </r>
  <r>
    <s v="ORD01245"/>
    <x v="24"/>
    <s v="C0055"/>
    <s v="Small Business"/>
    <s v="Ahmedabad"/>
    <x v="6"/>
    <x v="0"/>
    <s v="UPI"/>
    <s v="P012"/>
    <x v="6"/>
    <x v="0"/>
    <n v="5"/>
    <n v="2199"/>
    <n v="0.05"/>
    <n v="10445.25"/>
    <n v="1250"/>
    <n v="6250"/>
    <n v="0"/>
    <n v="4195.25"/>
  </r>
  <r>
    <s v="ORD00452"/>
    <x v="24"/>
    <s v="C0208"/>
    <s v="Corporate"/>
    <s v="Kolkata"/>
    <x v="7"/>
    <x v="0"/>
    <s v="UPI"/>
    <s v="P011"/>
    <x v="7"/>
    <x v="1"/>
    <n v="2"/>
    <n v="6999"/>
    <n v="0.05"/>
    <n v="13298.1"/>
    <n v="4900"/>
    <n v="9800"/>
    <n v="60"/>
    <n v="3438.1"/>
  </r>
  <r>
    <s v="ORD00946"/>
    <x v="25"/>
    <s v="C0432"/>
    <s v="Small Business"/>
    <s v="Kolkata"/>
    <x v="7"/>
    <x v="0"/>
    <s v="Credit Card"/>
    <s v="P004"/>
    <x v="3"/>
    <x v="1"/>
    <n v="2"/>
    <n v="499"/>
    <n v="0"/>
    <n v="998"/>
    <n v="180"/>
    <n v="360"/>
    <n v="40"/>
    <n v="598"/>
  </r>
  <r>
    <s v="ORD00874"/>
    <x v="25"/>
    <s v="C0183"/>
    <s v="Corporate"/>
    <s v="Chennai"/>
    <x v="9"/>
    <x v="1"/>
    <s v="UPI"/>
    <s v="P011"/>
    <x v="7"/>
    <x v="1"/>
    <n v="1"/>
    <n v="6999"/>
    <n v="0"/>
    <n v="6999"/>
    <n v="4900"/>
    <n v="4900"/>
    <n v="80"/>
    <n v="2019"/>
  </r>
  <r>
    <s v="ORD00986"/>
    <x v="26"/>
    <s v="C0157"/>
    <s v="Corporate"/>
    <s v="Mumbai"/>
    <x v="3"/>
    <x v="2"/>
    <s v="Credit Card"/>
    <s v="P003"/>
    <x v="10"/>
    <x v="0"/>
    <n v="1"/>
    <n v="1599"/>
    <n v="0.15"/>
    <n v="1359.15"/>
    <n v="900"/>
    <n v="900"/>
    <n v="80"/>
    <n v="379.15"/>
  </r>
  <r>
    <s v="ORD00445"/>
    <x v="26"/>
    <s v="C0332"/>
    <s v="Consumer"/>
    <s v="Bengaluru"/>
    <x v="2"/>
    <x v="0"/>
    <s v="Credit Card"/>
    <s v="P007"/>
    <x v="4"/>
    <x v="3"/>
    <n v="1"/>
    <n v="999"/>
    <n v="0.15"/>
    <n v="849.15"/>
    <n v="520"/>
    <n v="520"/>
    <n v="40"/>
    <n v="289.14999999999998"/>
  </r>
  <r>
    <s v="ORD01024"/>
    <x v="26"/>
    <s v="C0172"/>
    <s v="Corporate"/>
    <s v="Indore"/>
    <x v="1"/>
    <x v="2"/>
    <s v="UPI"/>
    <s v="P008"/>
    <x v="2"/>
    <x v="2"/>
    <n v="2"/>
    <n v="1799"/>
    <n v="0"/>
    <n v="3598"/>
    <n v="850"/>
    <n v="1700"/>
    <n v="100"/>
    <n v="1798"/>
  </r>
  <r>
    <s v="ORD01366"/>
    <x v="26"/>
    <s v="C0315"/>
    <s v="Corporate"/>
    <s v="Delhi"/>
    <x v="5"/>
    <x v="2"/>
    <s v="Cash on Delivery"/>
    <s v="P009"/>
    <x v="9"/>
    <x v="2"/>
    <n v="1"/>
    <n v="599"/>
    <n v="0.1"/>
    <n v="539.1"/>
    <n v="240"/>
    <n v="240"/>
    <n v="0"/>
    <n v="299.10000000000002"/>
  </r>
  <r>
    <s v="ORD01337"/>
    <x v="27"/>
    <s v="C0061"/>
    <s v="Small Business"/>
    <s v="Hyderabad"/>
    <x v="0"/>
    <x v="2"/>
    <s v="Debit Card"/>
    <s v="P008"/>
    <x v="2"/>
    <x v="2"/>
    <n v="2"/>
    <n v="1799"/>
    <n v="0.1"/>
    <n v="3238.2"/>
    <n v="850"/>
    <n v="1700"/>
    <n v="60"/>
    <n v="1478.2"/>
  </r>
  <r>
    <s v="ORD01325"/>
    <x v="27"/>
    <s v="C0166"/>
    <s v="Small Business"/>
    <s v="Pune"/>
    <x v="3"/>
    <x v="0"/>
    <s v="Net Banking"/>
    <s v="P004"/>
    <x v="3"/>
    <x v="1"/>
    <n v="1"/>
    <n v="499"/>
    <n v="0"/>
    <n v="499"/>
    <n v="180"/>
    <n v="180"/>
    <n v="40"/>
    <n v="279"/>
  </r>
  <r>
    <s v="ORD00967"/>
    <x v="28"/>
    <s v="C0044"/>
    <s v="Corporate"/>
    <s v="Pune"/>
    <x v="3"/>
    <x v="1"/>
    <s v="Net Banking"/>
    <s v="P008"/>
    <x v="2"/>
    <x v="2"/>
    <n v="1"/>
    <n v="1799"/>
    <n v="0"/>
    <n v="1799"/>
    <n v="850"/>
    <n v="850"/>
    <n v="100"/>
    <n v="849"/>
  </r>
  <r>
    <s v="ORD01385"/>
    <x v="28"/>
    <s v="C0348"/>
    <s v="Corporate"/>
    <s v="Jaipur"/>
    <x v="4"/>
    <x v="1"/>
    <s v="Credit Card"/>
    <s v="P012"/>
    <x v="6"/>
    <x v="0"/>
    <n v="1"/>
    <n v="2199"/>
    <n v="0"/>
    <n v="2199"/>
    <n v="1250"/>
    <n v="1250"/>
    <n v="0"/>
    <n v="949"/>
  </r>
  <r>
    <s v="ORD01132"/>
    <x v="29"/>
    <s v="C0281"/>
    <s v="Corporate"/>
    <s v="Indore"/>
    <x v="1"/>
    <x v="2"/>
    <s v="Net Banking"/>
    <s v="P003"/>
    <x v="10"/>
    <x v="0"/>
    <n v="2"/>
    <n v="1599"/>
    <n v="0"/>
    <n v="3198"/>
    <n v="900"/>
    <n v="1800"/>
    <n v="60"/>
    <n v="1338"/>
  </r>
  <r>
    <s v="ORD01275"/>
    <x v="29"/>
    <s v="C0243"/>
    <s v="Consumer"/>
    <s v="Kolkata"/>
    <x v="7"/>
    <x v="2"/>
    <s v="Credit Card"/>
    <s v="P010"/>
    <x v="11"/>
    <x v="4"/>
    <n v="3"/>
    <n v="299"/>
    <n v="0"/>
    <n v="897"/>
    <n v="110"/>
    <n v="330"/>
    <n v="60"/>
    <n v="507"/>
  </r>
  <r>
    <s v="ORD00011"/>
    <x v="29"/>
    <s v="C0449"/>
    <s v="Small Business"/>
    <s v="Bhopal"/>
    <x v="1"/>
    <x v="1"/>
    <s v="Credit Card"/>
    <s v="P006"/>
    <x v="8"/>
    <x v="3"/>
    <n v="1"/>
    <n v="2999"/>
    <n v="0"/>
    <n v="2999"/>
    <n v="1750"/>
    <n v="1750"/>
    <n v="40"/>
    <n v="1209"/>
  </r>
  <r>
    <s v="ORD01361"/>
    <x v="29"/>
    <s v="C0205"/>
    <s v="Consumer"/>
    <s v="Kolkata"/>
    <x v="7"/>
    <x v="1"/>
    <s v="Debit Card"/>
    <s v="P008"/>
    <x v="2"/>
    <x v="2"/>
    <n v="4"/>
    <n v="1799"/>
    <n v="0"/>
    <n v="7196"/>
    <n v="850"/>
    <n v="3400"/>
    <n v="80"/>
    <n v="3716"/>
  </r>
  <r>
    <s v="ORD00442"/>
    <x v="30"/>
    <s v="C0189"/>
    <s v="Corporate"/>
    <s v="Hyderabad"/>
    <x v="0"/>
    <x v="0"/>
    <s v="Net Banking"/>
    <s v="P008"/>
    <x v="2"/>
    <x v="2"/>
    <n v="1"/>
    <n v="1799"/>
    <n v="0.05"/>
    <n v="1709.05"/>
    <n v="850"/>
    <n v="850"/>
    <n v="40"/>
    <n v="819.05"/>
  </r>
  <r>
    <s v="ORD01290"/>
    <x v="30"/>
    <s v="C0398"/>
    <s v="Corporate"/>
    <s v="Bengaluru"/>
    <x v="2"/>
    <x v="0"/>
    <s v="Net Banking"/>
    <s v="P011"/>
    <x v="7"/>
    <x v="1"/>
    <n v="1"/>
    <n v="6999"/>
    <n v="0.1"/>
    <n v="6299.1"/>
    <n v="4900"/>
    <n v="4900"/>
    <n v="40"/>
    <n v="1359.1"/>
  </r>
  <r>
    <s v="ORD01379"/>
    <x v="31"/>
    <s v="C0022"/>
    <s v="Corporate"/>
    <s v="Jaipur"/>
    <x v="4"/>
    <x v="2"/>
    <s v="Net Banking"/>
    <s v="P011"/>
    <x v="7"/>
    <x v="1"/>
    <n v="2"/>
    <n v="6999"/>
    <n v="0.2"/>
    <n v="11198.4"/>
    <n v="4900"/>
    <n v="9800"/>
    <n v="100"/>
    <n v="1298.4000000000001"/>
  </r>
  <r>
    <s v="ORD01085"/>
    <x v="32"/>
    <s v="C0416"/>
    <s v="Small Business"/>
    <s v="Indore"/>
    <x v="1"/>
    <x v="0"/>
    <s v="UPI"/>
    <s v="P011"/>
    <x v="7"/>
    <x v="1"/>
    <n v="2"/>
    <n v="6999"/>
    <n v="0.1"/>
    <n v="12598.2"/>
    <n v="4900"/>
    <n v="9800"/>
    <n v="0"/>
    <n v="2798.2"/>
  </r>
  <r>
    <s v="ORD01187"/>
    <x v="33"/>
    <s v="C0004"/>
    <s v="Small Business"/>
    <s v="Chennai"/>
    <x v="9"/>
    <x v="1"/>
    <s v="Debit Card"/>
    <s v="P008"/>
    <x v="2"/>
    <x v="2"/>
    <n v="4"/>
    <n v="1799"/>
    <n v="0.1"/>
    <n v="6476.4"/>
    <n v="850"/>
    <n v="3400"/>
    <n v="0"/>
    <n v="3076.4"/>
  </r>
  <r>
    <s v="ORD00116"/>
    <x v="34"/>
    <s v="C0448"/>
    <s v="Corporate"/>
    <s v="Pune"/>
    <x v="3"/>
    <x v="2"/>
    <s v="Cash on Delivery"/>
    <s v="P003"/>
    <x v="10"/>
    <x v="0"/>
    <n v="2"/>
    <n v="1599"/>
    <n v="0.15"/>
    <n v="2718.3"/>
    <n v="900"/>
    <n v="1800"/>
    <n v="60"/>
    <n v="858.3"/>
  </r>
  <r>
    <s v="ORD01283"/>
    <x v="34"/>
    <s v="C0280"/>
    <s v="Consumer"/>
    <s v="Ahmedabad"/>
    <x v="6"/>
    <x v="0"/>
    <s v="Net Banking"/>
    <s v="P004"/>
    <x v="3"/>
    <x v="1"/>
    <n v="3"/>
    <n v="499"/>
    <n v="0"/>
    <n v="1497"/>
    <n v="180"/>
    <n v="540"/>
    <n v="80"/>
    <n v="877"/>
  </r>
  <r>
    <s v="ORD01015"/>
    <x v="34"/>
    <s v="C0004"/>
    <s v="Consumer"/>
    <s v="Bengaluru"/>
    <x v="2"/>
    <x v="0"/>
    <s v="Net Banking"/>
    <s v="P005"/>
    <x v="1"/>
    <x v="1"/>
    <n v="2"/>
    <n v="1299"/>
    <n v="0.2"/>
    <n v="2078.4"/>
    <n v="700"/>
    <n v="1400"/>
    <n v="100"/>
    <n v="578.4"/>
  </r>
  <r>
    <s v="ORD00692"/>
    <x v="34"/>
    <s v="C0153"/>
    <s v="Corporate"/>
    <s v="Bhopal"/>
    <x v="1"/>
    <x v="2"/>
    <s v="UPI"/>
    <s v="P003"/>
    <x v="10"/>
    <x v="0"/>
    <n v="3"/>
    <n v="1599"/>
    <n v="0.2"/>
    <n v="3837.6"/>
    <n v="900"/>
    <n v="2700"/>
    <n v="100"/>
    <n v="1037.5999999999999"/>
  </r>
  <r>
    <s v="ORD01260"/>
    <x v="35"/>
    <s v="C0321"/>
    <s v="Consumer"/>
    <s v="Pune"/>
    <x v="3"/>
    <x v="0"/>
    <s v="Credit Card"/>
    <s v="P005"/>
    <x v="1"/>
    <x v="1"/>
    <n v="1"/>
    <n v="1299"/>
    <n v="0.2"/>
    <n v="1039.2"/>
    <n v="700"/>
    <n v="700"/>
    <n v="80"/>
    <n v="259.2"/>
  </r>
  <r>
    <s v="ORD00644"/>
    <x v="35"/>
    <s v="C0299"/>
    <s v="Consumer"/>
    <s v="Chennai"/>
    <x v="9"/>
    <x v="2"/>
    <s v="Debit Card"/>
    <s v="P008"/>
    <x v="2"/>
    <x v="2"/>
    <n v="1"/>
    <n v="1799"/>
    <n v="0"/>
    <n v="1799"/>
    <n v="850"/>
    <n v="850"/>
    <n v="60"/>
    <n v="889"/>
  </r>
  <r>
    <s v="ORD00035"/>
    <x v="36"/>
    <s v="C0268"/>
    <s v="Corporate"/>
    <s v="Bhopal"/>
    <x v="1"/>
    <x v="1"/>
    <s v="Credit Card"/>
    <s v="P010"/>
    <x v="11"/>
    <x v="4"/>
    <n v="1"/>
    <n v="299"/>
    <n v="0.2"/>
    <n v="239.2"/>
    <n v="110"/>
    <n v="110"/>
    <n v="100"/>
    <n v="29.2"/>
  </r>
  <r>
    <s v="ORD00286"/>
    <x v="36"/>
    <s v="C0246"/>
    <s v="Consumer"/>
    <s v="Bengaluru"/>
    <x v="2"/>
    <x v="1"/>
    <s v="Debit Card"/>
    <s v="P002"/>
    <x v="5"/>
    <x v="0"/>
    <n v="1"/>
    <n v="2499"/>
    <n v="0.15"/>
    <n v="2124.15"/>
    <n v="1450"/>
    <n v="1450"/>
    <n v="100"/>
    <n v="574.15"/>
  </r>
  <r>
    <s v="ORD00474"/>
    <x v="36"/>
    <s v="C0121"/>
    <s v="Consumer"/>
    <s v="Chennai"/>
    <x v="9"/>
    <x v="2"/>
    <s v="UPI"/>
    <s v="P009"/>
    <x v="9"/>
    <x v="2"/>
    <n v="2"/>
    <n v="599"/>
    <n v="0"/>
    <n v="1198"/>
    <n v="240"/>
    <n v="480"/>
    <n v="80"/>
    <n v="638"/>
  </r>
  <r>
    <s v="ORD00103"/>
    <x v="37"/>
    <s v="C0093"/>
    <s v="Small Business"/>
    <s v="Hyderabad"/>
    <x v="0"/>
    <x v="1"/>
    <s v="Net Banking"/>
    <s v="P003"/>
    <x v="10"/>
    <x v="0"/>
    <n v="2"/>
    <n v="1599"/>
    <n v="0.2"/>
    <n v="2558.4"/>
    <n v="900"/>
    <n v="1800"/>
    <n v="80"/>
    <n v="678.4"/>
  </r>
  <r>
    <s v="ORD01358"/>
    <x v="37"/>
    <s v="C0251"/>
    <s v="Corporate"/>
    <s v="Mumbai"/>
    <x v="3"/>
    <x v="2"/>
    <s v="Net Banking"/>
    <s v="P004"/>
    <x v="3"/>
    <x v="1"/>
    <n v="1"/>
    <n v="499"/>
    <n v="0.15"/>
    <n v="424.15"/>
    <n v="180"/>
    <n v="180"/>
    <n v="0"/>
    <n v="244.15"/>
  </r>
  <r>
    <s v="ORD00393"/>
    <x v="37"/>
    <s v="C0365"/>
    <s v="Consumer"/>
    <s v="Pune"/>
    <x v="3"/>
    <x v="1"/>
    <s v="Net Banking"/>
    <s v="P004"/>
    <x v="3"/>
    <x v="1"/>
    <n v="3"/>
    <n v="499"/>
    <n v="0.05"/>
    <n v="1422.15"/>
    <n v="180"/>
    <n v="540"/>
    <n v="40"/>
    <n v="842.15"/>
  </r>
  <r>
    <s v="ORD01124"/>
    <x v="38"/>
    <s v="C0267"/>
    <s v="Corporate"/>
    <s v="Bhopal"/>
    <x v="1"/>
    <x v="1"/>
    <s v="Net Banking"/>
    <s v="P002"/>
    <x v="5"/>
    <x v="0"/>
    <n v="1"/>
    <n v="2499"/>
    <n v="0"/>
    <n v="2499"/>
    <n v="1450"/>
    <n v="1450"/>
    <n v="80"/>
    <n v="969"/>
  </r>
  <r>
    <s v="ORD00250"/>
    <x v="39"/>
    <s v="C0336"/>
    <s v="Corporate"/>
    <s v="Jaipur"/>
    <x v="4"/>
    <x v="0"/>
    <s v="Net Banking"/>
    <s v="P005"/>
    <x v="1"/>
    <x v="1"/>
    <n v="4"/>
    <n v="1299"/>
    <n v="0"/>
    <n v="5196"/>
    <n v="700"/>
    <n v="2800"/>
    <n v="60"/>
    <n v="2336"/>
  </r>
  <r>
    <s v="ORD00851"/>
    <x v="40"/>
    <s v="C0309"/>
    <s v="Consumer"/>
    <s v="Pune"/>
    <x v="3"/>
    <x v="0"/>
    <s v="Credit Card"/>
    <s v="P002"/>
    <x v="5"/>
    <x v="0"/>
    <n v="1"/>
    <n v="2499"/>
    <n v="0"/>
    <n v="2499"/>
    <n v="1450"/>
    <n v="1450"/>
    <n v="0"/>
    <n v="1049"/>
  </r>
  <r>
    <s v="ORD01327"/>
    <x v="40"/>
    <s v="C0169"/>
    <s v="Small Business"/>
    <s v="Hyderabad"/>
    <x v="0"/>
    <x v="0"/>
    <s v="Net Banking"/>
    <s v="P002"/>
    <x v="5"/>
    <x v="0"/>
    <n v="1"/>
    <n v="2499"/>
    <n v="0.05"/>
    <n v="2374.0500000000002"/>
    <n v="1450"/>
    <n v="1450"/>
    <n v="0"/>
    <n v="924.05"/>
  </r>
  <r>
    <s v="ORD00631"/>
    <x v="40"/>
    <s v="C0249"/>
    <s v="Consumer"/>
    <s v="Pune"/>
    <x v="3"/>
    <x v="2"/>
    <s v="UPI"/>
    <s v="P003"/>
    <x v="10"/>
    <x v="0"/>
    <n v="1"/>
    <n v="1599"/>
    <n v="0"/>
    <n v="1599"/>
    <n v="900"/>
    <n v="900"/>
    <n v="40"/>
    <n v="659"/>
  </r>
  <r>
    <s v="ORD01080"/>
    <x v="41"/>
    <s v="C0176"/>
    <s v="Small Business"/>
    <s v="Kolkata"/>
    <x v="7"/>
    <x v="1"/>
    <s v="Credit Card"/>
    <s v="P008"/>
    <x v="2"/>
    <x v="2"/>
    <n v="1"/>
    <n v="1799"/>
    <n v="0.2"/>
    <n v="1439.2"/>
    <n v="850"/>
    <n v="850"/>
    <n v="80"/>
    <n v="509.2"/>
  </r>
  <r>
    <s v="ORD01415"/>
    <x v="41"/>
    <s v="C0027"/>
    <s v="Small Business"/>
    <s v="Lucknow"/>
    <x v="8"/>
    <x v="1"/>
    <s v="UPI"/>
    <s v="P004"/>
    <x v="3"/>
    <x v="1"/>
    <n v="1"/>
    <n v="499"/>
    <n v="0"/>
    <n v="499"/>
    <n v="180"/>
    <n v="180"/>
    <n v="80"/>
    <n v="239"/>
  </r>
  <r>
    <s v="ORD00325"/>
    <x v="41"/>
    <s v="C0408"/>
    <s v="Corporate"/>
    <s v="Chennai"/>
    <x v="9"/>
    <x v="2"/>
    <s v="UPI"/>
    <s v="P010"/>
    <x v="11"/>
    <x v="4"/>
    <n v="5"/>
    <n v="299"/>
    <n v="0.2"/>
    <n v="1196"/>
    <n v="110"/>
    <n v="550"/>
    <n v="80"/>
    <n v="566"/>
  </r>
  <r>
    <s v="ORD00271"/>
    <x v="42"/>
    <s v="C0036"/>
    <s v="Corporate"/>
    <s v="Mumbai"/>
    <x v="3"/>
    <x v="2"/>
    <s v="Debit Card"/>
    <s v="P007"/>
    <x v="4"/>
    <x v="3"/>
    <n v="1"/>
    <n v="999"/>
    <n v="0"/>
    <n v="999"/>
    <n v="520"/>
    <n v="520"/>
    <n v="100"/>
    <n v="379"/>
  </r>
  <r>
    <s v="ORD00382"/>
    <x v="43"/>
    <s v="C0168"/>
    <s v="Consumer"/>
    <s v="Hyderabad"/>
    <x v="0"/>
    <x v="0"/>
    <s v="Net Banking"/>
    <s v="P007"/>
    <x v="4"/>
    <x v="3"/>
    <n v="1"/>
    <n v="999"/>
    <n v="0.1"/>
    <n v="899.1"/>
    <n v="520"/>
    <n v="520"/>
    <n v="60"/>
    <n v="319.10000000000002"/>
  </r>
  <r>
    <s v="ORD00059"/>
    <x v="43"/>
    <s v="C0213"/>
    <s v="Small Business"/>
    <s v="Jaipur"/>
    <x v="4"/>
    <x v="0"/>
    <s v="Credit Card"/>
    <s v="P004"/>
    <x v="3"/>
    <x v="1"/>
    <n v="5"/>
    <n v="499"/>
    <n v="0.15"/>
    <n v="2120.75"/>
    <n v="180"/>
    <n v="900"/>
    <n v="0"/>
    <n v="1220.75"/>
  </r>
  <r>
    <s v="ORD00483"/>
    <x v="43"/>
    <s v="C0445"/>
    <s v="Small Business"/>
    <s v="Ahmedabad"/>
    <x v="6"/>
    <x v="0"/>
    <s v="Cash on Delivery"/>
    <s v="P002"/>
    <x v="5"/>
    <x v="0"/>
    <n v="1"/>
    <n v="2499"/>
    <n v="0.05"/>
    <n v="2374.0500000000002"/>
    <n v="1450"/>
    <n v="1450"/>
    <n v="0"/>
    <n v="924.05"/>
  </r>
  <r>
    <s v="ORD01324"/>
    <x v="44"/>
    <s v="C0063"/>
    <s v="Corporate"/>
    <s v="Indore"/>
    <x v="1"/>
    <x v="0"/>
    <s v="UPI"/>
    <s v="P007"/>
    <x v="4"/>
    <x v="3"/>
    <n v="1"/>
    <n v="999"/>
    <n v="0.1"/>
    <n v="899.1"/>
    <n v="520"/>
    <n v="520"/>
    <n v="80"/>
    <n v="299.10000000000002"/>
  </r>
  <r>
    <s v="ORD00819"/>
    <x v="44"/>
    <s v="C0083"/>
    <s v="Small Business"/>
    <s v="Bhopal"/>
    <x v="1"/>
    <x v="0"/>
    <s v="Debit Card"/>
    <s v="P003"/>
    <x v="10"/>
    <x v="0"/>
    <n v="1"/>
    <n v="1599"/>
    <n v="0.1"/>
    <n v="1439.1"/>
    <n v="900"/>
    <n v="900"/>
    <n v="40"/>
    <n v="499.1"/>
  </r>
  <r>
    <s v="ORD00417"/>
    <x v="45"/>
    <s v="C0253"/>
    <s v="Corporate"/>
    <s v="Kolkata"/>
    <x v="7"/>
    <x v="1"/>
    <s v="Cash on Delivery"/>
    <s v="P007"/>
    <x v="4"/>
    <x v="3"/>
    <n v="2"/>
    <n v="999"/>
    <n v="0.1"/>
    <n v="1798.2"/>
    <n v="520"/>
    <n v="1040"/>
    <n v="40"/>
    <n v="718.2"/>
  </r>
  <r>
    <s v="ORD00633"/>
    <x v="46"/>
    <s v="C0107"/>
    <s v="Small Business"/>
    <s v="Mumbai"/>
    <x v="3"/>
    <x v="1"/>
    <s v="UPI"/>
    <s v="P006"/>
    <x v="8"/>
    <x v="3"/>
    <n v="1"/>
    <n v="2999"/>
    <n v="0.2"/>
    <n v="2399.1999999999998"/>
    <n v="1750"/>
    <n v="1750"/>
    <n v="0"/>
    <n v="649.20000000000005"/>
  </r>
  <r>
    <s v="ORD00437"/>
    <x v="46"/>
    <s v="C0173"/>
    <s v="Corporate"/>
    <s v="Mumbai"/>
    <x v="3"/>
    <x v="1"/>
    <s v="Debit Card"/>
    <s v="P012"/>
    <x v="6"/>
    <x v="0"/>
    <n v="2"/>
    <n v="2199"/>
    <n v="0.05"/>
    <n v="4178.1000000000004"/>
    <n v="1250"/>
    <n v="2500"/>
    <n v="60"/>
    <n v="1618.1"/>
  </r>
  <r>
    <s v="ORD01196"/>
    <x v="47"/>
    <s v="C0005"/>
    <s v="Corporate"/>
    <s v="Ahmedabad"/>
    <x v="6"/>
    <x v="1"/>
    <s v="Debit Card"/>
    <s v="P011"/>
    <x v="7"/>
    <x v="1"/>
    <n v="3"/>
    <n v="6999"/>
    <n v="0.1"/>
    <n v="18897.3"/>
    <n v="4900"/>
    <n v="14700"/>
    <n v="100"/>
    <n v="4097.3"/>
  </r>
  <r>
    <s v="ORD01102"/>
    <x v="47"/>
    <s v="C0089"/>
    <s v="Small Business"/>
    <s v="Pune"/>
    <x v="3"/>
    <x v="0"/>
    <s v="Credit Card"/>
    <s v="P011"/>
    <x v="7"/>
    <x v="1"/>
    <n v="5"/>
    <n v="6999"/>
    <n v="0"/>
    <n v="34995"/>
    <n v="4900"/>
    <n v="24500"/>
    <n v="40"/>
    <n v="10455"/>
  </r>
  <r>
    <s v="ORD00179"/>
    <x v="47"/>
    <s v="C0286"/>
    <s v="Small Business"/>
    <s v="Pune"/>
    <x v="3"/>
    <x v="1"/>
    <s v="Debit Card"/>
    <s v="P011"/>
    <x v="7"/>
    <x v="1"/>
    <n v="2"/>
    <n v="6999"/>
    <n v="0"/>
    <n v="13998"/>
    <n v="4900"/>
    <n v="9800"/>
    <n v="60"/>
    <n v="4138"/>
  </r>
  <r>
    <s v="ORD00682"/>
    <x v="48"/>
    <s v="C0232"/>
    <s v="Consumer"/>
    <s v="Indore"/>
    <x v="1"/>
    <x v="0"/>
    <s v="Cash on Delivery"/>
    <s v="P012"/>
    <x v="6"/>
    <x v="0"/>
    <n v="2"/>
    <n v="2199"/>
    <n v="0"/>
    <n v="4398"/>
    <n v="1250"/>
    <n v="2500"/>
    <n v="80"/>
    <n v="1818"/>
  </r>
  <r>
    <s v="ORD00509"/>
    <x v="48"/>
    <s v="C0425"/>
    <s v="Consumer"/>
    <s v="Jaipur"/>
    <x v="4"/>
    <x v="0"/>
    <s v="Debit Card"/>
    <s v="P001"/>
    <x v="0"/>
    <x v="0"/>
    <n v="3"/>
    <n v="799"/>
    <n v="0"/>
    <n v="2397"/>
    <n v="420"/>
    <n v="1260"/>
    <n v="100"/>
    <n v="1037"/>
  </r>
  <r>
    <s v="ORD00107"/>
    <x v="48"/>
    <s v="C0227"/>
    <s v="Consumer"/>
    <s v="Indore"/>
    <x v="1"/>
    <x v="2"/>
    <s v="Debit Card"/>
    <s v="P004"/>
    <x v="3"/>
    <x v="1"/>
    <n v="2"/>
    <n v="499"/>
    <n v="0.15"/>
    <n v="848.3"/>
    <n v="180"/>
    <n v="360"/>
    <n v="80"/>
    <n v="408.3"/>
  </r>
  <r>
    <s v="ORD01278"/>
    <x v="48"/>
    <s v="C0085"/>
    <s v="Consumer"/>
    <s v="Hyderabad"/>
    <x v="0"/>
    <x v="1"/>
    <s v="Net Banking"/>
    <s v="P002"/>
    <x v="5"/>
    <x v="0"/>
    <n v="4"/>
    <n v="2499"/>
    <n v="0.1"/>
    <n v="8996.4"/>
    <n v="1450"/>
    <n v="5800"/>
    <n v="60"/>
    <n v="3136.4"/>
  </r>
  <r>
    <s v="ORD00601"/>
    <x v="48"/>
    <s v="C0135"/>
    <s v="Small Business"/>
    <s v="Pune"/>
    <x v="3"/>
    <x v="2"/>
    <s v="UPI"/>
    <s v="P001"/>
    <x v="0"/>
    <x v="0"/>
    <n v="3"/>
    <n v="799"/>
    <n v="0.15"/>
    <n v="2037.45"/>
    <n v="420"/>
    <n v="1260"/>
    <n v="0"/>
    <n v="777.45"/>
  </r>
  <r>
    <s v="ORD00790"/>
    <x v="48"/>
    <s v="C0172"/>
    <s v="Small Business"/>
    <s v="Hyderabad"/>
    <x v="0"/>
    <x v="1"/>
    <s v="UPI"/>
    <s v="P011"/>
    <x v="7"/>
    <x v="1"/>
    <n v="1"/>
    <n v="6999"/>
    <n v="0"/>
    <n v="6999"/>
    <n v="4900"/>
    <n v="4900"/>
    <n v="80"/>
    <n v="2019"/>
  </r>
  <r>
    <s v="ORD00121"/>
    <x v="49"/>
    <s v="C0272"/>
    <s v="Corporate"/>
    <s v="Bengaluru"/>
    <x v="2"/>
    <x v="0"/>
    <s v="Credit Card"/>
    <s v="P005"/>
    <x v="1"/>
    <x v="1"/>
    <n v="1"/>
    <n v="1299"/>
    <n v="0.1"/>
    <n v="1169.0999999999999"/>
    <n v="700"/>
    <n v="700"/>
    <n v="40"/>
    <n v="429.1"/>
  </r>
  <r>
    <s v="ORD01406"/>
    <x v="50"/>
    <s v="C0023"/>
    <s v="Corporate"/>
    <s v="Hyderabad"/>
    <x v="0"/>
    <x v="1"/>
    <s v="Cash on Delivery"/>
    <s v="P002"/>
    <x v="5"/>
    <x v="0"/>
    <n v="1"/>
    <n v="2499"/>
    <n v="0.1"/>
    <n v="2249.1"/>
    <n v="1450"/>
    <n v="1450"/>
    <n v="40"/>
    <n v="759.1"/>
  </r>
  <r>
    <s v="ORD00404"/>
    <x v="51"/>
    <s v="C0052"/>
    <s v="Consumer"/>
    <s v="Delhi"/>
    <x v="5"/>
    <x v="0"/>
    <s v="Credit Card"/>
    <s v="P008"/>
    <x v="2"/>
    <x v="2"/>
    <n v="2"/>
    <n v="1799"/>
    <n v="0.15"/>
    <n v="3058.3"/>
    <n v="850"/>
    <n v="1700"/>
    <n v="40"/>
    <n v="1318.3"/>
  </r>
  <r>
    <s v="ORD01484"/>
    <x v="52"/>
    <s v="C0019"/>
    <s v="Corporate"/>
    <s v="Delhi"/>
    <x v="5"/>
    <x v="0"/>
    <s v="Cash on Delivery"/>
    <s v="P008"/>
    <x v="2"/>
    <x v="2"/>
    <n v="1"/>
    <n v="1799"/>
    <n v="0.05"/>
    <n v="1709.05"/>
    <n v="850"/>
    <n v="850"/>
    <n v="60"/>
    <n v="799.05"/>
  </r>
  <r>
    <s v="ORD01121"/>
    <x v="52"/>
    <s v="C0226"/>
    <s v="Small Business"/>
    <s v="Kolkata"/>
    <x v="7"/>
    <x v="0"/>
    <s v="UPI"/>
    <s v="P012"/>
    <x v="6"/>
    <x v="0"/>
    <n v="1"/>
    <n v="2199"/>
    <n v="0"/>
    <n v="2199"/>
    <n v="1250"/>
    <n v="1250"/>
    <n v="60"/>
    <n v="889"/>
  </r>
  <r>
    <s v="ORD01414"/>
    <x v="53"/>
    <s v="C0442"/>
    <s v="Corporate"/>
    <s v="Mumbai"/>
    <x v="3"/>
    <x v="1"/>
    <s v="Net Banking"/>
    <s v="P005"/>
    <x v="1"/>
    <x v="1"/>
    <n v="3"/>
    <n v="1299"/>
    <n v="0.1"/>
    <n v="3507.3"/>
    <n v="700"/>
    <n v="2100"/>
    <n v="80"/>
    <n v="1327.3"/>
  </r>
  <r>
    <s v="ORD00623"/>
    <x v="53"/>
    <s v="C0065"/>
    <s v="Corporate"/>
    <s v="Pune"/>
    <x v="3"/>
    <x v="2"/>
    <s v="Debit Card"/>
    <s v="P006"/>
    <x v="8"/>
    <x v="3"/>
    <n v="2"/>
    <n v="2999"/>
    <n v="0.2"/>
    <n v="4798.3999999999996"/>
    <n v="1750"/>
    <n v="3500"/>
    <n v="100"/>
    <n v="1198.4000000000001"/>
  </r>
  <r>
    <s v="ORD01427"/>
    <x v="54"/>
    <s v="C0433"/>
    <s v="Corporate"/>
    <s v="Indore"/>
    <x v="1"/>
    <x v="0"/>
    <s v="UPI"/>
    <s v="P012"/>
    <x v="6"/>
    <x v="0"/>
    <n v="5"/>
    <n v="2199"/>
    <n v="0.05"/>
    <n v="10445.25"/>
    <n v="1250"/>
    <n v="6250"/>
    <n v="0"/>
    <n v="4195.25"/>
  </r>
  <r>
    <s v="ORD00263"/>
    <x v="55"/>
    <s v="C0352"/>
    <s v="Small Business"/>
    <s v="Kolkata"/>
    <x v="7"/>
    <x v="0"/>
    <s v="Debit Card"/>
    <s v="P011"/>
    <x v="7"/>
    <x v="1"/>
    <n v="1"/>
    <n v="6999"/>
    <n v="0.05"/>
    <n v="6649.05"/>
    <n v="4900"/>
    <n v="4900"/>
    <n v="40"/>
    <n v="1709.05"/>
  </r>
  <r>
    <s v="ORD00629"/>
    <x v="56"/>
    <s v="C0350"/>
    <s v="Corporate"/>
    <s v="Lucknow"/>
    <x v="8"/>
    <x v="0"/>
    <s v="Credit Card"/>
    <s v="P011"/>
    <x v="7"/>
    <x v="1"/>
    <n v="5"/>
    <n v="6999"/>
    <n v="0.1"/>
    <n v="31495.5"/>
    <n v="4900"/>
    <n v="24500"/>
    <n v="40"/>
    <n v="6955.5"/>
  </r>
  <r>
    <s v="ORD00015"/>
    <x v="57"/>
    <s v="C0284"/>
    <s v="Consumer"/>
    <s v="Hyderabad"/>
    <x v="0"/>
    <x v="0"/>
    <s v="UPI"/>
    <s v="P007"/>
    <x v="4"/>
    <x v="3"/>
    <n v="1"/>
    <n v="999"/>
    <n v="0.1"/>
    <n v="899.1"/>
    <n v="520"/>
    <n v="520"/>
    <n v="100"/>
    <n v="279.10000000000002"/>
  </r>
  <r>
    <s v="ORD00450"/>
    <x v="57"/>
    <s v="C0134"/>
    <s v="Small Business"/>
    <s v="Hyderabad"/>
    <x v="0"/>
    <x v="0"/>
    <s v="Debit Card"/>
    <s v="P006"/>
    <x v="8"/>
    <x v="3"/>
    <n v="5"/>
    <n v="2999"/>
    <n v="0.2"/>
    <n v="11996"/>
    <n v="1750"/>
    <n v="8750"/>
    <n v="60"/>
    <n v="3186"/>
  </r>
  <r>
    <s v="ORD01049"/>
    <x v="58"/>
    <s v="C0256"/>
    <s v="Small Business"/>
    <s v="Chennai"/>
    <x v="9"/>
    <x v="1"/>
    <s v="Credit Card"/>
    <s v="P003"/>
    <x v="10"/>
    <x v="0"/>
    <n v="2"/>
    <n v="1599"/>
    <n v="0.2"/>
    <n v="2558.4"/>
    <n v="900"/>
    <n v="1800"/>
    <n v="100"/>
    <n v="658.4"/>
  </r>
  <r>
    <s v="ORD00397"/>
    <x v="58"/>
    <s v="C0434"/>
    <s v="Corporate"/>
    <s v="Pune"/>
    <x v="3"/>
    <x v="2"/>
    <s v="UPI"/>
    <s v="P004"/>
    <x v="3"/>
    <x v="1"/>
    <n v="4"/>
    <n v="499"/>
    <n v="0.1"/>
    <n v="1796.4"/>
    <n v="180"/>
    <n v="720"/>
    <n v="40"/>
    <n v="1036.4000000000001"/>
  </r>
  <r>
    <s v="ORD00662"/>
    <x v="59"/>
    <s v="C0010"/>
    <s v="Corporate"/>
    <s v="Pune"/>
    <x v="3"/>
    <x v="0"/>
    <s v="Net Banking"/>
    <s v="P007"/>
    <x v="4"/>
    <x v="3"/>
    <n v="2"/>
    <n v="999"/>
    <n v="0.2"/>
    <n v="1598.4"/>
    <n v="520"/>
    <n v="1040"/>
    <n v="60"/>
    <n v="498.4"/>
  </r>
  <r>
    <s v="ORD00432"/>
    <x v="59"/>
    <s v="C0439"/>
    <s v="Corporate"/>
    <s v="Chennai"/>
    <x v="9"/>
    <x v="0"/>
    <s v="Net Banking"/>
    <s v="P002"/>
    <x v="5"/>
    <x v="0"/>
    <n v="1"/>
    <n v="2499"/>
    <n v="0.1"/>
    <n v="2249.1"/>
    <n v="1450"/>
    <n v="1450"/>
    <n v="100"/>
    <n v="699.1"/>
  </r>
  <r>
    <s v="ORD01495"/>
    <x v="59"/>
    <s v="C0008"/>
    <s v="Consumer"/>
    <s v="Indore"/>
    <x v="1"/>
    <x v="1"/>
    <s v="Debit Card"/>
    <s v="P006"/>
    <x v="8"/>
    <x v="3"/>
    <n v="2"/>
    <n v="2999"/>
    <n v="0"/>
    <n v="5998"/>
    <n v="1750"/>
    <n v="3500"/>
    <n v="60"/>
    <n v="2438"/>
  </r>
  <r>
    <s v="ORD00211"/>
    <x v="59"/>
    <s v="C0291"/>
    <s v="Consumer"/>
    <s v="Kolkata"/>
    <x v="7"/>
    <x v="0"/>
    <s v="Credit Card"/>
    <s v="P004"/>
    <x v="3"/>
    <x v="1"/>
    <n v="3"/>
    <n v="499"/>
    <n v="0.05"/>
    <n v="1422.15"/>
    <n v="180"/>
    <n v="540"/>
    <n v="60"/>
    <n v="822.15"/>
  </r>
  <r>
    <s v="ORD00199"/>
    <x v="60"/>
    <s v="C0200"/>
    <s v="Corporate"/>
    <s v="Mumbai"/>
    <x v="3"/>
    <x v="2"/>
    <s v="Net Banking"/>
    <s v="P009"/>
    <x v="9"/>
    <x v="2"/>
    <n v="2"/>
    <n v="599"/>
    <n v="0.15"/>
    <n v="1018.3"/>
    <n v="240"/>
    <n v="480"/>
    <n v="100"/>
    <n v="438.3"/>
  </r>
  <r>
    <s v="ORD00141"/>
    <x v="61"/>
    <s v="C0397"/>
    <s v="Consumer"/>
    <s v="Chennai"/>
    <x v="9"/>
    <x v="0"/>
    <s v="UPI"/>
    <s v="P009"/>
    <x v="9"/>
    <x v="2"/>
    <n v="1"/>
    <n v="599"/>
    <n v="0"/>
    <n v="599"/>
    <n v="240"/>
    <n v="240"/>
    <n v="40"/>
    <n v="319"/>
  </r>
  <r>
    <s v="ORD00627"/>
    <x v="61"/>
    <s v="C0188"/>
    <s v="Corporate"/>
    <s v="Lucknow"/>
    <x v="8"/>
    <x v="2"/>
    <s v="Cash on Delivery"/>
    <s v="P009"/>
    <x v="9"/>
    <x v="2"/>
    <n v="1"/>
    <n v="599"/>
    <n v="0.05"/>
    <n v="569.04999999999995"/>
    <n v="240"/>
    <n v="240"/>
    <n v="60"/>
    <n v="269.05"/>
  </r>
  <r>
    <s v="ORD00112"/>
    <x v="62"/>
    <s v="C0137"/>
    <s v="Consumer"/>
    <s v="Lucknow"/>
    <x v="8"/>
    <x v="1"/>
    <s v="Debit Card"/>
    <s v="P005"/>
    <x v="1"/>
    <x v="1"/>
    <n v="3"/>
    <n v="1299"/>
    <n v="0.1"/>
    <n v="3507.3"/>
    <n v="700"/>
    <n v="2100"/>
    <n v="60"/>
    <n v="1347.3"/>
  </r>
  <r>
    <s v="ORD00523"/>
    <x v="63"/>
    <s v="C0231"/>
    <s v="Small Business"/>
    <s v="Kolkata"/>
    <x v="7"/>
    <x v="1"/>
    <s v="Net Banking"/>
    <s v="P010"/>
    <x v="11"/>
    <x v="4"/>
    <n v="3"/>
    <n v="299"/>
    <n v="0.05"/>
    <n v="852.15"/>
    <n v="110"/>
    <n v="330"/>
    <n v="80"/>
    <n v="442.15"/>
  </r>
  <r>
    <s v="ORD00368"/>
    <x v="63"/>
    <s v="C0068"/>
    <s v="Corporate"/>
    <s v="Chennai"/>
    <x v="9"/>
    <x v="0"/>
    <s v="Net Banking"/>
    <s v="P009"/>
    <x v="9"/>
    <x v="2"/>
    <n v="4"/>
    <n v="599"/>
    <n v="0"/>
    <n v="2396"/>
    <n v="240"/>
    <n v="960"/>
    <n v="60"/>
    <n v="1376"/>
  </r>
  <r>
    <s v="ORD00098"/>
    <x v="63"/>
    <s v="C0412"/>
    <s v="Consumer"/>
    <s v="Indore"/>
    <x v="1"/>
    <x v="1"/>
    <s v="UPI"/>
    <s v="P011"/>
    <x v="7"/>
    <x v="1"/>
    <n v="1"/>
    <n v="6999"/>
    <n v="0.05"/>
    <n v="6649.05"/>
    <n v="4900"/>
    <n v="4900"/>
    <n v="100"/>
    <n v="1649.05"/>
  </r>
  <r>
    <s v="ORD01399"/>
    <x v="64"/>
    <s v="C0037"/>
    <s v="Corporate"/>
    <s v="Chennai"/>
    <x v="9"/>
    <x v="0"/>
    <s v="Cash on Delivery"/>
    <s v="P010"/>
    <x v="11"/>
    <x v="4"/>
    <n v="4"/>
    <n v="299"/>
    <n v="0.2"/>
    <n v="956.8"/>
    <n v="110"/>
    <n v="440"/>
    <n v="0"/>
    <n v="516.79999999999995"/>
  </r>
  <r>
    <s v="ORD00174"/>
    <x v="65"/>
    <s v="C0426"/>
    <s v="Corporate"/>
    <s v="Chennai"/>
    <x v="9"/>
    <x v="2"/>
    <s v="UPI"/>
    <s v="P005"/>
    <x v="1"/>
    <x v="1"/>
    <n v="2"/>
    <n v="1299"/>
    <n v="0"/>
    <n v="2598"/>
    <n v="700"/>
    <n v="1400"/>
    <n v="0"/>
    <n v="1198"/>
  </r>
  <r>
    <s v="ORD01184"/>
    <x v="66"/>
    <s v="C0217"/>
    <s v="Corporate"/>
    <s v="Mumbai"/>
    <x v="3"/>
    <x v="1"/>
    <s v="Credit Card"/>
    <s v="P006"/>
    <x v="8"/>
    <x v="3"/>
    <n v="3"/>
    <n v="2999"/>
    <n v="0.15"/>
    <n v="7647.45"/>
    <n v="1750"/>
    <n v="5250"/>
    <n v="60"/>
    <n v="2337.4499999999998"/>
  </r>
  <r>
    <s v="ORD00077"/>
    <x v="67"/>
    <s v="C0357"/>
    <s v="Corporate"/>
    <s v="Pune"/>
    <x v="3"/>
    <x v="0"/>
    <s v="Cash on Delivery"/>
    <s v="P010"/>
    <x v="11"/>
    <x v="4"/>
    <n v="2"/>
    <n v="299"/>
    <n v="0.2"/>
    <n v="478.4"/>
    <n v="110"/>
    <n v="220"/>
    <n v="40"/>
    <n v="218.4"/>
  </r>
  <r>
    <s v="ORD01079"/>
    <x v="68"/>
    <s v="C0085"/>
    <s v="Corporate"/>
    <s v="Jaipur"/>
    <x v="4"/>
    <x v="2"/>
    <s v="Cash on Delivery"/>
    <s v="P002"/>
    <x v="5"/>
    <x v="0"/>
    <n v="2"/>
    <n v="2499"/>
    <n v="0.05"/>
    <n v="4748.1000000000004"/>
    <n v="1450"/>
    <n v="2900"/>
    <n v="80"/>
    <n v="1768.1"/>
  </r>
  <r>
    <s v="ORD00305"/>
    <x v="68"/>
    <s v="C0347"/>
    <s v="Small Business"/>
    <s v="Kolkata"/>
    <x v="7"/>
    <x v="1"/>
    <s v="Net Banking"/>
    <s v="P005"/>
    <x v="1"/>
    <x v="1"/>
    <n v="1"/>
    <n v="1299"/>
    <n v="0"/>
    <n v="1299"/>
    <n v="700"/>
    <n v="700"/>
    <n v="100"/>
    <n v="499"/>
  </r>
  <r>
    <s v="ORD01408"/>
    <x v="68"/>
    <s v="C0377"/>
    <s v="Corporate"/>
    <s v="Ahmedabad"/>
    <x v="6"/>
    <x v="2"/>
    <s v="Net Banking"/>
    <s v="P005"/>
    <x v="1"/>
    <x v="1"/>
    <n v="4"/>
    <n v="1299"/>
    <n v="0"/>
    <n v="5196"/>
    <n v="700"/>
    <n v="2800"/>
    <n v="80"/>
    <n v="2316"/>
  </r>
  <r>
    <s v="ORD01303"/>
    <x v="69"/>
    <s v="C0252"/>
    <s v="Consumer"/>
    <s v="Pune"/>
    <x v="3"/>
    <x v="1"/>
    <s v="UPI"/>
    <s v="P008"/>
    <x v="2"/>
    <x v="2"/>
    <n v="3"/>
    <n v="1799"/>
    <n v="0"/>
    <n v="5397"/>
    <n v="850"/>
    <n v="2550"/>
    <n v="80"/>
    <n v="2767"/>
  </r>
  <r>
    <s v="ORD00267"/>
    <x v="69"/>
    <s v="C0294"/>
    <s v="Small Business"/>
    <s v="Bengaluru"/>
    <x v="2"/>
    <x v="2"/>
    <s v="Credit Card"/>
    <s v="P010"/>
    <x v="11"/>
    <x v="4"/>
    <n v="1"/>
    <n v="299"/>
    <n v="0.15"/>
    <n v="254.15"/>
    <n v="110"/>
    <n v="110"/>
    <n v="100"/>
    <n v="44.15"/>
  </r>
  <r>
    <s v="ORD01497"/>
    <x v="69"/>
    <s v="C0092"/>
    <s v="Corporate"/>
    <s v="Hyderabad"/>
    <x v="0"/>
    <x v="0"/>
    <s v="UPI"/>
    <s v="P010"/>
    <x v="11"/>
    <x v="4"/>
    <n v="1"/>
    <n v="299"/>
    <n v="0.2"/>
    <n v="239.2"/>
    <n v="110"/>
    <n v="110"/>
    <n v="40"/>
    <n v="89.2"/>
  </r>
  <r>
    <s v="ORD01411"/>
    <x v="70"/>
    <s v="C0380"/>
    <s v="Small Business"/>
    <s v="Hyderabad"/>
    <x v="0"/>
    <x v="2"/>
    <s v="UPI"/>
    <s v="P004"/>
    <x v="3"/>
    <x v="1"/>
    <n v="4"/>
    <n v="499"/>
    <n v="0.15"/>
    <n v="1696.6"/>
    <n v="180"/>
    <n v="720"/>
    <n v="40"/>
    <n v="936.6"/>
  </r>
  <r>
    <s v="ORD01299"/>
    <x v="70"/>
    <s v="C0325"/>
    <s v="Small Business"/>
    <s v="Jaipur"/>
    <x v="4"/>
    <x v="1"/>
    <s v="Credit Card"/>
    <s v="P010"/>
    <x v="11"/>
    <x v="4"/>
    <n v="1"/>
    <n v="299"/>
    <n v="0.2"/>
    <n v="239.2"/>
    <n v="110"/>
    <n v="110"/>
    <n v="40"/>
    <n v="89.2"/>
  </r>
  <r>
    <s v="ORD01097"/>
    <x v="71"/>
    <s v="C0078"/>
    <s v="Corporate"/>
    <s v="Bengaluru"/>
    <x v="2"/>
    <x v="2"/>
    <s v="UPI"/>
    <s v="P001"/>
    <x v="0"/>
    <x v="0"/>
    <n v="1"/>
    <n v="799"/>
    <n v="0.1"/>
    <n v="719.1"/>
    <n v="420"/>
    <n v="420"/>
    <n v="60"/>
    <n v="239.1"/>
  </r>
  <r>
    <s v="ORD01400"/>
    <x v="72"/>
    <s v="C0022"/>
    <s v="Consumer"/>
    <s v="Ahmedabad"/>
    <x v="6"/>
    <x v="2"/>
    <s v="Net Banking"/>
    <s v="P009"/>
    <x v="9"/>
    <x v="2"/>
    <n v="2"/>
    <n v="599"/>
    <n v="0"/>
    <n v="1198"/>
    <n v="240"/>
    <n v="480"/>
    <n v="60"/>
    <n v="658"/>
  </r>
  <r>
    <s v="ORD00273"/>
    <x v="72"/>
    <s v="C0441"/>
    <s v="Corporate"/>
    <s v="Indore"/>
    <x v="1"/>
    <x v="2"/>
    <s v="Credit Card"/>
    <s v="P011"/>
    <x v="7"/>
    <x v="1"/>
    <n v="5"/>
    <n v="6999"/>
    <n v="0.15"/>
    <n v="29745.75"/>
    <n v="4900"/>
    <n v="24500"/>
    <n v="40"/>
    <n v="5205.75"/>
  </r>
  <r>
    <s v="ORD00980"/>
    <x v="73"/>
    <s v="C0229"/>
    <s v="Consumer"/>
    <s v="Bengaluru"/>
    <x v="2"/>
    <x v="1"/>
    <s v="Cash on Delivery"/>
    <s v="P002"/>
    <x v="5"/>
    <x v="0"/>
    <n v="1"/>
    <n v="2499"/>
    <n v="0"/>
    <n v="2499"/>
    <n v="1450"/>
    <n v="1450"/>
    <n v="80"/>
    <n v="969"/>
  </r>
  <r>
    <s v="ORD00225"/>
    <x v="73"/>
    <s v="C0108"/>
    <s v="Small Business"/>
    <s v="Indore"/>
    <x v="1"/>
    <x v="1"/>
    <s v="Cash on Delivery"/>
    <s v="P001"/>
    <x v="0"/>
    <x v="0"/>
    <n v="4"/>
    <n v="799"/>
    <n v="0.15"/>
    <n v="2716.6"/>
    <n v="420"/>
    <n v="1680"/>
    <n v="60"/>
    <n v="976.6"/>
  </r>
  <r>
    <s v="ORD01277"/>
    <x v="73"/>
    <s v="C0110"/>
    <s v="Small Business"/>
    <s v="Lucknow"/>
    <x v="8"/>
    <x v="1"/>
    <s v="Credit Card"/>
    <s v="P005"/>
    <x v="1"/>
    <x v="1"/>
    <n v="3"/>
    <n v="1299"/>
    <n v="0.1"/>
    <n v="3507.3"/>
    <n v="700"/>
    <n v="2100"/>
    <n v="80"/>
    <n v="1327.3"/>
  </r>
  <r>
    <s v="ORD01056"/>
    <x v="74"/>
    <s v="C0041"/>
    <s v="Corporate"/>
    <s v="Indore"/>
    <x v="1"/>
    <x v="2"/>
    <s v="UPI"/>
    <s v="P005"/>
    <x v="1"/>
    <x v="1"/>
    <n v="3"/>
    <n v="1299"/>
    <n v="0.15"/>
    <n v="3312.45"/>
    <n v="700"/>
    <n v="2100"/>
    <n v="100"/>
    <n v="1112.45"/>
  </r>
  <r>
    <s v="ORD00858"/>
    <x v="74"/>
    <s v="C0308"/>
    <s v="Small Business"/>
    <s v="Jaipur"/>
    <x v="4"/>
    <x v="1"/>
    <s v="Net Banking"/>
    <s v="P006"/>
    <x v="8"/>
    <x v="3"/>
    <n v="2"/>
    <n v="2999"/>
    <n v="0.1"/>
    <n v="5398.2"/>
    <n v="1750"/>
    <n v="3500"/>
    <n v="60"/>
    <n v="1838.2"/>
  </r>
  <r>
    <s v="ORD00302"/>
    <x v="74"/>
    <s v="C0440"/>
    <s v="Consumer"/>
    <s v="Bhopal"/>
    <x v="1"/>
    <x v="0"/>
    <s v="UPI"/>
    <s v="P008"/>
    <x v="2"/>
    <x v="2"/>
    <n v="3"/>
    <n v="1799"/>
    <n v="0.2"/>
    <n v="4317.6000000000004"/>
    <n v="850"/>
    <n v="2550"/>
    <n v="60"/>
    <n v="1707.6"/>
  </r>
  <r>
    <s v="ORD00071"/>
    <x v="75"/>
    <s v="C0134"/>
    <s v="Corporate"/>
    <s v="Mumbai"/>
    <x v="3"/>
    <x v="1"/>
    <s v="Credit Card"/>
    <s v="P011"/>
    <x v="7"/>
    <x v="1"/>
    <n v="1"/>
    <n v="6999"/>
    <n v="0.1"/>
    <n v="6299.1"/>
    <n v="4900"/>
    <n v="4900"/>
    <n v="40"/>
    <n v="1359.1"/>
  </r>
  <r>
    <s v="ORD01476"/>
    <x v="76"/>
    <s v="C0008"/>
    <s v="Small Business"/>
    <s v="Mumbai"/>
    <x v="3"/>
    <x v="0"/>
    <s v="Cash on Delivery"/>
    <s v="P002"/>
    <x v="5"/>
    <x v="0"/>
    <n v="1"/>
    <n v="2499"/>
    <n v="0.2"/>
    <n v="1999.2"/>
    <n v="1450"/>
    <n v="1450"/>
    <n v="80"/>
    <n v="469.2"/>
  </r>
  <r>
    <s v="ORD00752"/>
    <x v="76"/>
    <s v="C0395"/>
    <s v="Corporate"/>
    <s v="Kolkata"/>
    <x v="7"/>
    <x v="2"/>
    <s v="Net Banking"/>
    <s v="P003"/>
    <x v="10"/>
    <x v="0"/>
    <n v="2"/>
    <n v="1599"/>
    <n v="0"/>
    <n v="3198"/>
    <n v="900"/>
    <n v="1800"/>
    <n v="80"/>
    <n v="1318"/>
  </r>
  <r>
    <s v="ORD01053"/>
    <x v="76"/>
    <s v="C0181"/>
    <s v="Consumer"/>
    <s v="Lucknow"/>
    <x v="8"/>
    <x v="0"/>
    <s v="UPI"/>
    <s v="P003"/>
    <x v="10"/>
    <x v="0"/>
    <n v="3"/>
    <n v="1599"/>
    <n v="0.05"/>
    <n v="4557.1499999999996"/>
    <n v="900"/>
    <n v="2700"/>
    <n v="80"/>
    <n v="1777.15"/>
  </r>
  <r>
    <s v="ORD00152"/>
    <x v="77"/>
    <s v="C0285"/>
    <s v="Consumer"/>
    <s v="Delhi"/>
    <x v="5"/>
    <x v="0"/>
    <s v="Cash on Delivery"/>
    <s v="P002"/>
    <x v="5"/>
    <x v="0"/>
    <n v="2"/>
    <n v="2499"/>
    <n v="0.2"/>
    <n v="3998.4"/>
    <n v="1450"/>
    <n v="2900"/>
    <n v="60"/>
    <n v="1038.4000000000001"/>
  </r>
  <r>
    <s v="ORD00309"/>
    <x v="77"/>
    <s v="C0138"/>
    <s v="Consumer"/>
    <s v="Pune"/>
    <x v="3"/>
    <x v="1"/>
    <s v="Credit Card"/>
    <s v="P010"/>
    <x v="11"/>
    <x v="4"/>
    <n v="1"/>
    <n v="299"/>
    <n v="0"/>
    <n v="299"/>
    <n v="110"/>
    <n v="110"/>
    <n v="0"/>
    <n v="189"/>
  </r>
  <r>
    <s v="ORD00020"/>
    <x v="77"/>
    <s v="C0066"/>
    <s v="Small Business"/>
    <s v="Delhi"/>
    <x v="5"/>
    <x v="1"/>
    <s v="Cash on Delivery"/>
    <s v="P012"/>
    <x v="6"/>
    <x v="0"/>
    <n v="2"/>
    <n v="2199"/>
    <n v="0"/>
    <n v="4398"/>
    <n v="1250"/>
    <n v="2500"/>
    <n v="100"/>
    <n v="1798"/>
  </r>
  <r>
    <s v="ORD00947"/>
    <x v="78"/>
    <s v="C0012"/>
    <s v="Consumer"/>
    <s v="Kolkata"/>
    <x v="7"/>
    <x v="2"/>
    <s v="Credit Card"/>
    <s v="P005"/>
    <x v="1"/>
    <x v="1"/>
    <n v="3"/>
    <n v="1299"/>
    <n v="0"/>
    <n v="3897"/>
    <n v="700"/>
    <n v="2100"/>
    <n v="80"/>
    <n v="1717"/>
  </r>
  <r>
    <s v="ORD00572"/>
    <x v="78"/>
    <s v="C0301"/>
    <s v="Consumer"/>
    <s v="Kolkata"/>
    <x v="7"/>
    <x v="0"/>
    <s v="UPI"/>
    <s v="P005"/>
    <x v="1"/>
    <x v="1"/>
    <n v="3"/>
    <n v="1299"/>
    <n v="0.05"/>
    <n v="3702.15"/>
    <n v="700"/>
    <n v="2100"/>
    <n v="80"/>
    <n v="1522.15"/>
  </r>
  <r>
    <s v="ORD00720"/>
    <x v="78"/>
    <s v="C0323"/>
    <s v="Small Business"/>
    <s v="Bhopal"/>
    <x v="1"/>
    <x v="0"/>
    <s v="Net Banking"/>
    <s v="P007"/>
    <x v="4"/>
    <x v="3"/>
    <n v="1"/>
    <n v="999"/>
    <n v="0.2"/>
    <n v="799.2"/>
    <n v="520"/>
    <n v="520"/>
    <n v="100"/>
    <n v="179.2"/>
  </r>
  <r>
    <s v="ORD00364"/>
    <x v="78"/>
    <s v="C0197"/>
    <s v="Corporate"/>
    <s v="Ahmedabad"/>
    <x v="6"/>
    <x v="1"/>
    <s v="Debit Card"/>
    <s v="P002"/>
    <x v="5"/>
    <x v="0"/>
    <n v="1"/>
    <n v="2499"/>
    <n v="0"/>
    <n v="2499"/>
    <n v="1450"/>
    <n v="1450"/>
    <n v="100"/>
    <n v="949"/>
  </r>
  <r>
    <s v="ORD00401"/>
    <x v="79"/>
    <s v="C0409"/>
    <s v="Small Business"/>
    <s v="Indore"/>
    <x v="1"/>
    <x v="2"/>
    <s v="Cash on Delivery"/>
    <s v="P005"/>
    <x v="1"/>
    <x v="1"/>
    <n v="1"/>
    <n v="1299"/>
    <n v="0.1"/>
    <n v="1169.0999999999999"/>
    <n v="700"/>
    <n v="700"/>
    <n v="40"/>
    <n v="429.1"/>
  </r>
  <r>
    <s v="ORD01161"/>
    <x v="79"/>
    <s v="C0260"/>
    <s v="Corporate"/>
    <s v="Pune"/>
    <x v="3"/>
    <x v="1"/>
    <s v="Cash on Delivery"/>
    <s v="P009"/>
    <x v="9"/>
    <x v="2"/>
    <n v="1"/>
    <n v="599"/>
    <n v="0"/>
    <n v="599"/>
    <n v="240"/>
    <n v="240"/>
    <n v="0"/>
    <n v="359"/>
  </r>
  <r>
    <s v="ORD00002"/>
    <x v="79"/>
    <s v="C0120"/>
    <s v="Small Business"/>
    <s v="Bengaluru"/>
    <x v="2"/>
    <x v="0"/>
    <s v="UPI"/>
    <s v="P010"/>
    <x v="11"/>
    <x v="4"/>
    <n v="1"/>
    <n v="299"/>
    <n v="0"/>
    <n v="299"/>
    <n v="110"/>
    <n v="110"/>
    <n v="0"/>
    <n v="189"/>
  </r>
  <r>
    <s v="ORD01138"/>
    <x v="79"/>
    <s v="C0382"/>
    <s v="Consumer"/>
    <s v="Bengaluru"/>
    <x v="2"/>
    <x v="0"/>
    <s v="Debit Card"/>
    <s v="P002"/>
    <x v="5"/>
    <x v="0"/>
    <n v="1"/>
    <n v="2499"/>
    <n v="0.2"/>
    <n v="1999.2"/>
    <n v="1450"/>
    <n v="1450"/>
    <n v="100"/>
    <n v="449.2"/>
  </r>
  <r>
    <s v="ORD00714"/>
    <x v="79"/>
    <s v="C0393"/>
    <s v="Small Business"/>
    <s v="Lucknow"/>
    <x v="8"/>
    <x v="0"/>
    <s v="Debit Card"/>
    <s v="P006"/>
    <x v="8"/>
    <x v="3"/>
    <n v="2"/>
    <n v="2999"/>
    <n v="0"/>
    <n v="5998"/>
    <n v="1750"/>
    <n v="3500"/>
    <n v="0"/>
    <n v="2498"/>
  </r>
  <r>
    <s v="ORD00489"/>
    <x v="80"/>
    <s v="C0335"/>
    <s v="Consumer"/>
    <s v="Ahmedabad"/>
    <x v="6"/>
    <x v="2"/>
    <s v="Net Banking"/>
    <s v="P008"/>
    <x v="2"/>
    <x v="2"/>
    <n v="2"/>
    <n v="1799"/>
    <n v="0"/>
    <n v="3598"/>
    <n v="850"/>
    <n v="1700"/>
    <n v="80"/>
    <n v="1818"/>
  </r>
  <r>
    <s v="ORD00734"/>
    <x v="81"/>
    <s v="C0437"/>
    <s v="Corporate"/>
    <s v="Delhi"/>
    <x v="5"/>
    <x v="2"/>
    <s v="Debit Card"/>
    <s v="P010"/>
    <x v="11"/>
    <x v="4"/>
    <n v="1"/>
    <n v="299"/>
    <n v="0.15"/>
    <n v="254.15"/>
    <n v="110"/>
    <n v="110"/>
    <n v="80"/>
    <n v="64.150000000000006"/>
  </r>
  <r>
    <s v="ORD00312"/>
    <x v="81"/>
    <s v="C0443"/>
    <s v="Corporate"/>
    <s v="Chennai"/>
    <x v="9"/>
    <x v="2"/>
    <s v="Debit Card"/>
    <s v="P006"/>
    <x v="8"/>
    <x v="3"/>
    <n v="2"/>
    <n v="2999"/>
    <n v="0.15"/>
    <n v="5098.3"/>
    <n v="1750"/>
    <n v="3500"/>
    <n v="100"/>
    <n v="1498.3"/>
  </r>
  <r>
    <s v="ORD00934"/>
    <x v="82"/>
    <s v="C0323"/>
    <s v="Corporate"/>
    <s v="Kolkata"/>
    <x v="7"/>
    <x v="2"/>
    <s v="UPI"/>
    <s v="P007"/>
    <x v="4"/>
    <x v="3"/>
    <n v="3"/>
    <n v="999"/>
    <n v="0.15"/>
    <n v="2547.4499999999998"/>
    <n v="520"/>
    <n v="1560"/>
    <n v="40"/>
    <n v="947.45"/>
  </r>
  <r>
    <s v="ORD00232"/>
    <x v="82"/>
    <s v="C0181"/>
    <s v="Consumer"/>
    <s v="Bhopal"/>
    <x v="1"/>
    <x v="2"/>
    <s v="Debit Card"/>
    <s v="P007"/>
    <x v="4"/>
    <x v="3"/>
    <n v="2"/>
    <n v="999"/>
    <n v="0"/>
    <n v="1998"/>
    <n v="520"/>
    <n v="1040"/>
    <n v="40"/>
    <n v="918"/>
  </r>
  <r>
    <s v="ORD01136"/>
    <x v="82"/>
    <s v="C0034"/>
    <s v="Small Business"/>
    <s v="Bhopal"/>
    <x v="1"/>
    <x v="1"/>
    <s v="Net Banking"/>
    <s v="P012"/>
    <x v="6"/>
    <x v="0"/>
    <n v="1"/>
    <n v="2199"/>
    <n v="0"/>
    <n v="2199"/>
    <n v="1250"/>
    <n v="1250"/>
    <n v="100"/>
    <n v="849"/>
  </r>
  <r>
    <s v="ORD00408"/>
    <x v="82"/>
    <s v="C0245"/>
    <s v="Consumer"/>
    <s v="Lucknow"/>
    <x v="8"/>
    <x v="1"/>
    <s v="Cash on Delivery"/>
    <s v="P001"/>
    <x v="0"/>
    <x v="0"/>
    <n v="1"/>
    <n v="799"/>
    <n v="0"/>
    <n v="799"/>
    <n v="420"/>
    <n v="420"/>
    <n v="0"/>
    <n v="379"/>
  </r>
  <r>
    <s v="ORD00102"/>
    <x v="83"/>
    <s v="C0392"/>
    <s v="Small Business"/>
    <s v="Mumbai"/>
    <x v="3"/>
    <x v="1"/>
    <s v="Cash on Delivery"/>
    <s v="P004"/>
    <x v="3"/>
    <x v="1"/>
    <n v="5"/>
    <n v="499"/>
    <n v="0.15"/>
    <n v="2120.75"/>
    <n v="180"/>
    <n v="900"/>
    <n v="100"/>
    <n v="1120.75"/>
  </r>
  <r>
    <s v="ORD00104"/>
    <x v="83"/>
    <s v="C0054"/>
    <s v="Consumer"/>
    <s v="Indore"/>
    <x v="1"/>
    <x v="1"/>
    <s v="Net Banking"/>
    <s v="P008"/>
    <x v="2"/>
    <x v="2"/>
    <n v="1"/>
    <n v="1799"/>
    <n v="0.05"/>
    <n v="1709.05"/>
    <n v="850"/>
    <n v="850"/>
    <n v="60"/>
    <n v="799.05"/>
  </r>
  <r>
    <s v="ORD00159"/>
    <x v="83"/>
    <s v="C0175"/>
    <s v="Consumer"/>
    <s v="Jaipur"/>
    <x v="4"/>
    <x v="1"/>
    <s v="Debit Card"/>
    <s v="P012"/>
    <x v="6"/>
    <x v="0"/>
    <n v="2"/>
    <n v="2199"/>
    <n v="0.1"/>
    <n v="3958.2"/>
    <n v="1250"/>
    <n v="2500"/>
    <n v="80"/>
    <n v="1378.2"/>
  </r>
  <r>
    <s v="ORD00387"/>
    <x v="84"/>
    <s v="C0191"/>
    <s v="Corporate"/>
    <s v="Ahmedabad"/>
    <x v="6"/>
    <x v="0"/>
    <s v="UPI"/>
    <s v="P001"/>
    <x v="0"/>
    <x v="0"/>
    <n v="4"/>
    <n v="799"/>
    <n v="0.15"/>
    <n v="2716.6"/>
    <n v="420"/>
    <n v="1680"/>
    <n v="80"/>
    <n v="956.6"/>
  </r>
  <r>
    <s v="ORD01298"/>
    <x v="84"/>
    <s v="C0015"/>
    <s v="Small Business"/>
    <s v="Delhi"/>
    <x v="5"/>
    <x v="0"/>
    <s v="Cash on Delivery"/>
    <s v="P001"/>
    <x v="0"/>
    <x v="0"/>
    <n v="2"/>
    <n v="799"/>
    <n v="0.2"/>
    <n v="1278.4000000000001"/>
    <n v="420"/>
    <n v="840"/>
    <n v="100"/>
    <n v="338.4"/>
  </r>
  <r>
    <s v="ORD00722"/>
    <x v="84"/>
    <s v="C0330"/>
    <s v="Small Business"/>
    <s v="Indore"/>
    <x v="1"/>
    <x v="1"/>
    <s v="Net Banking"/>
    <s v="P012"/>
    <x v="6"/>
    <x v="0"/>
    <n v="2"/>
    <n v="2199"/>
    <n v="0.1"/>
    <n v="3958.2"/>
    <n v="1250"/>
    <n v="2500"/>
    <n v="60"/>
    <n v="1398.2"/>
  </r>
  <r>
    <s v="ORD00353"/>
    <x v="84"/>
    <s v="C0408"/>
    <s v="Small Business"/>
    <s v="Pune"/>
    <x v="3"/>
    <x v="1"/>
    <s v="Credit Card"/>
    <s v="P012"/>
    <x v="6"/>
    <x v="0"/>
    <n v="5"/>
    <n v="2199"/>
    <n v="0.2"/>
    <n v="8796"/>
    <n v="1250"/>
    <n v="6250"/>
    <n v="60"/>
    <n v="2486"/>
  </r>
  <r>
    <s v="ORD00183"/>
    <x v="84"/>
    <s v="C0186"/>
    <s v="Corporate"/>
    <s v="Mumbai"/>
    <x v="3"/>
    <x v="2"/>
    <s v="Credit Card"/>
    <s v="P011"/>
    <x v="7"/>
    <x v="1"/>
    <n v="2"/>
    <n v="6999"/>
    <n v="0.15"/>
    <n v="11898.3"/>
    <n v="4900"/>
    <n v="9800"/>
    <n v="60"/>
    <n v="2038.3"/>
  </r>
  <r>
    <s v="ORD00301"/>
    <x v="84"/>
    <s v="C0327"/>
    <s v="Consumer"/>
    <s v="Mumbai"/>
    <x v="3"/>
    <x v="0"/>
    <s v="Credit Card"/>
    <s v="P007"/>
    <x v="4"/>
    <x v="3"/>
    <n v="1"/>
    <n v="999"/>
    <n v="0.15"/>
    <n v="849.15"/>
    <n v="520"/>
    <n v="520"/>
    <n v="80"/>
    <n v="249.15"/>
  </r>
  <r>
    <s v="ORD01173"/>
    <x v="85"/>
    <s v="C0139"/>
    <s v="Small Business"/>
    <s v="Lucknow"/>
    <x v="8"/>
    <x v="2"/>
    <s v="UPI"/>
    <s v="P009"/>
    <x v="9"/>
    <x v="2"/>
    <n v="1"/>
    <n v="599"/>
    <n v="0.15"/>
    <n v="509.15"/>
    <n v="240"/>
    <n v="240"/>
    <n v="60"/>
    <n v="209.15"/>
  </r>
  <r>
    <s v="ORD00485"/>
    <x v="85"/>
    <s v="C0340"/>
    <s v="Small Business"/>
    <s v="Chennai"/>
    <x v="9"/>
    <x v="0"/>
    <s v="Net Banking"/>
    <s v="P007"/>
    <x v="4"/>
    <x v="3"/>
    <n v="2"/>
    <n v="999"/>
    <n v="0"/>
    <n v="1998"/>
    <n v="520"/>
    <n v="1040"/>
    <n v="80"/>
    <n v="878"/>
  </r>
  <r>
    <s v="ORD01029"/>
    <x v="86"/>
    <s v="C0320"/>
    <s v="Consumer"/>
    <s v="Indore"/>
    <x v="1"/>
    <x v="1"/>
    <s v="Net Banking"/>
    <s v="P010"/>
    <x v="11"/>
    <x v="4"/>
    <n v="3"/>
    <n v="299"/>
    <n v="0"/>
    <n v="897"/>
    <n v="110"/>
    <n v="330"/>
    <n v="100"/>
    <n v="467"/>
  </r>
  <r>
    <s v="ORD00843"/>
    <x v="86"/>
    <s v="C0266"/>
    <s v="Corporate"/>
    <s v="Delhi"/>
    <x v="5"/>
    <x v="1"/>
    <s v="Net Banking"/>
    <s v="P009"/>
    <x v="9"/>
    <x v="2"/>
    <n v="2"/>
    <n v="599"/>
    <n v="0"/>
    <n v="1198"/>
    <n v="240"/>
    <n v="480"/>
    <n v="0"/>
    <n v="718"/>
  </r>
  <r>
    <s v="ORD00136"/>
    <x v="87"/>
    <s v="C0190"/>
    <s v="Small Business"/>
    <s v="Jaipur"/>
    <x v="4"/>
    <x v="0"/>
    <s v="Cash on Delivery"/>
    <s v="P004"/>
    <x v="3"/>
    <x v="1"/>
    <n v="4"/>
    <n v="499"/>
    <n v="0"/>
    <n v="1996"/>
    <n v="180"/>
    <n v="720"/>
    <n v="80"/>
    <n v="1196"/>
  </r>
  <r>
    <s v="ORD01373"/>
    <x v="87"/>
    <s v="C0228"/>
    <s v="Corporate"/>
    <s v="Lucknow"/>
    <x v="8"/>
    <x v="2"/>
    <s v="UPI"/>
    <s v="P004"/>
    <x v="3"/>
    <x v="1"/>
    <n v="1"/>
    <n v="499"/>
    <n v="0.1"/>
    <n v="449.1"/>
    <n v="180"/>
    <n v="180"/>
    <n v="0"/>
    <n v="269.10000000000002"/>
  </r>
  <r>
    <s v="ORD00560"/>
    <x v="88"/>
    <s v="C0146"/>
    <s v="Small Business"/>
    <s v="Pune"/>
    <x v="3"/>
    <x v="0"/>
    <s v="Net Banking"/>
    <s v="P007"/>
    <x v="4"/>
    <x v="3"/>
    <n v="1"/>
    <n v="999"/>
    <n v="0.1"/>
    <n v="899.1"/>
    <n v="520"/>
    <n v="520"/>
    <n v="40"/>
    <n v="339.1"/>
  </r>
  <r>
    <s v="ORD00326"/>
    <x v="88"/>
    <s v="C0298"/>
    <s v="Small Business"/>
    <s v="Lucknow"/>
    <x v="8"/>
    <x v="0"/>
    <s v="Credit Card"/>
    <s v="P005"/>
    <x v="1"/>
    <x v="1"/>
    <n v="1"/>
    <n v="1299"/>
    <n v="0.2"/>
    <n v="1039.2"/>
    <n v="700"/>
    <n v="700"/>
    <n v="100"/>
    <n v="239.2"/>
  </r>
  <r>
    <s v="ORD00592"/>
    <x v="89"/>
    <s v="C0430"/>
    <s v="Small Business"/>
    <s v="Jaipur"/>
    <x v="4"/>
    <x v="2"/>
    <s v="Net Banking"/>
    <s v="P012"/>
    <x v="6"/>
    <x v="0"/>
    <n v="1"/>
    <n v="2199"/>
    <n v="0"/>
    <n v="2199"/>
    <n v="1250"/>
    <n v="1250"/>
    <n v="60"/>
    <n v="889"/>
  </r>
  <r>
    <s v="ORD01209"/>
    <x v="89"/>
    <s v="C0372"/>
    <s v="Corporate"/>
    <s v="Hyderabad"/>
    <x v="0"/>
    <x v="2"/>
    <s v="Cash on Delivery"/>
    <s v="P002"/>
    <x v="5"/>
    <x v="0"/>
    <n v="4"/>
    <n v="2499"/>
    <n v="0.15"/>
    <n v="8496.6"/>
    <n v="1450"/>
    <n v="5800"/>
    <n v="60"/>
    <n v="2636.6"/>
  </r>
  <r>
    <s v="ORD00386"/>
    <x v="90"/>
    <s v="C0031"/>
    <s v="Consumer"/>
    <s v="Jaipur"/>
    <x v="4"/>
    <x v="0"/>
    <s v="Debit Card"/>
    <s v="P004"/>
    <x v="3"/>
    <x v="1"/>
    <n v="2"/>
    <n v="499"/>
    <n v="0"/>
    <n v="998"/>
    <n v="180"/>
    <n v="360"/>
    <n v="80"/>
    <n v="558"/>
  </r>
  <r>
    <s v="ORD00791"/>
    <x v="90"/>
    <s v="C0403"/>
    <s v="Consumer"/>
    <s v="Delhi"/>
    <x v="5"/>
    <x v="1"/>
    <s v="Cash on Delivery"/>
    <s v="P012"/>
    <x v="6"/>
    <x v="0"/>
    <n v="1"/>
    <n v="2199"/>
    <n v="0.15"/>
    <n v="1869.15"/>
    <n v="1250"/>
    <n v="1250"/>
    <n v="40"/>
    <n v="579.15"/>
  </r>
  <r>
    <s v="ORD00521"/>
    <x v="90"/>
    <s v="C0419"/>
    <s v="Consumer"/>
    <s v="Indore"/>
    <x v="1"/>
    <x v="0"/>
    <s v="Credit Card"/>
    <s v="P004"/>
    <x v="3"/>
    <x v="1"/>
    <n v="2"/>
    <n v="499"/>
    <n v="0.2"/>
    <n v="798.4"/>
    <n v="180"/>
    <n v="360"/>
    <n v="80"/>
    <n v="358.4"/>
  </r>
  <r>
    <s v="ORD00481"/>
    <x v="90"/>
    <s v="C0225"/>
    <s v="Consumer"/>
    <s v="Indore"/>
    <x v="1"/>
    <x v="0"/>
    <s v="Net Banking"/>
    <s v="P007"/>
    <x v="4"/>
    <x v="3"/>
    <n v="4"/>
    <n v="999"/>
    <n v="0.1"/>
    <n v="3596.4"/>
    <n v="520"/>
    <n v="2080"/>
    <n v="100"/>
    <n v="1416.4"/>
  </r>
  <r>
    <s v="ORD01487"/>
    <x v="91"/>
    <s v="C0083"/>
    <s v="Small Business"/>
    <s v="Mumbai"/>
    <x v="3"/>
    <x v="0"/>
    <s v="UPI"/>
    <s v="P007"/>
    <x v="4"/>
    <x v="3"/>
    <n v="2"/>
    <n v="999"/>
    <n v="0.1"/>
    <n v="1798.2"/>
    <n v="520"/>
    <n v="1040"/>
    <n v="40"/>
    <n v="718.2"/>
  </r>
  <r>
    <s v="ORD01334"/>
    <x v="92"/>
    <s v="C0445"/>
    <s v="Small Business"/>
    <s v="Jaipur"/>
    <x v="4"/>
    <x v="0"/>
    <s v="Credit Card"/>
    <s v="P003"/>
    <x v="10"/>
    <x v="0"/>
    <n v="1"/>
    <n v="1599"/>
    <n v="0.05"/>
    <n v="1519.05"/>
    <n v="900"/>
    <n v="900"/>
    <n v="80"/>
    <n v="539.04999999999995"/>
  </r>
  <r>
    <s v="ORD01221"/>
    <x v="92"/>
    <s v="C0325"/>
    <s v="Small Business"/>
    <s v="Indore"/>
    <x v="1"/>
    <x v="0"/>
    <s v="Credit Card"/>
    <s v="P012"/>
    <x v="6"/>
    <x v="0"/>
    <n v="3"/>
    <n v="2199"/>
    <n v="0.1"/>
    <n v="5937.3"/>
    <n v="1250"/>
    <n v="3750"/>
    <n v="60"/>
    <n v="2127.3000000000002"/>
  </r>
  <r>
    <s v="ORD01134"/>
    <x v="92"/>
    <s v="C0197"/>
    <s v="Corporate"/>
    <s v="Chennai"/>
    <x v="9"/>
    <x v="2"/>
    <s v="Debit Card"/>
    <s v="P007"/>
    <x v="4"/>
    <x v="3"/>
    <n v="5"/>
    <n v="999"/>
    <n v="0"/>
    <n v="4995"/>
    <n v="520"/>
    <n v="2600"/>
    <n v="40"/>
    <n v="2355"/>
  </r>
  <r>
    <s v="ORD00780"/>
    <x v="92"/>
    <s v="C0412"/>
    <s v="Consumer"/>
    <s v="Pune"/>
    <x v="3"/>
    <x v="1"/>
    <s v="Debit Card"/>
    <s v="P002"/>
    <x v="5"/>
    <x v="0"/>
    <n v="2"/>
    <n v="2499"/>
    <n v="0.15"/>
    <n v="4248.3"/>
    <n v="1450"/>
    <n v="2900"/>
    <n v="40"/>
    <n v="1308.3"/>
  </r>
  <r>
    <s v="ORD01141"/>
    <x v="93"/>
    <s v="C0418"/>
    <s v="Corporate"/>
    <s v="Delhi"/>
    <x v="5"/>
    <x v="2"/>
    <s v="Net Banking"/>
    <s v="P007"/>
    <x v="4"/>
    <x v="3"/>
    <n v="1"/>
    <n v="999"/>
    <n v="0.1"/>
    <n v="899.1"/>
    <n v="520"/>
    <n v="520"/>
    <n v="60"/>
    <n v="319.10000000000002"/>
  </r>
  <r>
    <s v="ORD00495"/>
    <x v="93"/>
    <s v="C0111"/>
    <s v="Corporate"/>
    <s v="Kolkata"/>
    <x v="7"/>
    <x v="2"/>
    <s v="Debit Card"/>
    <s v="P005"/>
    <x v="1"/>
    <x v="1"/>
    <n v="2"/>
    <n v="1299"/>
    <n v="0"/>
    <n v="2598"/>
    <n v="700"/>
    <n v="1400"/>
    <n v="0"/>
    <n v="1198"/>
  </r>
  <r>
    <s v="ORD01481"/>
    <x v="94"/>
    <s v="C0229"/>
    <s v="Corporate"/>
    <s v="Bengaluru"/>
    <x v="2"/>
    <x v="1"/>
    <s v="Cash on Delivery"/>
    <s v="P008"/>
    <x v="2"/>
    <x v="2"/>
    <n v="1"/>
    <n v="1799"/>
    <n v="0"/>
    <n v="1799"/>
    <n v="850"/>
    <n v="850"/>
    <n v="80"/>
    <n v="869"/>
  </r>
  <r>
    <s v="ORD00496"/>
    <x v="94"/>
    <s v="C0396"/>
    <s v="Corporate"/>
    <s v="Pune"/>
    <x v="3"/>
    <x v="1"/>
    <s v="Cash on Delivery"/>
    <s v="P007"/>
    <x v="4"/>
    <x v="3"/>
    <n v="1"/>
    <n v="999"/>
    <n v="0.2"/>
    <n v="799.2"/>
    <n v="520"/>
    <n v="520"/>
    <n v="100"/>
    <n v="179.2"/>
  </r>
  <r>
    <s v="ORD01089"/>
    <x v="94"/>
    <s v="C0107"/>
    <s v="Small Business"/>
    <s v="Bhopal"/>
    <x v="1"/>
    <x v="1"/>
    <s v="Net Banking"/>
    <s v="P006"/>
    <x v="8"/>
    <x v="3"/>
    <n v="1"/>
    <n v="2999"/>
    <n v="0.2"/>
    <n v="2399.1999999999998"/>
    <n v="1750"/>
    <n v="1750"/>
    <n v="40"/>
    <n v="609.20000000000005"/>
  </r>
  <r>
    <s v="ORD01482"/>
    <x v="95"/>
    <s v="C0288"/>
    <s v="Consumer"/>
    <s v="Pune"/>
    <x v="3"/>
    <x v="2"/>
    <s v="Net Banking"/>
    <s v="P011"/>
    <x v="7"/>
    <x v="1"/>
    <n v="1"/>
    <n v="6999"/>
    <n v="0"/>
    <n v="6999"/>
    <n v="4900"/>
    <n v="4900"/>
    <n v="0"/>
    <n v="2099"/>
  </r>
  <r>
    <s v="ORD01117"/>
    <x v="95"/>
    <s v="C0384"/>
    <s v="Consumer"/>
    <s v="Hyderabad"/>
    <x v="0"/>
    <x v="0"/>
    <s v="Net Banking"/>
    <s v="P011"/>
    <x v="7"/>
    <x v="1"/>
    <n v="2"/>
    <n v="6999"/>
    <n v="0.05"/>
    <n v="13298.1"/>
    <n v="4900"/>
    <n v="9800"/>
    <n v="40"/>
    <n v="3458.1"/>
  </r>
  <r>
    <s v="ORD01067"/>
    <x v="95"/>
    <s v="C0088"/>
    <s v="Consumer"/>
    <s v="Pune"/>
    <x v="3"/>
    <x v="0"/>
    <s v="Cash on Delivery"/>
    <s v="P006"/>
    <x v="8"/>
    <x v="3"/>
    <n v="2"/>
    <n v="2999"/>
    <n v="0.1"/>
    <n v="5398.2"/>
    <n v="1750"/>
    <n v="3500"/>
    <n v="60"/>
    <n v="1838.2"/>
  </r>
  <r>
    <s v="ORD00556"/>
    <x v="95"/>
    <s v="C0311"/>
    <s v="Consumer"/>
    <s v="Delhi"/>
    <x v="5"/>
    <x v="2"/>
    <s v="Net Banking"/>
    <s v="P001"/>
    <x v="0"/>
    <x v="0"/>
    <n v="1"/>
    <n v="799"/>
    <n v="0.15"/>
    <n v="679.15"/>
    <n v="420"/>
    <n v="420"/>
    <n v="80"/>
    <n v="179.15"/>
  </r>
  <r>
    <s v="ORD00697"/>
    <x v="95"/>
    <s v="C0248"/>
    <s v="Small Business"/>
    <s v="Pune"/>
    <x v="3"/>
    <x v="0"/>
    <s v="Cash on Delivery"/>
    <s v="P010"/>
    <x v="11"/>
    <x v="4"/>
    <n v="2"/>
    <n v="299"/>
    <n v="0.2"/>
    <n v="478.4"/>
    <n v="110"/>
    <n v="220"/>
    <n v="100"/>
    <n v="158.4"/>
  </r>
  <r>
    <s v="ORD00145"/>
    <x v="95"/>
    <s v="C0402"/>
    <s v="Small Business"/>
    <s v="Ahmedabad"/>
    <x v="6"/>
    <x v="0"/>
    <s v="Debit Card"/>
    <s v="P008"/>
    <x v="2"/>
    <x v="2"/>
    <n v="2"/>
    <n v="1799"/>
    <n v="0.15"/>
    <n v="3058.3"/>
    <n v="850"/>
    <n v="1700"/>
    <n v="0"/>
    <n v="1358.3"/>
  </r>
  <r>
    <s v="ORD00693"/>
    <x v="95"/>
    <s v="C0339"/>
    <s v="Small Business"/>
    <s v="Bhopal"/>
    <x v="1"/>
    <x v="0"/>
    <s v="Cash on Delivery"/>
    <s v="P007"/>
    <x v="4"/>
    <x v="3"/>
    <n v="5"/>
    <n v="999"/>
    <n v="0"/>
    <n v="4995"/>
    <n v="520"/>
    <n v="2600"/>
    <n v="60"/>
    <n v="2335"/>
  </r>
  <r>
    <s v="ORD01243"/>
    <x v="96"/>
    <s v="C0236"/>
    <s v="Consumer"/>
    <s v="Hyderabad"/>
    <x v="0"/>
    <x v="0"/>
    <s v="Net Banking"/>
    <s v="P001"/>
    <x v="0"/>
    <x v="0"/>
    <n v="4"/>
    <n v="799"/>
    <n v="0.05"/>
    <n v="3036.2"/>
    <n v="420"/>
    <n v="1680"/>
    <n v="40"/>
    <n v="1316.2"/>
  </r>
  <r>
    <s v="ORD01341"/>
    <x v="97"/>
    <s v="C0123"/>
    <s v="Consumer"/>
    <s v="Hyderabad"/>
    <x v="0"/>
    <x v="0"/>
    <s v="UPI"/>
    <s v="P004"/>
    <x v="3"/>
    <x v="1"/>
    <n v="1"/>
    <n v="499"/>
    <n v="0"/>
    <n v="499"/>
    <n v="180"/>
    <n v="180"/>
    <n v="100"/>
    <n v="219"/>
  </r>
  <r>
    <s v="ORD01302"/>
    <x v="97"/>
    <s v="C0145"/>
    <s v="Corporate"/>
    <s v="Delhi"/>
    <x v="5"/>
    <x v="2"/>
    <s v="UPI"/>
    <s v="P008"/>
    <x v="2"/>
    <x v="2"/>
    <n v="4"/>
    <n v="1799"/>
    <n v="0"/>
    <n v="7196"/>
    <n v="850"/>
    <n v="3400"/>
    <n v="0"/>
    <n v="3796"/>
  </r>
  <r>
    <s v="ORD00475"/>
    <x v="97"/>
    <s v="C0039"/>
    <s v="Small Business"/>
    <s v="Lucknow"/>
    <x v="8"/>
    <x v="0"/>
    <s v="UPI"/>
    <s v="P010"/>
    <x v="11"/>
    <x v="4"/>
    <n v="2"/>
    <n v="299"/>
    <n v="0"/>
    <n v="598"/>
    <n v="110"/>
    <n v="220"/>
    <n v="0"/>
    <n v="378"/>
  </r>
  <r>
    <s v="ORD00763"/>
    <x v="97"/>
    <s v="C0039"/>
    <s v="Small Business"/>
    <s v="Indore"/>
    <x v="1"/>
    <x v="1"/>
    <s v="Debit Card"/>
    <s v="P012"/>
    <x v="6"/>
    <x v="0"/>
    <n v="1"/>
    <n v="2199"/>
    <n v="0.05"/>
    <n v="2089.0500000000002"/>
    <n v="1250"/>
    <n v="1250"/>
    <n v="80"/>
    <n v="759.05"/>
  </r>
  <r>
    <s v="ORD00410"/>
    <x v="97"/>
    <s v="C0340"/>
    <s v="Corporate"/>
    <s v="Ahmedabad"/>
    <x v="6"/>
    <x v="0"/>
    <s v="UPI"/>
    <s v="P009"/>
    <x v="9"/>
    <x v="2"/>
    <n v="3"/>
    <n v="599"/>
    <n v="0"/>
    <n v="1797"/>
    <n v="240"/>
    <n v="720"/>
    <n v="60"/>
    <n v="1017"/>
  </r>
  <r>
    <s v="ORD01016"/>
    <x v="97"/>
    <s v="C0100"/>
    <s v="Small Business"/>
    <s v="Lucknow"/>
    <x v="8"/>
    <x v="0"/>
    <s v="Cash on Delivery"/>
    <s v="P005"/>
    <x v="1"/>
    <x v="1"/>
    <n v="2"/>
    <n v="1299"/>
    <n v="0.1"/>
    <n v="2338.1999999999998"/>
    <n v="700"/>
    <n v="1400"/>
    <n v="40"/>
    <n v="898.2"/>
  </r>
  <r>
    <s v="ORD00814"/>
    <x v="98"/>
    <s v="C0322"/>
    <s v="Consumer"/>
    <s v="Lucknow"/>
    <x v="8"/>
    <x v="1"/>
    <s v="Net Banking"/>
    <s v="P012"/>
    <x v="6"/>
    <x v="0"/>
    <n v="1"/>
    <n v="2199"/>
    <n v="0"/>
    <n v="2199"/>
    <n v="1250"/>
    <n v="1250"/>
    <n v="40"/>
    <n v="909"/>
  </r>
  <r>
    <s v="ORD00620"/>
    <x v="99"/>
    <s v="C0407"/>
    <s v="Corporate"/>
    <s v="Delhi"/>
    <x v="5"/>
    <x v="0"/>
    <s v="UPI"/>
    <s v="P004"/>
    <x v="3"/>
    <x v="1"/>
    <n v="2"/>
    <n v="499"/>
    <n v="0.05"/>
    <n v="948.1"/>
    <n v="180"/>
    <n v="360"/>
    <n v="0"/>
    <n v="588.1"/>
  </r>
  <r>
    <s v="ORD00683"/>
    <x v="99"/>
    <s v="C0202"/>
    <s v="Corporate"/>
    <s v="Delhi"/>
    <x v="5"/>
    <x v="1"/>
    <s v="Net Banking"/>
    <s v="P003"/>
    <x v="10"/>
    <x v="0"/>
    <n v="3"/>
    <n v="1599"/>
    <n v="0.2"/>
    <n v="3837.6"/>
    <n v="900"/>
    <n v="2700"/>
    <n v="100"/>
    <n v="1037.5999999999999"/>
  </r>
  <r>
    <s v="ORD00493"/>
    <x v="100"/>
    <s v="C0182"/>
    <s v="Small Business"/>
    <s v="Chennai"/>
    <x v="9"/>
    <x v="1"/>
    <s v="Cash on Delivery"/>
    <s v="P002"/>
    <x v="5"/>
    <x v="0"/>
    <n v="3"/>
    <n v="2499"/>
    <n v="0"/>
    <n v="7497"/>
    <n v="1450"/>
    <n v="4350"/>
    <n v="0"/>
    <n v="3147"/>
  </r>
  <r>
    <s v="ORD01413"/>
    <x v="100"/>
    <s v="C0302"/>
    <s v="Corporate"/>
    <s v="Hyderabad"/>
    <x v="0"/>
    <x v="1"/>
    <s v="UPI"/>
    <s v="P001"/>
    <x v="0"/>
    <x v="0"/>
    <n v="2"/>
    <n v="799"/>
    <n v="0"/>
    <n v="1598"/>
    <n v="420"/>
    <n v="840"/>
    <n v="60"/>
    <n v="698"/>
  </r>
  <r>
    <s v="ORD00940"/>
    <x v="100"/>
    <s v="C0024"/>
    <s v="Consumer"/>
    <s v="Kolkata"/>
    <x v="7"/>
    <x v="1"/>
    <s v="Debit Card"/>
    <s v="P012"/>
    <x v="6"/>
    <x v="0"/>
    <n v="2"/>
    <n v="2199"/>
    <n v="0"/>
    <n v="4398"/>
    <n v="1250"/>
    <n v="2500"/>
    <n v="40"/>
    <n v="1858"/>
  </r>
  <r>
    <s v="ORD00162"/>
    <x v="100"/>
    <s v="C0270"/>
    <s v="Small Business"/>
    <s v="Jaipur"/>
    <x v="4"/>
    <x v="1"/>
    <s v="UPI"/>
    <s v="P006"/>
    <x v="8"/>
    <x v="3"/>
    <n v="1"/>
    <n v="2999"/>
    <n v="0.05"/>
    <n v="2849.05"/>
    <n v="1750"/>
    <n v="1750"/>
    <n v="100"/>
    <n v="999.05"/>
  </r>
  <r>
    <s v="ORD01291"/>
    <x v="101"/>
    <s v="C0212"/>
    <s v="Small Business"/>
    <s v="Jaipur"/>
    <x v="4"/>
    <x v="0"/>
    <s v="Net Banking"/>
    <s v="P004"/>
    <x v="3"/>
    <x v="1"/>
    <n v="3"/>
    <n v="499"/>
    <n v="0"/>
    <n v="1497"/>
    <n v="180"/>
    <n v="540"/>
    <n v="60"/>
    <n v="897"/>
  </r>
  <r>
    <s v="ORD01000"/>
    <x v="101"/>
    <s v="C0034"/>
    <s v="Corporate"/>
    <s v="Kolkata"/>
    <x v="7"/>
    <x v="2"/>
    <s v="Net Banking"/>
    <s v="P005"/>
    <x v="1"/>
    <x v="1"/>
    <n v="1"/>
    <n v="1299"/>
    <n v="0.1"/>
    <n v="1169.0999999999999"/>
    <n v="700"/>
    <n v="700"/>
    <n v="100"/>
    <n v="369.1"/>
  </r>
  <r>
    <s v="ORD00876"/>
    <x v="101"/>
    <s v="C0236"/>
    <s v="Small Business"/>
    <s v="Mumbai"/>
    <x v="3"/>
    <x v="1"/>
    <s v="Cash on Delivery"/>
    <s v="P006"/>
    <x v="8"/>
    <x v="3"/>
    <n v="1"/>
    <n v="2999"/>
    <n v="0.15"/>
    <n v="2549.15"/>
    <n v="1750"/>
    <n v="1750"/>
    <n v="60"/>
    <n v="739.15"/>
  </r>
  <r>
    <s v="ORD01308"/>
    <x v="101"/>
    <s v="C0373"/>
    <s v="Small Business"/>
    <s v="Pune"/>
    <x v="3"/>
    <x v="2"/>
    <s v="Debit Card"/>
    <s v="P004"/>
    <x v="3"/>
    <x v="1"/>
    <n v="1"/>
    <n v="499"/>
    <n v="0"/>
    <n v="499"/>
    <n v="180"/>
    <n v="180"/>
    <n v="40"/>
    <n v="279"/>
  </r>
  <r>
    <s v="ORD01387"/>
    <x v="101"/>
    <s v="C0311"/>
    <s v="Small Business"/>
    <s v="Chennai"/>
    <x v="9"/>
    <x v="2"/>
    <s v="Credit Card"/>
    <s v="P001"/>
    <x v="0"/>
    <x v="0"/>
    <n v="3"/>
    <n v="799"/>
    <n v="0"/>
    <n v="2397"/>
    <n v="420"/>
    <n v="1260"/>
    <n v="80"/>
    <n v="1057"/>
  </r>
  <r>
    <s v="ORD01041"/>
    <x v="101"/>
    <s v="C0023"/>
    <s v="Consumer"/>
    <s v="Chennai"/>
    <x v="9"/>
    <x v="2"/>
    <s v="Credit Card"/>
    <s v="P003"/>
    <x v="10"/>
    <x v="0"/>
    <n v="1"/>
    <n v="1599"/>
    <n v="0"/>
    <n v="1599"/>
    <n v="900"/>
    <n v="900"/>
    <n v="100"/>
    <n v="599"/>
  </r>
  <r>
    <s v="ORD00923"/>
    <x v="102"/>
    <s v="C0235"/>
    <s v="Corporate"/>
    <s v="Jaipur"/>
    <x v="4"/>
    <x v="2"/>
    <s v="Credit Card"/>
    <s v="P008"/>
    <x v="2"/>
    <x v="2"/>
    <n v="1"/>
    <n v="1799"/>
    <n v="0.05"/>
    <n v="1709.05"/>
    <n v="850"/>
    <n v="850"/>
    <n v="100"/>
    <n v="759.05"/>
  </r>
  <r>
    <s v="ORD01133"/>
    <x v="102"/>
    <s v="C0088"/>
    <s v="Small Business"/>
    <s v="Bengaluru"/>
    <x v="2"/>
    <x v="0"/>
    <s v="UPI"/>
    <s v="P008"/>
    <x v="2"/>
    <x v="2"/>
    <n v="2"/>
    <n v="1799"/>
    <n v="0"/>
    <n v="3598"/>
    <n v="850"/>
    <n v="1700"/>
    <n v="40"/>
    <n v="1858"/>
  </r>
  <r>
    <s v="ORD00792"/>
    <x v="102"/>
    <s v="C0297"/>
    <s v="Corporate"/>
    <s v="Bhopal"/>
    <x v="1"/>
    <x v="1"/>
    <s v="Credit Card"/>
    <s v="P002"/>
    <x v="5"/>
    <x v="0"/>
    <n v="4"/>
    <n v="2499"/>
    <n v="0.2"/>
    <n v="7996.8"/>
    <n v="1450"/>
    <n v="5800"/>
    <n v="80"/>
    <n v="2116.8000000000002"/>
  </r>
  <r>
    <s v="ORD00788"/>
    <x v="103"/>
    <s v="C0260"/>
    <s v="Consumer"/>
    <s v="Lucknow"/>
    <x v="8"/>
    <x v="1"/>
    <s v="Credit Card"/>
    <s v="P009"/>
    <x v="9"/>
    <x v="2"/>
    <n v="5"/>
    <n v="599"/>
    <n v="0.15"/>
    <n v="2545.75"/>
    <n v="240"/>
    <n v="1200"/>
    <n v="60"/>
    <n v="1285.75"/>
  </r>
  <r>
    <s v="ORD00110"/>
    <x v="103"/>
    <s v="C0362"/>
    <s v="Corporate"/>
    <s v="Lucknow"/>
    <x v="8"/>
    <x v="1"/>
    <s v="Net Banking"/>
    <s v="P011"/>
    <x v="7"/>
    <x v="1"/>
    <n v="3"/>
    <n v="6999"/>
    <n v="0.1"/>
    <n v="18897.3"/>
    <n v="4900"/>
    <n v="14700"/>
    <n v="60"/>
    <n v="4137.3"/>
  </r>
  <r>
    <s v="ORD01440"/>
    <x v="103"/>
    <s v="C0254"/>
    <s v="Small Business"/>
    <s v="Bhopal"/>
    <x v="1"/>
    <x v="2"/>
    <s v="Credit Card"/>
    <s v="P002"/>
    <x v="5"/>
    <x v="0"/>
    <n v="1"/>
    <n v="2499"/>
    <n v="0.15"/>
    <n v="2124.15"/>
    <n v="1450"/>
    <n v="1450"/>
    <n v="40"/>
    <n v="634.15"/>
  </r>
  <r>
    <s v="ORD01234"/>
    <x v="104"/>
    <s v="C0078"/>
    <s v="Consumer"/>
    <s v="Bhopal"/>
    <x v="1"/>
    <x v="1"/>
    <s v="Cash on Delivery"/>
    <s v="P006"/>
    <x v="8"/>
    <x v="3"/>
    <n v="4"/>
    <n v="2999"/>
    <n v="0"/>
    <n v="11996"/>
    <n v="1750"/>
    <n v="7000"/>
    <n v="0"/>
    <n v="4996"/>
  </r>
  <r>
    <s v="ORD01194"/>
    <x v="104"/>
    <s v="C0385"/>
    <s v="Corporate"/>
    <s v="Chennai"/>
    <x v="9"/>
    <x v="0"/>
    <s v="Net Banking"/>
    <s v="P007"/>
    <x v="4"/>
    <x v="3"/>
    <n v="2"/>
    <n v="999"/>
    <n v="0.1"/>
    <n v="1798.2"/>
    <n v="520"/>
    <n v="1040"/>
    <n v="40"/>
    <n v="718.2"/>
  </r>
  <r>
    <s v="ORD00848"/>
    <x v="104"/>
    <s v="C0117"/>
    <s v="Corporate"/>
    <s v="Ahmedabad"/>
    <x v="6"/>
    <x v="2"/>
    <s v="Credit Card"/>
    <s v="P004"/>
    <x v="3"/>
    <x v="1"/>
    <n v="1"/>
    <n v="499"/>
    <n v="0.2"/>
    <n v="399.2"/>
    <n v="180"/>
    <n v="180"/>
    <n v="40"/>
    <n v="179.2"/>
  </r>
  <r>
    <s v="ORD01057"/>
    <x v="104"/>
    <s v="C0101"/>
    <s v="Small Business"/>
    <s v="Chennai"/>
    <x v="9"/>
    <x v="1"/>
    <s v="Debit Card"/>
    <s v="P002"/>
    <x v="5"/>
    <x v="0"/>
    <n v="1"/>
    <n v="2499"/>
    <n v="0.15"/>
    <n v="2124.15"/>
    <n v="1450"/>
    <n v="1450"/>
    <n v="40"/>
    <n v="634.15"/>
  </r>
  <r>
    <s v="ORD00861"/>
    <x v="105"/>
    <s v="C0380"/>
    <s v="Consumer"/>
    <s v="Pune"/>
    <x v="3"/>
    <x v="2"/>
    <s v="Debit Card"/>
    <s v="P003"/>
    <x v="10"/>
    <x v="0"/>
    <n v="1"/>
    <n v="1599"/>
    <n v="0.2"/>
    <n v="1279.2"/>
    <n v="900"/>
    <n v="900"/>
    <n v="100"/>
    <n v="279.2"/>
  </r>
  <r>
    <s v="ORD00932"/>
    <x v="106"/>
    <s v="C0309"/>
    <s v="Consumer"/>
    <s v="Indore"/>
    <x v="1"/>
    <x v="1"/>
    <s v="UPI"/>
    <s v="P005"/>
    <x v="1"/>
    <x v="1"/>
    <n v="2"/>
    <n v="1299"/>
    <n v="0.1"/>
    <n v="2338.1999999999998"/>
    <n v="700"/>
    <n v="1400"/>
    <n v="60"/>
    <n v="878.2"/>
  </r>
  <r>
    <s v="ORD00999"/>
    <x v="106"/>
    <s v="C0253"/>
    <s v="Small Business"/>
    <s v="Bengaluru"/>
    <x v="2"/>
    <x v="0"/>
    <s v="Net Banking"/>
    <s v="P001"/>
    <x v="0"/>
    <x v="0"/>
    <n v="1"/>
    <n v="799"/>
    <n v="0.15"/>
    <n v="679.15"/>
    <n v="420"/>
    <n v="420"/>
    <n v="100"/>
    <n v="159.15"/>
  </r>
  <r>
    <s v="ORD00078"/>
    <x v="106"/>
    <s v="C0339"/>
    <s v="Corporate"/>
    <s v="Kolkata"/>
    <x v="7"/>
    <x v="2"/>
    <s v="Cash on Delivery"/>
    <s v="P010"/>
    <x v="11"/>
    <x v="4"/>
    <n v="3"/>
    <n v="299"/>
    <n v="0.05"/>
    <n v="852.15"/>
    <n v="110"/>
    <n v="330"/>
    <n v="100"/>
    <n v="422.15"/>
  </r>
  <r>
    <s v="ORD01090"/>
    <x v="106"/>
    <s v="C0008"/>
    <s v="Corporate"/>
    <s v="Delhi"/>
    <x v="5"/>
    <x v="0"/>
    <s v="Debit Card"/>
    <s v="P004"/>
    <x v="3"/>
    <x v="1"/>
    <n v="1"/>
    <n v="499"/>
    <n v="0.05"/>
    <n v="474.05"/>
    <n v="180"/>
    <n v="180"/>
    <n v="60"/>
    <n v="234.05"/>
  </r>
  <r>
    <s v="ORD00771"/>
    <x v="107"/>
    <s v="C0156"/>
    <s v="Corporate"/>
    <s v="Indore"/>
    <x v="1"/>
    <x v="2"/>
    <s v="UPI"/>
    <s v="P010"/>
    <x v="11"/>
    <x v="4"/>
    <n v="2"/>
    <n v="299"/>
    <n v="0.05"/>
    <n v="568.1"/>
    <n v="110"/>
    <n v="220"/>
    <n v="60"/>
    <n v="288.10000000000002"/>
  </r>
  <r>
    <s v="ORD01155"/>
    <x v="107"/>
    <s v="C0301"/>
    <s v="Small Business"/>
    <s v="Mumbai"/>
    <x v="3"/>
    <x v="0"/>
    <s v="Net Banking"/>
    <s v="P008"/>
    <x v="2"/>
    <x v="2"/>
    <n v="2"/>
    <n v="1799"/>
    <n v="0.15"/>
    <n v="3058.3"/>
    <n v="850"/>
    <n v="1700"/>
    <n v="40"/>
    <n v="1318.3"/>
  </r>
  <r>
    <s v="ORD01307"/>
    <x v="107"/>
    <s v="C0263"/>
    <s v="Consumer"/>
    <s v="Lucknow"/>
    <x v="8"/>
    <x v="2"/>
    <s v="Debit Card"/>
    <s v="P004"/>
    <x v="3"/>
    <x v="1"/>
    <n v="2"/>
    <n v="499"/>
    <n v="0.15"/>
    <n v="848.3"/>
    <n v="180"/>
    <n v="360"/>
    <n v="0"/>
    <n v="488.3"/>
  </r>
  <r>
    <s v="ORD00964"/>
    <x v="108"/>
    <s v="C0428"/>
    <s v="Corporate"/>
    <s v="Bengaluru"/>
    <x v="2"/>
    <x v="1"/>
    <s v="Debit Card"/>
    <s v="P004"/>
    <x v="3"/>
    <x v="1"/>
    <n v="2"/>
    <n v="499"/>
    <n v="0.1"/>
    <n v="898.2"/>
    <n v="180"/>
    <n v="360"/>
    <n v="0"/>
    <n v="538.20000000000005"/>
  </r>
  <r>
    <s v="ORD00685"/>
    <x v="109"/>
    <s v="C0269"/>
    <s v="Small Business"/>
    <s v="Pune"/>
    <x v="3"/>
    <x v="1"/>
    <s v="Cash on Delivery"/>
    <s v="P002"/>
    <x v="5"/>
    <x v="0"/>
    <n v="1"/>
    <n v="2499"/>
    <n v="0.1"/>
    <n v="2249.1"/>
    <n v="1450"/>
    <n v="1450"/>
    <n v="60"/>
    <n v="739.1"/>
  </r>
  <r>
    <s v="ORD00924"/>
    <x v="109"/>
    <s v="C0384"/>
    <s v="Small Business"/>
    <s v="Delhi"/>
    <x v="5"/>
    <x v="1"/>
    <s v="Cash on Delivery"/>
    <s v="P006"/>
    <x v="8"/>
    <x v="3"/>
    <n v="1"/>
    <n v="2999"/>
    <n v="0.05"/>
    <n v="2849.05"/>
    <n v="1750"/>
    <n v="1750"/>
    <n v="40"/>
    <n v="1059.05"/>
  </r>
  <r>
    <s v="ORD00857"/>
    <x v="109"/>
    <s v="C0361"/>
    <s v="Corporate"/>
    <s v="Chennai"/>
    <x v="9"/>
    <x v="0"/>
    <s v="UPI"/>
    <s v="P008"/>
    <x v="2"/>
    <x v="2"/>
    <n v="1"/>
    <n v="1799"/>
    <n v="0"/>
    <n v="1799"/>
    <n v="850"/>
    <n v="850"/>
    <n v="80"/>
    <n v="869"/>
  </r>
  <r>
    <s v="ORD01320"/>
    <x v="110"/>
    <s v="C0122"/>
    <s v="Small Business"/>
    <s v="Kolkata"/>
    <x v="7"/>
    <x v="2"/>
    <s v="Debit Card"/>
    <s v="P008"/>
    <x v="2"/>
    <x v="2"/>
    <n v="1"/>
    <n v="1799"/>
    <n v="0.05"/>
    <n v="1709.05"/>
    <n v="850"/>
    <n v="850"/>
    <n v="100"/>
    <n v="759.05"/>
  </r>
  <r>
    <s v="ORD01498"/>
    <x v="111"/>
    <s v="C0396"/>
    <s v="Small Business"/>
    <s v="Bhopal"/>
    <x v="1"/>
    <x v="0"/>
    <s v="Debit Card"/>
    <s v="P009"/>
    <x v="9"/>
    <x v="2"/>
    <n v="2"/>
    <n v="599"/>
    <n v="0.1"/>
    <n v="1078.2"/>
    <n v="240"/>
    <n v="480"/>
    <n v="60"/>
    <n v="538.20000000000005"/>
  </r>
  <r>
    <s v="ORD00144"/>
    <x v="111"/>
    <s v="C0230"/>
    <s v="Corporate"/>
    <s v="Jaipur"/>
    <x v="4"/>
    <x v="0"/>
    <s v="Cash on Delivery"/>
    <s v="P012"/>
    <x v="6"/>
    <x v="0"/>
    <n v="1"/>
    <n v="2199"/>
    <n v="0"/>
    <n v="2199"/>
    <n v="1250"/>
    <n v="1250"/>
    <n v="0"/>
    <n v="949"/>
  </r>
  <r>
    <s v="ORD01442"/>
    <x v="111"/>
    <s v="C0068"/>
    <s v="Small Business"/>
    <s v="Pune"/>
    <x v="3"/>
    <x v="0"/>
    <s v="Net Banking"/>
    <s v="P001"/>
    <x v="0"/>
    <x v="0"/>
    <n v="3"/>
    <n v="799"/>
    <n v="0"/>
    <n v="2397"/>
    <n v="420"/>
    <n v="1260"/>
    <n v="40"/>
    <n v="1097"/>
  </r>
  <r>
    <s v="ORD01048"/>
    <x v="111"/>
    <s v="C0042"/>
    <s v="Corporate"/>
    <s v="Ahmedabad"/>
    <x v="6"/>
    <x v="0"/>
    <s v="Cash on Delivery"/>
    <s v="P009"/>
    <x v="9"/>
    <x v="2"/>
    <n v="5"/>
    <n v="599"/>
    <n v="0.1"/>
    <n v="2695.5"/>
    <n v="240"/>
    <n v="1200"/>
    <n v="40"/>
    <n v="1455.5"/>
  </r>
  <r>
    <s v="ORD01425"/>
    <x v="112"/>
    <s v="C0026"/>
    <s v="Consumer"/>
    <s v="Indore"/>
    <x v="1"/>
    <x v="2"/>
    <s v="UPI"/>
    <s v="P004"/>
    <x v="3"/>
    <x v="1"/>
    <n v="2"/>
    <n v="499"/>
    <n v="0"/>
    <n v="998"/>
    <n v="180"/>
    <n v="360"/>
    <n v="100"/>
    <n v="538"/>
  </r>
  <r>
    <s v="ORD01139"/>
    <x v="112"/>
    <s v="C0032"/>
    <s v="Small Business"/>
    <s v="Hyderabad"/>
    <x v="0"/>
    <x v="0"/>
    <s v="Credit Card"/>
    <s v="P006"/>
    <x v="8"/>
    <x v="3"/>
    <n v="4"/>
    <n v="2999"/>
    <n v="0.15"/>
    <n v="10196.6"/>
    <n v="1750"/>
    <n v="7000"/>
    <n v="0"/>
    <n v="3196.6"/>
  </r>
  <r>
    <s v="ORD00533"/>
    <x v="113"/>
    <s v="C0036"/>
    <s v="Consumer"/>
    <s v="Bhopal"/>
    <x v="1"/>
    <x v="1"/>
    <s v="Net Banking"/>
    <s v="P011"/>
    <x v="7"/>
    <x v="1"/>
    <n v="2"/>
    <n v="6999"/>
    <n v="0"/>
    <n v="13998"/>
    <n v="4900"/>
    <n v="9800"/>
    <n v="60"/>
    <n v="4138"/>
  </r>
  <r>
    <s v="ORD01384"/>
    <x v="114"/>
    <s v="C0317"/>
    <s v="Corporate"/>
    <s v="Bhopal"/>
    <x v="1"/>
    <x v="2"/>
    <s v="UPI"/>
    <s v="P012"/>
    <x v="6"/>
    <x v="0"/>
    <n v="1"/>
    <n v="2199"/>
    <n v="0.15"/>
    <n v="1869.15"/>
    <n v="1250"/>
    <n v="1250"/>
    <n v="60"/>
    <n v="559.15"/>
  </r>
  <r>
    <s v="ORD00983"/>
    <x v="114"/>
    <s v="C0109"/>
    <s v="Corporate"/>
    <s v="Ahmedabad"/>
    <x v="6"/>
    <x v="1"/>
    <s v="UPI"/>
    <s v="P012"/>
    <x v="6"/>
    <x v="0"/>
    <n v="2"/>
    <n v="2199"/>
    <n v="0.15"/>
    <n v="3738.3"/>
    <n v="1250"/>
    <n v="2500"/>
    <n v="0"/>
    <n v="1238.3"/>
  </r>
  <r>
    <s v="ORD00462"/>
    <x v="114"/>
    <s v="C0245"/>
    <s v="Corporate"/>
    <s v="Kolkata"/>
    <x v="7"/>
    <x v="2"/>
    <s v="UPI"/>
    <s v="P010"/>
    <x v="11"/>
    <x v="4"/>
    <n v="2"/>
    <n v="299"/>
    <n v="0.1"/>
    <n v="538.20000000000005"/>
    <n v="110"/>
    <n v="220"/>
    <n v="80"/>
    <n v="238.2"/>
  </r>
  <r>
    <s v="ORD00849"/>
    <x v="115"/>
    <s v="C0397"/>
    <s v="Corporate"/>
    <s v="Mumbai"/>
    <x v="3"/>
    <x v="1"/>
    <s v="UPI"/>
    <s v="P002"/>
    <x v="5"/>
    <x v="0"/>
    <n v="1"/>
    <n v="2499"/>
    <n v="0"/>
    <n v="2499"/>
    <n v="1450"/>
    <n v="1450"/>
    <n v="0"/>
    <n v="1049"/>
  </r>
  <r>
    <s v="ORD01208"/>
    <x v="115"/>
    <s v="C0336"/>
    <s v="Consumer"/>
    <s v="Bhopal"/>
    <x v="1"/>
    <x v="2"/>
    <s v="Net Banking"/>
    <s v="P011"/>
    <x v="7"/>
    <x v="1"/>
    <n v="3"/>
    <n v="6999"/>
    <n v="0"/>
    <n v="20997"/>
    <n v="4900"/>
    <n v="14700"/>
    <n v="0"/>
    <n v="6297"/>
  </r>
  <r>
    <s v="ORD00512"/>
    <x v="115"/>
    <s v="C0239"/>
    <s v="Small Business"/>
    <s v="Chennai"/>
    <x v="9"/>
    <x v="2"/>
    <s v="UPI"/>
    <s v="P003"/>
    <x v="10"/>
    <x v="0"/>
    <n v="2"/>
    <n v="1599"/>
    <n v="0.05"/>
    <n v="3038.1"/>
    <n v="900"/>
    <n v="1800"/>
    <n v="0"/>
    <n v="1238.0999999999999"/>
  </r>
  <r>
    <s v="ORD00589"/>
    <x v="116"/>
    <s v="C0285"/>
    <s v="Corporate"/>
    <s v="Bengaluru"/>
    <x v="2"/>
    <x v="1"/>
    <s v="Credit Card"/>
    <s v="P010"/>
    <x v="11"/>
    <x v="4"/>
    <n v="2"/>
    <n v="299"/>
    <n v="0"/>
    <n v="598"/>
    <n v="110"/>
    <n v="220"/>
    <n v="60"/>
    <n v="318"/>
  </r>
  <r>
    <s v="ORD00955"/>
    <x v="116"/>
    <s v="C0335"/>
    <s v="Small Business"/>
    <s v="Indore"/>
    <x v="1"/>
    <x v="1"/>
    <s v="Net Banking"/>
    <s v="P005"/>
    <x v="1"/>
    <x v="1"/>
    <n v="2"/>
    <n v="1299"/>
    <n v="0.1"/>
    <n v="2338.1999999999998"/>
    <n v="700"/>
    <n v="1400"/>
    <n v="80"/>
    <n v="858.2"/>
  </r>
  <r>
    <s v="ORD01195"/>
    <x v="116"/>
    <s v="C0177"/>
    <s v="Small Business"/>
    <s v="Delhi"/>
    <x v="5"/>
    <x v="2"/>
    <s v="Credit Card"/>
    <s v="P002"/>
    <x v="5"/>
    <x v="0"/>
    <n v="4"/>
    <n v="2499"/>
    <n v="0"/>
    <n v="9996"/>
    <n v="1450"/>
    <n v="5800"/>
    <n v="40"/>
    <n v="4156"/>
  </r>
  <r>
    <s v="ORD01148"/>
    <x v="116"/>
    <s v="C0156"/>
    <s v="Corporate"/>
    <s v="Ahmedabad"/>
    <x v="6"/>
    <x v="0"/>
    <s v="Credit Card"/>
    <s v="P006"/>
    <x v="8"/>
    <x v="3"/>
    <n v="3"/>
    <n v="2999"/>
    <n v="0.15"/>
    <n v="7647.45"/>
    <n v="1750"/>
    <n v="5250"/>
    <n v="0"/>
    <n v="2397.4499999999998"/>
  </r>
  <r>
    <s v="ORD00311"/>
    <x v="117"/>
    <s v="C0263"/>
    <s v="Corporate"/>
    <s v="Lucknow"/>
    <x v="8"/>
    <x v="2"/>
    <s v="UPI"/>
    <s v="P002"/>
    <x v="5"/>
    <x v="0"/>
    <n v="1"/>
    <n v="2499"/>
    <n v="0.1"/>
    <n v="2249.1"/>
    <n v="1450"/>
    <n v="1450"/>
    <n v="100"/>
    <n v="699.1"/>
  </r>
  <r>
    <s v="ORD00362"/>
    <x v="118"/>
    <s v="C0289"/>
    <s v="Consumer"/>
    <s v="Lucknow"/>
    <x v="8"/>
    <x v="0"/>
    <s v="Credit Card"/>
    <s v="P011"/>
    <x v="7"/>
    <x v="1"/>
    <n v="5"/>
    <n v="6999"/>
    <n v="0"/>
    <n v="34995"/>
    <n v="4900"/>
    <n v="24500"/>
    <n v="0"/>
    <n v="10495"/>
  </r>
  <r>
    <s v="ORD00040"/>
    <x v="119"/>
    <s v="C0140"/>
    <s v="Corporate"/>
    <s v="Delhi"/>
    <x v="5"/>
    <x v="0"/>
    <s v="Credit Card"/>
    <s v="P005"/>
    <x v="1"/>
    <x v="1"/>
    <n v="1"/>
    <n v="1299"/>
    <n v="0"/>
    <n v="1299"/>
    <n v="700"/>
    <n v="700"/>
    <n v="100"/>
    <n v="499"/>
  </r>
  <r>
    <s v="ORD00541"/>
    <x v="119"/>
    <s v="C0258"/>
    <s v="Consumer"/>
    <s v="Chennai"/>
    <x v="9"/>
    <x v="0"/>
    <s v="Credit Card"/>
    <s v="P008"/>
    <x v="2"/>
    <x v="2"/>
    <n v="2"/>
    <n v="1799"/>
    <n v="0"/>
    <n v="3598"/>
    <n v="850"/>
    <n v="1700"/>
    <n v="80"/>
    <n v="1818"/>
  </r>
  <r>
    <s v="ORD00234"/>
    <x v="119"/>
    <s v="C0206"/>
    <s v="Consumer"/>
    <s v="Mumbai"/>
    <x v="3"/>
    <x v="0"/>
    <s v="Cash on Delivery"/>
    <s v="P005"/>
    <x v="1"/>
    <x v="1"/>
    <n v="2"/>
    <n v="1299"/>
    <n v="0.1"/>
    <n v="2338.1999999999998"/>
    <n v="700"/>
    <n v="1400"/>
    <n v="60"/>
    <n v="878.2"/>
  </r>
  <r>
    <s v="ORD00441"/>
    <x v="120"/>
    <s v="C0449"/>
    <s v="Consumer"/>
    <s v="Bengaluru"/>
    <x v="2"/>
    <x v="2"/>
    <s v="Credit Card"/>
    <s v="P009"/>
    <x v="9"/>
    <x v="2"/>
    <n v="3"/>
    <n v="599"/>
    <n v="0"/>
    <n v="1797"/>
    <n v="240"/>
    <n v="720"/>
    <n v="40"/>
    <n v="1037"/>
  </r>
  <r>
    <s v="ORD01363"/>
    <x v="120"/>
    <s v="C0153"/>
    <s v="Small Business"/>
    <s v="Pune"/>
    <x v="3"/>
    <x v="0"/>
    <s v="Net Banking"/>
    <s v="P007"/>
    <x v="4"/>
    <x v="3"/>
    <n v="2"/>
    <n v="999"/>
    <n v="0.05"/>
    <n v="1898.1"/>
    <n v="520"/>
    <n v="1040"/>
    <n v="60"/>
    <n v="798.1"/>
  </r>
  <r>
    <s v="ORD00834"/>
    <x v="121"/>
    <s v="C0252"/>
    <s v="Consumer"/>
    <s v="Lucknow"/>
    <x v="8"/>
    <x v="1"/>
    <s v="Cash on Delivery"/>
    <s v="P004"/>
    <x v="3"/>
    <x v="1"/>
    <n v="1"/>
    <n v="499"/>
    <n v="0.1"/>
    <n v="449.1"/>
    <n v="180"/>
    <n v="180"/>
    <n v="60"/>
    <n v="209.1"/>
  </r>
  <r>
    <s v="ORD00676"/>
    <x v="121"/>
    <s v="C0139"/>
    <s v="Corporate"/>
    <s v="Mumbai"/>
    <x v="3"/>
    <x v="2"/>
    <s v="Credit Card"/>
    <s v="P003"/>
    <x v="10"/>
    <x v="0"/>
    <n v="1"/>
    <n v="1599"/>
    <n v="0"/>
    <n v="1599"/>
    <n v="900"/>
    <n v="900"/>
    <n v="80"/>
    <n v="619"/>
  </r>
  <r>
    <s v="ORD00478"/>
    <x v="122"/>
    <s v="C0319"/>
    <s v="Corporate"/>
    <s v="Jaipur"/>
    <x v="4"/>
    <x v="0"/>
    <s v="UPI"/>
    <s v="P011"/>
    <x v="7"/>
    <x v="1"/>
    <n v="2"/>
    <n v="6999"/>
    <n v="0.05"/>
    <n v="13298.1"/>
    <n v="4900"/>
    <n v="9800"/>
    <n v="60"/>
    <n v="3438.1"/>
  </r>
  <r>
    <s v="ORD01393"/>
    <x v="122"/>
    <s v="C0292"/>
    <s v="Consumer"/>
    <s v="Pune"/>
    <x v="3"/>
    <x v="2"/>
    <s v="Cash on Delivery"/>
    <s v="P002"/>
    <x v="5"/>
    <x v="0"/>
    <n v="2"/>
    <n v="2499"/>
    <n v="0.2"/>
    <n v="3998.4"/>
    <n v="1450"/>
    <n v="2900"/>
    <n v="80"/>
    <n v="1018.4"/>
  </r>
  <r>
    <s v="ORD00832"/>
    <x v="123"/>
    <s v="C0244"/>
    <s v="Small Business"/>
    <s v="Hyderabad"/>
    <x v="0"/>
    <x v="1"/>
    <s v="UPI"/>
    <s v="P010"/>
    <x v="11"/>
    <x v="4"/>
    <n v="2"/>
    <n v="299"/>
    <n v="0"/>
    <n v="598"/>
    <n v="110"/>
    <n v="220"/>
    <n v="40"/>
    <n v="338"/>
  </r>
  <r>
    <s v="ORD01127"/>
    <x v="123"/>
    <s v="C0385"/>
    <s v="Consumer"/>
    <s v="Ahmedabad"/>
    <x v="6"/>
    <x v="1"/>
    <s v="Net Banking"/>
    <s v="P001"/>
    <x v="0"/>
    <x v="0"/>
    <n v="2"/>
    <n v="799"/>
    <n v="0.15"/>
    <n v="1358.3"/>
    <n v="420"/>
    <n v="840"/>
    <n v="60"/>
    <n v="458.3"/>
  </r>
  <r>
    <s v="ORD00847"/>
    <x v="123"/>
    <s v="C0089"/>
    <s v="Small Business"/>
    <s v="Chennai"/>
    <x v="9"/>
    <x v="1"/>
    <s v="UPI"/>
    <s v="P008"/>
    <x v="2"/>
    <x v="2"/>
    <n v="4"/>
    <n v="1799"/>
    <n v="0.15"/>
    <n v="6116.6"/>
    <n v="850"/>
    <n v="3400"/>
    <n v="100"/>
    <n v="2616.6"/>
  </r>
  <r>
    <s v="ORD00306"/>
    <x v="124"/>
    <s v="C0051"/>
    <s v="Corporate"/>
    <s v="Mumbai"/>
    <x v="3"/>
    <x v="2"/>
    <s v="UPI"/>
    <s v="P012"/>
    <x v="6"/>
    <x v="0"/>
    <n v="2"/>
    <n v="2199"/>
    <n v="0.15"/>
    <n v="3738.3"/>
    <n v="1250"/>
    <n v="2500"/>
    <n v="60"/>
    <n v="1178.3"/>
  </r>
  <r>
    <s v="ORD00892"/>
    <x v="124"/>
    <s v="C0268"/>
    <s v="Small Business"/>
    <s v="Pune"/>
    <x v="3"/>
    <x v="0"/>
    <s v="Cash on Delivery"/>
    <s v="P004"/>
    <x v="3"/>
    <x v="1"/>
    <n v="1"/>
    <n v="499"/>
    <n v="0.2"/>
    <n v="399.2"/>
    <n v="180"/>
    <n v="180"/>
    <n v="100"/>
    <n v="119.2"/>
  </r>
  <r>
    <s v="ORD00261"/>
    <x v="124"/>
    <s v="C0197"/>
    <s v="Consumer"/>
    <s v="Hyderabad"/>
    <x v="0"/>
    <x v="1"/>
    <s v="Debit Card"/>
    <s v="P008"/>
    <x v="2"/>
    <x v="2"/>
    <n v="1"/>
    <n v="1799"/>
    <n v="0"/>
    <n v="1799"/>
    <n v="850"/>
    <n v="850"/>
    <n v="0"/>
    <n v="949"/>
  </r>
  <r>
    <s v="ORD00365"/>
    <x v="124"/>
    <s v="C0308"/>
    <s v="Small Business"/>
    <s v="Lucknow"/>
    <x v="8"/>
    <x v="0"/>
    <s v="Cash on Delivery"/>
    <s v="P004"/>
    <x v="3"/>
    <x v="1"/>
    <n v="1"/>
    <n v="499"/>
    <n v="0"/>
    <n v="499"/>
    <n v="180"/>
    <n v="180"/>
    <n v="40"/>
    <n v="279"/>
  </r>
  <r>
    <s v="ORD00230"/>
    <x v="125"/>
    <s v="C0128"/>
    <s v="Consumer"/>
    <s v="Kolkata"/>
    <x v="7"/>
    <x v="1"/>
    <s v="Cash on Delivery"/>
    <s v="P002"/>
    <x v="5"/>
    <x v="0"/>
    <n v="1"/>
    <n v="2499"/>
    <n v="0.1"/>
    <n v="2249.1"/>
    <n v="1450"/>
    <n v="1450"/>
    <n v="100"/>
    <n v="699.1"/>
  </r>
  <r>
    <s v="ORD01452"/>
    <x v="125"/>
    <s v="C0307"/>
    <s v="Consumer"/>
    <s v="Mumbai"/>
    <x v="3"/>
    <x v="0"/>
    <s v="Cash on Delivery"/>
    <s v="P002"/>
    <x v="5"/>
    <x v="0"/>
    <n v="1"/>
    <n v="2499"/>
    <n v="0.15"/>
    <n v="2124.15"/>
    <n v="1450"/>
    <n v="1450"/>
    <n v="40"/>
    <n v="634.15"/>
  </r>
  <r>
    <s v="ORD00778"/>
    <x v="125"/>
    <s v="C0125"/>
    <s v="Small Business"/>
    <s v="Mumbai"/>
    <x v="3"/>
    <x v="0"/>
    <s v="Credit Card"/>
    <s v="P008"/>
    <x v="2"/>
    <x v="2"/>
    <n v="2"/>
    <n v="1799"/>
    <n v="0.1"/>
    <n v="3238.2"/>
    <n v="850"/>
    <n v="1700"/>
    <n v="100"/>
    <n v="1438.2"/>
  </r>
  <r>
    <s v="ORD00718"/>
    <x v="125"/>
    <s v="C0037"/>
    <s v="Corporate"/>
    <s v="Delhi"/>
    <x v="5"/>
    <x v="0"/>
    <s v="Debit Card"/>
    <s v="P012"/>
    <x v="6"/>
    <x v="0"/>
    <n v="3"/>
    <n v="2199"/>
    <n v="0.15"/>
    <n v="5607.45"/>
    <n v="1250"/>
    <n v="3750"/>
    <n v="40"/>
    <n v="1817.45"/>
  </r>
  <r>
    <s v="ORD00415"/>
    <x v="125"/>
    <s v="C0086"/>
    <s v="Small Business"/>
    <s v="Chennai"/>
    <x v="9"/>
    <x v="2"/>
    <s v="Debit Card"/>
    <s v="P006"/>
    <x v="8"/>
    <x v="3"/>
    <n v="3"/>
    <n v="2999"/>
    <n v="0"/>
    <n v="8997"/>
    <n v="1750"/>
    <n v="5250"/>
    <n v="60"/>
    <n v="3687"/>
  </r>
  <r>
    <s v="ORD00919"/>
    <x v="126"/>
    <s v="C0447"/>
    <s v="Corporate"/>
    <s v="Jaipur"/>
    <x v="4"/>
    <x v="0"/>
    <s v="Debit Card"/>
    <s v="P005"/>
    <x v="1"/>
    <x v="1"/>
    <n v="1"/>
    <n v="1299"/>
    <n v="0"/>
    <n v="1299"/>
    <n v="700"/>
    <n v="700"/>
    <n v="40"/>
    <n v="559"/>
  </r>
  <r>
    <s v="ORD00460"/>
    <x v="127"/>
    <s v="C0171"/>
    <s v="Small Business"/>
    <s v="Jaipur"/>
    <x v="4"/>
    <x v="2"/>
    <s v="Debit Card"/>
    <s v="P006"/>
    <x v="8"/>
    <x v="3"/>
    <n v="3"/>
    <n v="2999"/>
    <n v="0"/>
    <n v="8997"/>
    <n v="1750"/>
    <n v="5250"/>
    <n v="0"/>
    <n v="3747"/>
  </r>
  <r>
    <s v="ORD00237"/>
    <x v="128"/>
    <s v="C0024"/>
    <s v="Consumer"/>
    <s v="Mumbai"/>
    <x v="3"/>
    <x v="2"/>
    <s v="Debit Card"/>
    <s v="P004"/>
    <x v="3"/>
    <x v="1"/>
    <n v="2"/>
    <n v="499"/>
    <n v="0.1"/>
    <n v="898.2"/>
    <n v="180"/>
    <n v="360"/>
    <n v="100"/>
    <n v="438.2"/>
  </r>
  <r>
    <s v="ORD00739"/>
    <x v="128"/>
    <s v="C0044"/>
    <s v="Consumer"/>
    <s v="Delhi"/>
    <x v="5"/>
    <x v="0"/>
    <s v="Net Banking"/>
    <s v="P012"/>
    <x v="6"/>
    <x v="0"/>
    <n v="4"/>
    <n v="2199"/>
    <n v="0.2"/>
    <n v="7036.8"/>
    <n v="1250"/>
    <n v="5000"/>
    <n v="80"/>
    <n v="1956.8"/>
  </r>
  <r>
    <s v="ORD01316"/>
    <x v="129"/>
    <s v="C0169"/>
    <s v="Consumer"/>
    <s v="Ahmedabad"/>
    <x v="6"/>
    <x v="1"/>
    <s v="Cash on Delivery"/>
    <s v="P006"/>
    <x v="8"/>
    <x v="3"/>
    <n v="1"/>
    <n v="2999"/>
    <n v="0.05"/>
    <n v="2849.05"/>
    <n v="1750"/>
    <n v="1750"/>
    <n v="0"/>
    <n v="1099.05"/>
  </r>
  <r>
    <s v="ORD00590"/>
    <x v="130"/>
    <s v="C0256"/>
    <s v="Consumer"/>
    <s v="Kolkata"/>
    <x v="7"/>
    <x v="0"/>
    <s v="Cash on Delivery"/>
    <s v="P012"/>
    <x v="6"/>
    <x v="0"/>
    <n v="1"/>
    <n v="2199"/>
    <n v="0"/>
    <n v="2199"/>
    <n v="1250"/>
    <n v="1250"/>
    <n v="40"/>
    <n v="909"/>
  </r>
  <r>
    <s v="ORD00506"/>
    <x v="130"/>
    <s v="C0017"/>
    <s v="Corporate"/>
    <s v="Lucknow"/>
    <x v="8"/>
    <x v="1"/>
    <s v="UPI"/>
    <s v="P001"/>
    <x v="0"/>
    <x v="0"/>
    <n v="2"/>
    <n v="799"/>
    <n v="0.05"/>
    <n v="1518.1"/>
    <n v="420"/>
    <n v="840"/>
    <n v="40"/>
    <n v="638.1"/>
  </r>
  <r>
    <s v="ORD01336"/>
    <x v="131"/>
    <s v="C0009"/>
    <s v="Corporate"/>
    <s v="Bengaluru"/>
    <x v="2"/>
    <x v="2"/>
    <s v="Debit Card"/>
    <s v="P008"/>
    <x v="2"/>
    <x v="2"/>
    <n v="3"/>
    <n v="1799"/>
    <n v="0.2"/>
    <n v="4317.6000000000004"/>
    <n v="850"/>
    <n v="2550"/>
    <n v="0"/>
    <n v="1767.6"/>
  </r>
  <r>
    <s v="ORD00430"/>
    <x v="131"/>
    <s v="C0109"/>
    <s v="Consumer"/>
    <s v="Delhi"/>
    <x v="5"/>
    <x v="2"/>
    <s v="UPI"/>
    <s v="P002"/>
    <x v="5"/>
    <x v="0"/>
    <n v="4"/>
    <n v="2499"/>
    <n v="0.1"/>
    <n v="8996.4"/>
    <n v="1450"/>
    <n v="5800"/>
    <n v="40"/>
    <n v="3156.4"/>
  </r>
  <r>
    <s v="ORD00732"/>
    <x v="131"/>
    <s v="C0316"/>
    <s v="Small Business"/>
    <s v="Kolkata"/>
    <x v="7"/>
    <x v="1"/>
    <s v="Credit Card"/>
    <s v="P011"/>
    <x v="7"/>
    <x v="1"/>
    <n v="1"/>
    <n v="6999"/>
    <n v="0.15"/>
    <n v="5949.15"/>
    <n v="4900"/>
    <n v="4900"/>
    <n v="60"/>
    <n v="989.15"/>
  </r>
  <r>
    <s v="ORD00658"/>
    <x v="132"/>
    <s v="C0231"/>
    <s v="Corporate"/>
    <s v="Hyderabad"/>
    <x v="0"/>
    <x v="2"/>
    <s v="Debit Card"/>
    <s v="P005"/>
    <x v="1"/>
    <x v="1"/>
    <n v="1"/>
    <n v="1299"/>
    <n v="0.2"/>
    <n v="1039.2"/>
    <n v="700"/>
    <n v="700"/>
    <n v="0"/>
    <n v="339.2"/>
  </r>
  <r>
    <s v="ORD00044"/>
    <x v="132"/>
    <s v="C0184"/>
    <s v="Consumer"/>
    <s v="Mumbai"/>
    <x v="3"/>
    <x v="0"/>
    <s v="Credit Card"/>
    <s v="P007"/>
    <x v="4"/>
    <x v="3"/>
    <n v="1"/>
    <n v="999"/>
    <n v="0.05"/>
    <n v="949.05"/>
    <n v="520"/>
    <n v="520"/>
    <n v="60"/>
    <n v="369.05"/>
  </r>
  <r>
    <s v="ORD00486"/>
    <x v="133"/>
    <s v="C0330"/>
    <s v="Consumer"/>
    <s v="Mumbai"/>
    <x v="3"/>
    <x v="0"/>
    <s v="Net Banking"/>
    <s v="P009"/>
    <x v="9"/>
    <x v="2"/>
    <n v="4"/>
    <n v="599"/>
    <n v="0.15"/>
    <n v="2036.6"/>
    <n v="240"/>
    <n v="960"/>
    <n v="0"/>
    <n v="1076.5999999999999"/>
  </r>
  <r>
    <s v="ORD00937"/>
    <x v="133"/>
    <s v="C0219"/>
    <s v="Corporate"/>
    <s v="Lucknow"/>
    <x v="8"/>
    <x v="0"/>
    <s v="UPI"/>
    <s v="P003"/>
    <x v="10"/>
    <x v="0"/>
    <n v="2"/>
    <n v="1599"/>
    <n v="0.05"/>
    <n v="3038.1"/>
    <n v="900"/>
    <n v="1800"/>
    <n v="40"/>
    <n v="1198.0999999999999"/>
  </r>
  <r>
    <s v="ORD00922"/>
    <x v="133"/>
    <s v="C0084"/>
    <s v="Small Business"/>
    <s v="Hyderabad"/>
    <x v="0"/>
    <x v="1"/>
    <s v="Net Banking"/>
    <s v="P001"/>
    <x v="0"/>
    <x v="0"/>
    <n v="1"/>
    <n v="799"/>
    <n v="0"/>
    <n v="799"/>
    <n v="420"/>
    <n v="420"/>
    <n v="80"/>
    <n v="299"/>
  </r>
  <r>
    <s v="ORD01237"/>
    <x v="133"/>
    <s v="C0370"/>
    <s v="Corporate"/>
    <s v="Jaipur"/>
    <x v="4"/>
    <x v="2"/>
    <s v="UPI"/>
    <s v="P011"/>
    <x v="7"/>
    <x v="1"/>
    <n v="1"/>
    <n v="6999"/>
    <n v="0"/>
    <n v="6999"/>
    <n v="4900"/>
    <n v="4900"/>
    <n v="80"/>
    <n v="2019"/>
  </r>
  <r>
    <s v="ORD00673"/>
    <x v="134"/>
    <s v="C0316"/>
    <s v="Corporate"/>
    <s v="Bhopal"/>
    <x v="1"/>
    <x v="0"/>
    <s v="Cash on Delivery"/>
    <s v="P004"/>
    <x v="3"/>
    <x v="1"/>
    <n v="1"/>
    <n v="499"/>
    <n v="0"/>
    <n v="499"/>
    <n v="180"/>
    <n v="180"/>
    <n v="0"/>
    <n v="319"/>
  </r>
  <r>
    <s v="ORD01477"/>
    <x v="134"/>
    <s v="C0440"/>
    <s v="Corporate"/>
    <s v="Bhopal"/>
    <x v="1"/>
    <x v="1"/>
    <s v="Net Banking"/>
    <s v="P002"/>
    <x v="5"/>
    <x v="0"/>
    <n v="3"/>
    <n v="2499"/>
    <n v="0.1"/>
    <n v="6747.3"/>
    <n v="1450"/>
    <n v="4350"/>
    <n v="40"/>
    <n v="2357.3000000000002"/>
  </r>
  <r>
    <s v="ORD00650"/>
    <x v="135"/>
    <s v="C0295"/>
    <s v="Small Business"/>
    <s v="Bhopal"/>
    <x v="1"/>
    <x v="2"/>
    <s v="Credit Card"/>
    <s v="P001"/>
    <x v="0"/>
    <x v="0"/>
    <n v="2"/>
    <n v="799"/>
    <n v="0.1"/>
    <n v="1438.2"/>
    <n v="420"/>
    <n v="840"/>
    <n v="80"/>
    <n v="518.20000000000005"/>
  </r>
  <r>
    <s v="ORD00265"/>
    <x v="135"/>
    <s v="C0360"/>
    <s v="Small Business"/>
    <s v="Kolkata"/>
    <x v="7"/>
    <x v="1"/>
    <s v="Cash on Delivery"/>
    <s v="P008"/>
    <x v="2"/>
    <x v="2"/>
    <n v="3"/>
    <n v="1799"/>
    <n v="0.15"/>
    <n v="4587.45"/>
    <n v="850"/>
    <n v="2550"/>
    <n v="60"/>
    <n v="1977.45"/>
  </r>
  <r>
    <s v="ORD00738"/>
    <x v="136"/>
    <s v="C0006"/>
    <s v="Consumer"/>
    <s v="Delhi"/>
    <x v="5"/>
    <x v="0"/>
    <s v="UPI"/>
    <s v="P005"/>
    <x v="1"/>
    <x v="1"/>
    <n v="5"/>
    <n v="1299"/>
    <n v="0.2"/>
    <n v="5196"/>
    <n v="700"/>
    <n v="3500"/>
    <n v="40"/>
    <n v="1656"/>
  </r>
  <r>
    <s v="ORD00513"/>
    <x v="136"/>
    <s v="C0155"/>
    <s v="Corporate"/>
    <s v="Indore"/>
    <x v="1"/>
    <x v="0"/>
    <s v="Cash on Delivery"/>
    <s v="P006"/>
    <x v="8"/>
    <x v="3"/>
    <n v="2"/>
    <n v="2999"/>
    <n v="0.2"/>
    <n v="4798.3999999999996"/>
    <n v="1750"/>
    <n v="3500"/>
    <n v="100"/>
    <n v="1198.4000000000001"/>
  </r>
  <r>
    <s v="ORD01210"/>
    <x v="136"/>
    <s v="C0130"/>
    <s v="Small Business"/>
    <s v="Ahmedabad"/>
    <x v="6"/>
    <x v="1"/>
    <s v="Debit Card"/>
    <s v="P001"/>
    <x v="0"/>
    <x v="0"/>
    <n v="1"/>
    <n v="799"/>
    <n v="0.1"/>
    <n v="719.1"/>
    <n v="420"/>
    <n v="420"/>
    <n v="100"/>
    <n v="199.1"/>
  </r>
  <r>
    <s v="ORD01109"/>
    <x v="137"/>
    <s v="C0208"/>
    <s v="Corporate"/>
    <s v="Jaipur"/>
    <x v="4"/>
    <x v="1"/>
    <s v="Debit Card"/>
    <s v="P004"/>
    <x v="3"/>
    <x v="1"/>
    <n v="1"/>
    <n v="499"/>
    <n v="0.15"/>
    <n v="424.15"/>
    <n v="180"/>
    <n v="180"/>
    <n v="60"/>
    <n v="184.15"/>
  </r>
  <r>
    <s v="ORD01360"/>
    <x v="137"/>
    <s v="C0300"/>
    <s v="Consumer"/>
    <s v="Kolkata"/>
    <x v="7"/>
    <x v="1"/>
    <s v="Credit Card"/>
    <s v="P002"/>
    <x v="5"/>
    <x v="0"/>
    <n v="2"/>
    <n v="2499"/>
    <n v="0"/>
    <n v="4998"/>
    <n v="1450"/>
    <n v="2900"/>
    <n v="40"/>
    <n v="2058"/>
  </r>
  <r>
    <s v="ORD00582"/>
    <x v="138"/>
    <s v="C0004"/>
    <s v="Small Business"/>
    <s v="Bhopal"/>
    <x v="1"/>
    <x v="2"/>
    <s v="Net Banking"/>
    <s v="P002"/>
    <x v="5"/>
    <x v="0"/>
    <n v="1"/>
    <n v="2499"/>
    <n v="0"/>
    <n v="2499"/>
    <n v="1450"/>
    <n v="1450"/>
    <n v="80"/>
    <n v="969"/>
  </r>
  <r>
    <s v="ORD00527"/>
    <x v="139"/>
    <s v="C0152"/>
    <s v="Small Business"/>
    <s v="Lucknow"/>
    <x v="8"/>
    <x v="2"/>
    <s v="Debit Card"/>
    <s v="P009"/>
    <x v="9"/>
    <x v="2"/>
    <n v="1"/>
    <n v="599"/>
    <n v="0.2"/>
    <n v="479.2"/>
    <n v="240"/>
    <n v="240"/>
    <n v="80"/>
    <n v="159.19999999999999"/>
  </r>
  <r>
    <s v="ORD00984"/>
    <x v="139"/>
    <s v="C0057"/>
    <s v="Consumer"/>
    <s v="Kolkata"/>
    <x v="7"/>
    <x v="1"/>
    <s v="Cash on Delivery"/>
    <s v="P009"/>
    <x v="9"/>
    <x v="2"/>
    <n v="1"/>
    <n v="599"/>
    <n v="0"/>
    <n v="599"/>
    <n v="240"/>
    <n v="240"/>
    <n v="100"/>
    <n v="259"/>
  </r>
  <r>
    <s v="ORD00957"/>
    <x v="139"/>
    <s v="C0121"/>
    <s v="Consumer"/>
    <s v="Hyderabad"/>
    <x v="0"/>
    <x v="0"/>
    <s v="UPI"/>
    <s v="P010"/>
    <x v="11"/>
    <x v="4"/>
    <n v="2"/>
    <n v="299"/>
    <n v="0.1"/>
    <n v="538.20000000000005"/>
    <n v="110"/>
    <n v="220"/>
    <n v="80"/>
    <n v="238.2"/>
  </r>
  <r>
    <s v="ORD00784"/>
    <x v="140"/>
    <s v="C0092"/>
    <s v="Consumer"/>
    <s v="Mumbai"/>
    <x v="3"/>
    <x v="0"/>
    <s v="Cash on Delivery"/>
    <s v="P001"/>
    <x v="0"/>
    <x v="0"/>
    <n v="3"/>
    <n v="799"/>
    <n v="0"/>
    <n v="2397"/>
    <n v="420"/>
    <n v="1260"/>
    <n v="0"/>
    <n v="1137"/>
  </r>
  <r>
    <s v="ORD00671"/>
    <x v="140"/>
    <s v="C0163"/>
    <s v="Consumer"/>
    <s v="Delhi"/>
    <x v="5"/>
    <x v="0"/>
    <s v="UPI"/>
    <s v="P006"/>
    <x v="8"/>
    <x v="3"/>
    <n v="1"/>
    <n v="2999"/>
    <n v="0.15"/>
    <n v="2549.15"/>
    <n v="1750"/>
    <n v="1750"/>
    <n v="0"/>
    <n v="799.15"/>
  </r>
  <r>
    <s v="ORD00356"/>
    <x v="140"/>
    <s v="C0068"/>
    <s v="Small Business"/>
    <s v="Ahmedabad"/>
    <x v="6"/>
    <x v="1"/>
    <s v="Credit Card"/>
    <s v="P008"/>
    <x v="2"/>
    <x v="2"/>
    <n v="2"/>
    <n v="1799"/>
    <n v="0.1"/>
    <n v="3238.2"/>
    <n v="850"/>
    <n v="1700"/>
    <n v="40"/>
    <n v="1498.2"/>
  </r>
  <r>
    <s v="ORD00124"/>
    <x v="140"/>
    <s v="C0328"/>
    <s v="Corporate"/>
    <s v="Hyderabad"/>
    <x v="0"/>
    <x v="0"/>
    <s v="Debit Card"/>
    <s v="P002"/>
    <x v="5"/>
    <x v="0"/>
    <n v="2"/>
    <n v="2499"/>
    <n v="0.05"/>
    <n v="4748.1000000000004"/>
    <n v="1450"/>
    <n v="2900"/>
    <n v="100"/>
    <n v="1748.1"/>
  </r>
  <r>
    <s v="ORD01072"/>
    <x v="141"/>
    <s v="C0258"/>
    <s v="Small Business"/>
    <s v="Bengaluru"/>
    <x v="2"/>
    <x v="0"/>
    <s v="Net Banking"/>
    <s v="P010"/>
    <x v="11"/>
    <x v="4"/>
    <n v="2"/>
    <n v="299"/>
    <n v="0.05"/>
    <n v="568.1"/>
    <n v="110"/>
    <n v="220"/>
    <n v="100"/>
    <n v="248.1"/>
  </r>
  <r>
    <s v="ORD00515"/>
    <x v="142"/>
    <s v="C0114"/>
    <s v="Consumer"/>
    <s v="Chennai"/>
    <x v="9"/>
    <x v="0"/>
    <s v="Debit Card"/>
    <s v="P007"/>
    <x v="4"/>
    <x v="3"/>
    <n v="2"/>
    <n v="999"/>
    <n v="0.1"/>
    <n v="1798.2"/>
    <n v="520"/>
    <n v="1040"/>
    <n v="0"/>
    <n v="758.2"/>
  </r>
  <r>
    <s v="ORD00900"/>
    <x v="143"/>
    <s v="C0141"/>
    <s v="Consumer"/>
    <s v="Mumbai"/>
    <x v="3"/>
    <x v="1"/>
    <s v="Net Banking"/>
    <s v="P008"/>
    <x v="2"/>
    <x v="2"/>
    <n v="2"/>
    <n v="1799"/>
    <n v="0.2"/>
    <n v="2878.4"/>
    <n v="850"/>
    <n v="1700"/>
    <n v="80"/>
    <n v="1098.4000000000001"/>
  </r>
  <r>
    <s v="ORD00853"/>
    <x v="143"/>
    <s v="C0292"/>
    <s v="Consumer"/>
    <s v="Lucknow"/>
    <x v="8"/>
    <x v="2"/>
    <s v="Cash on Delivery"/>
    <s v="P009"/>
    <x v="9"/>
    <x v="2"/>
    <n v="3"/>
    <n v="599"/>
    <n v="0.15"/>
    <n v="1527.45"/>
    <n v="240"/>
    <n v="720"/>
    <n v="40"/>
    <n v="767.45"/>
  </r>
  <r>
    <s v="ORD00956"/>
    <x v="144"/>
    <s v="C0248"/>
    <s v="Consumer"/>
    <s v="Indore"/>
    <x v="1"/>
    <x v="2"/>
    <s v="Credit Card"/>
    <s v="P010"/>
    <x v="11"/>
    <x v="4"/>
    <n v="1"/>
    <n v="299"/>
    <n v="0.2"/>
    <n v="239.2"/>
    <n v="110"/>
    <n v="110"/>
    <n v="0"/>
    <n v="129.19999999999999"/>
  </r>
  <r>
    <s v="ORD01473"/>
    <x v="144"/>
    <s v="C0128"/>
    <s v="Consumer"/>
    <s v="Ahmedabad"/>
    <x v="6"/>
    <x v="2"/>
    <s v="UPI"/>
    <s v="P006"/>
    <x v="8"/>
    <x v="3"/>
    <n v="1"/>
    <n v="2999"/>
    <n v="0"/>
    <n v="2999"/>
    <n v="1750"/>
    <n v="1750"/>
    <n v="100"/>
    <n v="1149"/>
  </r>
  <r>
    <s v="ORD01083"/>
    <x v="144"/>
    <s v="C0151"/>
    <s v="Consumer"/>
    <s v="Delhi"/>
    <x v="5"/>
    <x v="0"/>
    <s v="Net Banking"/>
    <s v="P003"/>
    <x v="10"/>
    <x v="0"/>
    <n v="3"/>
    <n v="1599"/>
    <n v="0.15"/>
    <n v="4077.45"/>
    <n v="900"/>
    <n v="2700"/>
    <n v="0"/>
    <n v="1377.45"/>
  </r>
  <r>
    <s v="ORD00687"/>
    <x v="145"/>
    <s v="C0158"/>
    <s v="Corporate"/>
    <s v="Kolkata"/>
    <x v="7"/>
    <x v="0"/>
    <s v="Net Banking"/>
    <s v="P003"/>
    <x v="10"/>
    <x v="0"/>
    <n v="1"/>
    <n v="1599"/>
    <n v="0.2"/>
    <n v="1279.2"/>
    <n v="900"/>
    <n v="900"/>
    <n v="0"/>
    <n v="379.2"/>
  </r>
  <r>
    <s v="ORD01111"/>
    <x v="145"/>
    <s v="C0364"/>
    <s v="Corporate"/>
    <s v="Lucknow"/>
    <x v="8"/>
    <x v="0"/>
    <s v="Debit Card"/>
    <s v="P004"/>
    <x v="3"/>
    <x v="1"/>
    <n v="3"/>
    <n v="499"/>
    <n v="0.05"/>
    <n v="1422.15"/>
    <n v="180"/>
    <n v="540"/>
    <n v="60"/>
    <n v="822.15"/>
  </r>
  <r>
    <s v="ORD00076"/>
    <x v="146"/>
    <s v="C0347"/>
    <s v="Corporate"/>
    <s v="Bhopal"/>
    <x v="1"/>
    <x v="1"/>
    <s v="Credit Card"/>
    <s v="P005"/>
    <x v="1"/>
    <x v="1"/>
    <n v="1"/>
    <n v="1299"/>
    <n v="0"/>
    <n v="1299"/>
    <n v="700"/>
    <n v="700"/>
    <n v="60"/>
    <n v="539"/>
  </r>
  <r>
    <s v="ORD00375"/>
    <x v="146"/>
    <s v="C0133"/>
    <s v="Consumer"/>
    <s v="Ahmedabad"/>
    <x v="6"/>
    <x v="1"/>
    <s v="Credit Card"/>
    <s v="P008"/>
    <x v="2"/>
    <x v="2"/>
    <n v="4"/>
    <n v="1799"/>
    <n v="0.15"/>
    <n v="6116.6"/>
    <n v="850"/>
    <n v="3400"/>
    <n v="100"/>
    <n v="2616.6"/>
  </r>
  <r>
    <s v="ORD01169"/>
    <x v="146"/>
    <s v="C0014"/>
    <s v="Small Business"/>
    <s v="Kolkata"/>
    <x v="7"/>
    <x v="2"/>
    <s v="UPI"/>
    <s v="P007"/>
    <x v="4"/>
    <x v="3"/>
    <n v="3"/>
    <n v="999"/>
    <n v="0.05"/>
    <n v="2847.15"/>
    <n v="520"/>
    <n v="1560"/>
    <n v="80"/>
    <n v="1207.1500000000001"/>
  </r>
  <r>
    <s v="ORD00968"/>
    <x v="147"/>
    <s v="C0030"/>
    <s v="Small Business"/>
    <s v="Bhopal"/>
    <x v="1"/>
    <x v="0"/>
    <s v="Cash on Delivery"/>
    <s v="P007"/>
    <x v="4"/>
    <x v="3"/>
    <n v="1"/>
    <n v="999"/>
    <n v="0"/>
    <n v="999"/>
    <n v="520"/>
    <n v="520"/>
    <n v="40"/>
    <n v="439"/>
  </r>
  <r>
    <s v="ORD00021"/>
    <x v="148"/>
    <s v="C0277"/>
    <s v="Small Business"/>
    <s v="Bengaluru"/>
    <x v="2"/>
    <x v="0"/>
    <s v="Credit Card"/>
    <s v="P005"/>
    <x v="1"/>
    <x v="1"/>
    <n v="2"/>
    <n v="1299"/>
    <n v="0.15"/>
    <n v="2208.3000000000002"/>
    <n v="700"/>
    <n v="1400"/>
    <n v="80"/>
    <n v="728.3"/>
  </r>
  <r>
    <s v="ORD00070"/>
    <x v="148"/>
    <s v="C0202"/>
    <s v="Small Business"/>
    <s v="Mumbai"/>
    <x v="3"/>
    <x v="0"/>
    <s v="UPI"/>
    <s v="P008"/>
    <x v="2"/>
    <x v="2"/>
    <n v="4"/>
    <n v="1799"/>
    <n v="0.15"/>
    <n v="6116.6"/>
    <n v="850"/>
    <n v="3400"/>
    <n v="100"/>
    <n v="2616.6"/>
  </r>
  <r>
    <s v="ORD01488"/>
    <x v="149"/>
    <s v="C0254"/>
    <s v="Consumer"/>
    <s v="Kolkata"/>
    <x v="7"/>
    <x v="0"/>
    <s v="Cash on Delivery"/>
    <s v="P004"/>
    <x v="3"/>
    <x v="1"/>
    <n v="2"/>
    <n v="499"/>
    <n v="0"/>
    <n v="998"/>
    <n v="180"/>
    <n v="360"/>
    <n v="0"/>
    <n v="638"/>
  </r>
  <r>
    <s v="ORD00378"/>
    <x v="149"/>
    <s v="C0371"/>
    <s v="Consumer"/>
    <s v="Indore"/>
    <x v="1"/>
    <x v="2"/>
    <s v="Cash on Delivery"/>
    <s v="P006"/>
    <x v="8"/>
    <x v="3"/>
    <n v="1"/>
    <n v="2999"/>
    <n v="0"/>
    <n v="2999"/>
    <n v="1750"/>
    <n v="1750"/>
    <n v="100"/>
    <n v="1149"/>
  </r>
  <r>
    <s v="ORD01212"/>
    <x v="149"/>
    <s v="C0290"/>
    <s v="Consumer"/>
    <s v="Mumbai"/>
    <x v="3"/>
    <x v="0"/>
    <s v="Credit Card"/>
    <s v="P010"/>
    <x v="11"/>
    <x v="4"/>
    <n v="1"/>
    <n v="299"/>
    <n v="0"/>
    <n v="299"/>
    <n v="110"/>
    <n v="110"/>
    <n v="60"/>
    <n v="129"/>
  </r>
  <r>
    <s v="ORD00754"/>
    <x v="150"/>
    <s v="C0386"/>
    <s v="Small Business"/>
    <s v="Ahmedabad"/>
    <x v="6"/>
    <x v="2"/>
    <s v="Net Banking"/>
    <s v="P008"/>
    <x v="2"/>
    <x v="2"/>
    <n v="1"/>
    <n v="1799"/>
    <n v="0.05"/>
    <n v="1709.05"/>
    <n v="850"/>
    <n v="850"/>
    <n v="80"/>
    <n v="779.05"/>
  </r>
  <r>
    <s v="ORD01084"/>
    <x v="151"/>
    <s v="C0226"/>
    <s v="Corporate"/>
    <s v="Delhi"/>
    <x v="5"/>
    <x v="2"/>
    <s v="Credit Card"/>
    <s v="P002"/>
    <x v="5"/>
    <x v="0"/>
    <n v="2"/>
    <n v="2499"/>
    <n v="0"/>
    <n v="4998"/>
    <n v="1450"/>
    <n v="2900"/>
    <n v="60"/>
    <n v="2038"/>
  </r>
  <r>
    <s v="ORD00468"/>
    <x v="152"/>
    <s v="C0449"/>
    <s v="Small Business"/>
    <s v="Kolkata"/>
    <x v="7"/>
    <x v="1"/>
    <s v="Cash on Delivery"/>
    <s v="P002"/>
    <x v="5"/>
    <x v="0"/>
    <n v="1"/>
    <n v="2499"/>
    <n v="0.2"/>
    <n v="1999.2"/>
    <n v="1450"/>
    <n v="1450"/>
    <n v="0"/>
    <n v="549.20000000000005"/>
  </r>
  <r>
    <s v="ORD01265"/>
    <x v="152"/>
    <s v="C0181"/>
    <s v="Consumer"/>
    <s v="Chennai"/>
    <x v="9"/>
    <x v="2"/>
    <s v="Credit Card"/>
    <s v="P005"/>
    <x v="1"/>
    <x v="1"/>
    <n v="1"/>
    <n v="1299"/>
    <n v="0.05"/>
    <n v="1234.05"/>
    <n v="700"/>
    <n v="700"/>
    <n v="100"/>
    <n v="434.05"/>
  </r>
  <r>
    <s v="ORD00314"/>
    <x v="152"/>
    <s v="C0033"/>
    <s v="Consumer"/>
    <s v="Delhi"/>
    <x v="5"/>
    <x v="1"/>
    <s v="Debit Card"/>
    <s v="P003"/>
    <x v="10"/>
    <x v="0"/>
    <n v="1"/>
    <n v="1599"/>
    <n v="0.05"/>
    <n v="1519.05"/>
    <n v="900"/>
    <n v="900"/>
    <n v="80"/>
    <n v="539.04999999999995"/>
  </r>
  <r>
    <s v="ORD00603"/>
    <x v="153"/>
    <s v="C0240"/>
    <s v="Small Business"/>
    <s v="Jaipur"/>
    <x v="4"/>
    <x v="1"/>
    <s v="Cash on Delivery"/>
    <s v="P001"/>
    <x v="0"/>
    <x v="0"/>
    <n v="1"/>
    <n v="799"/>
    <n v="0.05"/>
    <n v="759.05"/>
    <n v="420"/>
    <n v="420"/>
    <n v="60"/>
    <n v="279.05"/>
  </r>
  <r>
    <s v="ORD01376"/>
    <x v="153"/>
    <s v="C0246"/>
    <s v="Corporate"/>
    <s v="Jaipur"/>
    <x v="4"/>
    <x v="1"/>
    <s v="UPI"/>
    <s v="P009"/>
    <x v="9"/>
    <x v="2"/>
    <n v="3"/>
    <n v="599"/>
    <n v="0.15"/>
    <n v="1527.45"/>
    <n v="240"/>
    <n v="720"/>
    <n v="40"/>
    <n v="767.45"/>
  </r>
  <r>
    <s v="ORD00798"/>
    <x v="153"/>
    <s v="C0439"/>
    <s v="Small Business"/>
    <s v="Kolkata"/>
    <x v="7"/>
    <x v="1"/>
    <s v="Credit Card"/>
    <s v="P010"/>
    <x v="11"/>
    <x v="4"/>
    <n v="5"/>
    <n v="299"/>
    <n v="0"/>
    <n v="1495"/>
    <n v="110"/>
    <n v="550"/>
    <n v="0"/>
    <n v="945"/>
  </r>
  <r>
    <s v="ORD00122"/>
    <x v="153"/>
    <s v="C0124"/>
    <s v="Corporate"/>
    <s v="Indore"/>
    <x v="1"/>
    <x v="0"/>
    <s v="Credit Card"/>
    <s v="P003"/>
    <x v="10"/>
    <x v="0"/>
    <n v="1"/>
    <n v="1599"/>
    <n v="0.1"/>
    <n v="1439.1"/>
    <n v="900"/>
    <n v="900"/>
    <n v="100"/>
    <n v="439.1"/>
  </r>
  <r>
    <s v="ORD01345"/>
    <x v="153"/>
    <s v="C0234"/>
    <s v="Consumer"/>
    <s v="Chennai"/>
    <x v="9"/>
    <x v="2"/>
    <s v="Net Banking"/>
    <s v="P006"/>
    <x v="8"/>
    <x v="3"/>
    <n v="2"/>
    <n v="2999"/>
    <n v="0"/>
    <n v="5998"/>
    <n v="1750"/>
    <n v="3500"/>
    <n v="40"/>
    <n v="2458"/>
  </r>
  <r>
    <s v="ORD01174"/>
    <x v="153"/>
    <s v="C0413"/>
    <s v="Small Business"/>
    <s v="Chennai"/>
    <x v="9"/>
    <x v="0"/>
    <s v="Cash on Delivery"/>
    <s v="P006"/>
    <x v="8"/>
    <x v="3"/>
    <n v="4"/>
    <n v="2999"/>
    <n v="0.1"/>
    <n v="10796.4"/>
    <n v="1750"/>
    <n v="7000"/>
    <n v="40"/>
    <n v="3756.4"/>
  </r>
  <r>
    <s v="ORD01162"/>
    <x v="154"/>
    <s v="C0154"/>
    <s v="Consumer"/>
    <s v="Bengaluru"/>
    <x v="2"/>
    <x v="0"/>
    <s v="Debit Card"/>
    <s v="P007"/>
    <x v="4"/>
    <x v="3"/>
    <n v="5"/>
    <n v="999"/>
    <n v="0.2"/>
    <n v="3996"/>
    <n v="520"/>
    <n v="2600"/>
    <n v="0"/>
    <n v="1396"/>
  </r>
  <r>
    <s v="ORD00246"/>
    <x v="155"/>
    <s v="C0347"/>
    <s v="Small Business"/>
    <s v="Chennai"/>
    <x v="9"/>
    <x v="0"/>
    <s v="Debit Card"/>
    <s v="P008"/>
    <x v="2"/>
    <x v="2"/>
    <n v="4"/>
    <n v="1799"/>
    <n v="0.05"/>
    <n v="6836.2"/>
    <n v="850"/>
    <n v="3400"/>
    <n v="100"/>
    <n v="3336.2"/>
  </r>
  <r>
    <s v="ORD00906"/>
    <x v="155"/>
    <s v="C0044"/>
    <s v="Corporate"/>
    <s v="Bengaluru"/>
    <x v="2"/>
    <x v="1"/>
    <s v="Credit Card"/>
    <s v="P011"/>
    <x v="7"/>
    <x v="1"/>
    <n v="2"/>
    <n v="6999"/>
    <n v="0.05"/>
    <n v="13298.1"/>
    <n v="4900"/>
    <n v="9800"/>
    <n v="60"/>
    <n v="3438.1"/>
  </r>
  <r>
    <s v="ORD00171"/>
    <x v="155"/>
    <s v="C0396"/>
    <s v="Small Business"/>
    <s v="Delhi"/>
    <x v="5"/>
    <x v="1"/>
    <s v="Net Banking"/>
    <s v="P010"/>
    <x v="11"/>
    <x v="4"/>
    <n v="1"/>
    <n v="299"/>
    <n v="0.2"/>
    <n v="239.2"/>
    <n v="110"/>
    <n v="110"/>
    <n v="0"/>
    <n v="129.19999999999999"/>
  </r>
  <r>
    <s v="ORD00646"/>
    <x v="155"/>
    <s v="C0305"/>
    <s v="Small Business"/>
    <s v="Pune"/>
    <x v="3"/>
    <x v="1"/>
    <s v="UPI"/>
    <s v="P008"/>
    <x v="2"/>
    <x v="2"/>
    <n v="3"/>
    <n v="1799"/>
    <n v="0.2"/>
    <n v="4317.6000000000004"/>
    <n v="850"/>
    <n v="2550"/>
    <n v="100"/>
    <n v="1667.6"/>
  </r>
  <r>
    <s v="ORD00130"/>
    <x v="156"/>
    <s v="C0257"/>
    <s v="Corporate"/>
    <s v="Lucknow"/>
    <x v="8"/>
    <x v="2"/>
    <s v="Debit Card"/>
    <s v="P004"/>
    <x v="3"/>
    <x v="1"/>
    <n v="1"/>
    <n v="499"/>
    <n v="0.15"/>
    <n v="424.15"/>
    <n v="180"/>
    <n v="180"/>
    <n v="60"/>
    <n v="184.15"/>
  </r>
  <r>
    <s v="ORD00773"/>
    <x v="157"/>
    <s v="C0357"/>
    <s v="Corporate"/>
    <s v="Hyderabad"/>
    <x v="0"/>
    <x v="2"/>
    <s v="Debit Card"/>
    <s v="P009"/>
    <x v="9"/>
    <x v="2"/>
    <n v="1"/>
    <n v="599"/>
    <n v="0.1"/>
    <n v="539.1"/>
    <n v="240"/>
    <n v="240"/>
    <n v="40"/>
    <n v="259.10000000000002"/>
  </r>
  <r>
    <s v="ORD00406"/>
    <x v="157"/>
    <s v="C0015"/>
    <s v="Small Business"/>
    <s v="Bhopal"/>
    <x v="1"/>
    <x v="0"/>
    <s v="Debit Card"/>
    <s v="P004"/>
    <x v="3"/>
    <x v="1"/>
    <n v="2"/>
    <n v="499"/>
    <n v="0.2"/>
    <n v="798.4"/>
    <n v="180"/>
    <n v="360"/>
    <n v="60"/>
    <n v="378.4"/>
  </r>
  <r>
    <s v="ORD01225"/>
    <x v="158"/>
    <s v="C0037"/>
    <s v="Corporate"/>
    <s v="Delhi"/>
    <x v="5"/>
    <x v="2"/>
    <s v="Net Banking"/>
    <s v="P007"/>
    <x v="4"/>
    <x v="3"/>
    <n v="2"/>
    <n v="999"/>
    <n v="0"/>
    <n v="1998"/>
    <n v="520"/>
    <n v="1040"/>
    <n v="0"/>
    <n v="958"/>
  </r>
  <r>
    <s v="ORD01068"/>
    <x v="158"/>
    <s v="C0096"/>
    <s v="Consumer"/>
    <s v="Mumbai"/>
    <x v="3"/>
    <x v="2"/>
    <s v="Net Banking"/>
    <s v="P001"/>
    <x v="0"/>
    <x v="0"/>
    <n v="3"/>
    <n v="799"/>
    <n v="0.15"/>
    <n v="2037.45"/>
    <n v="420"/>
    <n v="1260"/>
    <n v="80"/>
    <n v="697.45"/>
  </r>
  <r>
    <s v="ORD00046"/>
    <x v="158"/>
    <s v="C0411"/>
    <s v="Small Business"/>
    <s v="Kolkata"/>
    <x v="7"/>
    <x v="0"/>
    <s v="Credit Card"/>
    <s v="P007"/>
    <x v="4"/>
    <x v="3"/>
    <n v="1"/>
    <n v="999"/>
    <n v="0.2"/>
    <n v="799.2"/>
    <n v="520"/>
    <n v="520"/>
    <n v="60"/>
    <n v="219.2"/>
  </r>
  <r>
    <s v="ORD00866"/>
    <x v="159"/>
    <s v="C0319"/>
    <s v="Small Business"/>
    <s v="Hyderabad"/>
    <x v="0"/>
    <x v="2"/>
    <s v="UPI"/>
    <s v="P007"/>
    <x v="4"/>
    <x v="3"/>
    <n v="2"/>
    <n v="999"/>
    <n v="0.05"/>
    <n v="1898.1"/>
    <n v="520"/>
    <n v="1040"/>
    <n v="40"/>
    <n v="818.1"/>
  </r>
  <r>
    <s v="ORD00860"/>
    <x v="159"/>
    <s v="C0225"/>
    <s v="Small Business"/>
    <s v="Kolkata"/>
    <x v="7"/>
    <x v="0"/>
    <s v="UPI"/>
    <s v="P001"/>
    <x v="0"/>
    <x v="0"/>
    <n v="5"/>
    <n v="799"/>
    <n v="0.1"/>
    <n v="3595.5"/>
    <n v="420"/>
    <n v="2100"/>
    <n v="0"/>
    <n v="1495.5"/>
  </r>
  <r>
    <s v="ORD00380"/>
    <x v="159"/>
    <s v="C0165"/>
    <s v="Consumer"/>
    <s v="Bengaluru"/>
    <x v="2"/>
    <x v="1"/>
    <s v="Debit Card"/>
    <s v="P001"/>
    <x v="0"/>
    <x v="0"/>
    <n v="2"/>
    <n v="799"/>
    <n v="0.2"/>
    <n v="1278.4000000000001"/>
    <n v="420"/>
    <n v="840"/>
    <n v="80"/>
    <n v="358.4"/>
  </r>
  <r>
    <s v="ORD01305"/>
    <x v="160"/>
    <s v="C0311"/>
    <s v="Consumer"/>
    <s v="Indore"/>
    <x v="1"/>
    <x v="2"/>
    <s v="Debit Card"/>
    <s v="P005"/>
    <x v="1"/>
    <x v="1"/>
    <n v="1"/>
    <n v="1299"/>
    <n v="0"/>
    <n v="1299"/>
    <n v="700"/>
    <n v="700"/>
    <n v="100"/>
    <n v="499"/>
  </r>
  <r>
    <s v="ORD00856"/>
    <x v="161"/>
    <s v="C0117"/>
    <s v="Corporate"/>
    <s v="Lucknow"/>
    <x v="8"/>
    <x v="2"/>
    <s v="Debit Card"/>
    <s v="P006"/>
    <x v="8"/>
    <x v="3"/>
    <n v="5"/>
    <n v="2999"/>
    <n v="0.1"/>
    <n v="13495.5"/>
    <n v="1750"/>
    <n v="8750"/>
    <n v="40"/>
    <n v="4705.5"/>
  </r>
  <r>
    <s v="ORD00455"/>
    <x v="161"/>
    <s v="C0414"/>
    <s v="Small Business"/>
    <s v="Ahmedabad"/>
    <x v="6"/>
    <x v="2"/>
    <s v="Debit Card"/>
    <s v="P005"/>
    <x v="1"/>
    <x v="1"/>
    <n v="1"/>
    <n v="1299"/>
    <n v="0"/>
    <n v="1299"/>
    <n v="700"/>
    <n v="700"/>
    <n v="60"/>
    <n v="539"/>
  </r>
  <r>
    <s v="ORD00820"/>
    <x v="162"/>
    <s v="C0122"/>
    <s v="Consumer"/>
    <s v="Delhi"/>
    <x v="5"/>
    <x v="2"/>
    <s v="Debit Card"/>
    <s v="P003"/>
    <x v="10"/>
    <x v="0"/>
    <n v="3"/>
    <n v="1599"/>
    <n v="0.2"/>
    <n v="3837.6"/>
    <n v="900"/>
    <n v="2700"/>
    <n v="40"/>
    <n v="1097.5999999999999"/>
  </r>
  <r>
    <s v="ORD00092"/>
    <x v="163"/>
    <s v="C0206"/>
    <s v="Corporate"/>
    <s v="Pune"/>
    <x v="3"/>
    <x v="2"/>
    <s v="Cash on Delivery"/>
    <s v="P001"/>
    <x v="0"/>
    <x v="0"/>
    <n v="1"/>
    <n v="799"/>
    <n v="0.1"/>
    <n v="719.1"/>
    <n v="420"/>
    <n v="420"/>
    <n v="0"/>
    <n v="299.10000000000002"/>
  </r>
  <r>
    <s v="ORD01426"/>
    <x v="163"/>
    <s v="C0022"/>
    <s v="Small Business"/>
    <s v="Chennai"/>
    <x v="9"/>
    <x v="0"/>
    <s v="Credit Card"/>
    <s v="P011"/>
    <x v="7"/>
    <x v="1"/>
    <n v="2"/>
    <n v="6999"/>
    <n v="0.1"/>
    <n v="12598.2"/>
    <n v="4900"/>
    <n v="9800"/>
    <n v="100"/>
    <n v="2698.2"/>
  </r>
  <r>
    <s v="ORD00852"/>
    <x v="164"/>
    <s v="C0143"/>
    <s v="Small Business"/>
    <s v="Ahmedabad"/>
    <x v="6"/>
    <x v="1"/>
    <s v="Debit Card"/>
    <s v="P011"/>
    <x v="7"/>
    <x v="1"/>
    <n v="1"/>
    <n v="6999"/>
    <n v="0"/>
    <n v="6999"/>
    <n v="4900"/>
    <n v="4900"/>
    <n v="40"/>
    <n v="2059"/>
  </r>
  <r>
    <s v="ORD01224"/>
    <x v="164"/>
    <s v="C0145"/>
    <s v="Consumer"/>
    <s v="Indore"/>
    <x v="1"/>
    <x v="1"/>
    <s v="Credit Card"/>
    <s v="P003"/>
    <x v="10"/>
    <x v="0"/>
    <n v="1"/>
    <n v="1599"/>
    <n v="0.1"/>
    <n v="1439.1"/>
    <n v="900"/>
    <n v="900"/>
    <n v="40"/>
    <n v="499.1"/>
  </r>
  <r>
    <s v="ORD00664"/>
    <x v="165"/>
    <s v="C0012"/>
    <s v="Consumer"/>
    <s v="Ahmedabad"/>
    <x v="6"/>
    <x v="2"/>
    <s v="Cash on Delivery"/>
    <s v="P004"/>
    <x v="3"/>
    <x v="1"/>
    <n v="2"/>
    <n v="499"/>
    <n v="0.1"/>
    <n v="898.2"/>
    <n v="180"/>
    <n v="360"/>
    <n v="100"/>
    <n v="438.2"/>
  </r>
  <r>
    <s v="ORD00339"/>
    <x v="165"/>
    <s v="C0086"/>
    <s v="Corporate"/>
    <s v="Lucknow"/>
    <x v="8"/>
    <x v="1"/>
    <s v="Credit Card"/>
    <s v="P008"/>
    <x v="2"/>
    <x v="2"/>
    <n v="2"/>
    <n v="1799"/>
    <n v="0.2"/>
    <n v="2878.4"/>
    <n v="850"/>
    <n v="1700"/>
    <n v="40"/>
    <n v="1138.4000000000001"/>
  </r>
  <r>
    <s v="ORD00340"/>
    <x v="166"/>
    <s v="C0005"/>
    <s v="Corporate"/>
    <s v="Chennai"/>
    <x v="9"/>
    <x v="2"/>
    <s v="Credit Card"/>
    <s v="P006"/>
    <x v="8"/>
    <x v="3"/>
    <n v="3"/>
    <n v="2999"/>
    <n v="0.15"/>
    <n v="7647.45"/>
    <n v="1750"/>
    <n v="5250"/>
    <n v="0"/>
    <n v="2397.4499999999998"/>
  </r>
  <r>
    <s v="ORD00511"/>
    <x v="166"/>
    <s v="C0220"/>
    <s v="Corporate"/>
    <s v="Mumbai"/>
    <x v="3"/>
    <x v="0"/>
    <s v="Debit Card"/>
    <s v="P003"/>
    <x v="10"/>
    <x v="0"/>
    <n v="3"/>
    <n v="1599"/>
    <n v="0"/>
    <n v="4797"/>
    <n v="900"/>
    <n v="2700"/>
    <n v="80"/>
    <n v="2017"/>
  </r>
  <r>
    <s v="ORD00813"/>
    <x v="167"/>
    <s v="C0040"/>
    <s v="Consumer"/>
    <s v="Hyderabad"/>
    <x v="0"/>
    <x v="2"/>
    <s v="Debit Card"/>
    <s v="P008"/>
    <x v="2"/>
    <x v="2"/>
    <n v="1"/>
    <n v="1799"/>
    <n v="0.1"/>
    <n v="1619.1"/>
    <n v="850"/>
    <n v="850"/>
    <n v="40"/>
    <n v="729.1"/>
  </r>
  <r>
    <s v="ORD00451"/>
    <x v="167"/>
    <s v="C0207"/>
    <s v="Small Business"/>
    <s v="Bhopal"/>
    <x v="1"/>
    <x v="1"/>
    <s v="Credit Card"/>
    <s v="P003"/>
    <x v="10"/>
    <x v="0"/>
    <n v="2"/>
    <n v="1599"/>
    <n v="0"/>
    <n v="3198"/>
    <n v="900"/>
    <n v="1800"/>
    <n v="0"/>
    <n v="1398"/>
  </r>
  <r>
    <s v="ORD01458"/>
    <x v="168"/>
    <s v="C0322"/>
    <s v="Consumer"/>
    <s v="Indore"/>
    <x v="1"/>
    <x v="2"/>
    <s v="Credit Card"/>
    <s v="P009"/>
    <x v="9"/>
    <x v="2"/>
    <n v="2"/>
    <n v="599"/>
    <n v="0.2"/>
    <n v="958.4"/>
    <n v="240"/>
    <n v="480"/>
    <n v="0"/>
    <n v="478.4"/>
  </r>
  <r>
    <s v="ORD00026"/>
    <x v="168"/>
    <s v="C0211"/>
    <s v="Corporate"/>
    <s v="Kolkata"/>
    <x v="7"/>
    <x v="0"/>
    <s v="UPI"/>
    <s v="P002"/>
    <x v="5"/>
    <x v="0"/>
    <n v="1"/>
    <n v="2499"/>
    <n v="0.1"/>
    <n v="2249.1"/>
    <n v="1450"/>
    <n v="1450"/>
    <n v="60"/>
    <n v="739.1"/>
  </r>
  <r>
    <s v="ORD00052"/>
    <x v="168"/>
    <s v="C0413"/>
    <s v="Small Business"/>
    <s v="Lucknow"/>
    <x v="8"/>
    <x v="0"/>
    <s v="Credit Card"/>
    <s v="P005"/>
    <x v="1"/>
    <x v="1"/>
    <n v="1"/>
    <n v="1299"/>
    <n v="0.1"/>
    <n v="1169.0999999999999"/>
    <n v="700"/>
    <n v="700"/>
    <n v="0"/>
    <n v="469.1"/>
  </r>
  <r>
    <s v="ORD01182"/>
    <x v="168"/>
    <s v="C0177"/>
    <s v="Consumer"/>
    <s v="Ahmedabad"/>
    <x v="6"/>
    <x v="0"/>
    <s v="Cash on Delivery"/>
    <s v="P012"/>
    <x v="6"/>
    <x v="0"/>
    <n v="1"/>
    <n v="2199"/>
    <n v="0.1"/>
    <n v="1979.1"/>
    <n v="1250"/>
    <n v="1250"/>
    <n v="100"/>
    <n v="629.1"/>
  </r>
  <r>
    <s v="ORD00681"/>
    <x v="168"/>
    <s v="C0086"/>
    <s v="Corporate"/>
    <s v="Jaipur"/>
    <x v="4"/>
    <x v="1"/>
    <s v="Cash on Delivery"/>
    <s v="P005"/>
    <x v="1"/>
    <x v="1"/>
    <n v="2"/>
    <n v="1299"/>
    <n v="0.05"/>
    <n v="2468.1"/>
    <n v="700"/>
    <n v="1400"/>
    <n v="60"/>
    <n v="1008.1"/>
  </r>
  <r>
    <s v="ORD01014"/>
    <x v="169"/>
    <s v="C0114"/>
    <s v="Consumer"/>
    <s v="Ahmedabad"/>
    <x v="6"/>
    <x v="1"/>
    <s v="Debit Card"/>
    <s v="P002"/>
    <x v="5"/>
    <x v="0"/>
    <n v="3"/>
    <n v="2499"/>
    <n v="0.2"/>
    <n v="5997.6"/>
    <n v="1450"/>
    <n v="4350"/>
    <n v="60"/>
    <n v="1587.6"/>
  </r>
  <r>
    <s v="ORD00028"/>
    <x v="169"/>
    <s v="C0143"/>
    <s v="Corporate"/>
    <s v="Delhi"/>
    <x v="5"/>
    <x v="2"/>
    <s v="UPI"/>
    <s v="P004"/>
    <x v="3"/>
    <x v="1"/>
    <n v="2"/>
    <n v="499"/>
    <n v="0"/>
    <n v="998"/>
    <n v="180"/>
    <n v="360"/>
    <n v="80"/>
    <n v="558"/>
  </r>
  <r>
    <s v="ORD01390"/>
    <x v="169"/>
    <s v="C0018"/>
    <s v="Consumer"/>
    <s v="Bengaluru"/>
    <x v="2"/>
    <x v="2"/>
    <s v="Debit Card"/>
    <s v="P002"/>
    <x v="5"/>
    <x v="0"/>
    <n v="2"/>
    <n v="2499"/>
    <n v="0.2"/>
    <n v="3998.4"/>
    <n v="1450"/>
    <n v="2900"/>
    <n v="0"/>
    <n v="1098.4000000000001"/>
  </r>
  <r>
    <s v="ORD00088"/>
    <x v="170"/>
    <s v="C0111"/>
    <s v="Small Business"/>
    <s v="Bengaluru"/>
    <x v="2"/>
    <x v="1"/>
    <s v="Debit Card"/>
    <s v="P006"/>
    <x v="8"/>
    <x v="3"/>
    <n v="1"/>
    <n v="2999"/>
    <n v="0.15"/>
    <n v="2549.15"/>
    <n v="1750"/>
    <n v="1750"/>
    <n v="40"/>
    <n v="759.15"/>
  </r>
  <r>
    <s v="ORD00761"/>
    <x v="170"/>
    <s v="C0337"/>
    <s v="Consumer"/>
    <s v="Bhopal"/>
    <x v="1"/>
    <x v="0"/>
    <s v="UPI"/>
    <s v="P001"/>
    <x v="0"/>
    <x v="0"/>
    <n v="1"/>
    <n v="799"/>
    <n v="0"/>
    <n v="799"/>
    <n v="420"/>
    <n v="420"/>
    <n v="0"/>
    <n v="379"/>
  </r>
  <r>
    <s v="ORD00188"/>
    <x v="171"/>
    <s v="C0394"/>
    <s v="Corporate"/>
    <s v="Jaipur"/>
    <x v="4"/>
    <x v="1"/>
    <s v="Cash on Delivery"/>
    <s v="P006"/>
    <x v="8"/>
    <x v="3"/>
    <n v="2"/>
    <n v="2999"/>
    <n v="0.15"/>
    <n v="5098.3"/>
    <n v="1750"/>
    <n v="3500"/>
    <n v="80"/>
    <n v="1518.3"/>
  </r>
  <r>
    <s v="ORD00531"/>
    <x v="171"/>
    <s v="C0237"/>
    <s v="Small Business"/>
    <s v="Lucknow"/>
    <x v="8"/>
    <x v="0"/>
    <s v="UPI"/>
    <s v="P002"/>
    <x v="5"/>
    <x v="0"/>
    <n v="1"/>
    <n v="2499"/>
    <n v="0.15"/>
    <n v="2124.15"/>
    <n v="1450"/>
    <n v="1450"/>
    <n v="0"/>
    <n v="674.15"/>
  </r>
  <r>
    <s v="ORD01032"/>
    <x v="171"/>
    <s v="C0216"/>
    <s v="Corporate"/>
    <s v="Chennai"/>
    <x v="9"/>
    <x v="0"/>
    <s v="Cash on Delivery"/>
    <s v="P010"/>
    <x v="11"/>
    <x v="4"/>
    <n v="1"/>
    <n v="299"/>
    <n v="0.15"/>
    <n v="254.15"/>
    <n v="110"/>
    <n v="110"/>
    <n v="60"/>
    <n v="84.15"/>
  </r>
  <r>
    <s v="ORD00704"/>
    <x v="171"/>
    <s v="C0409"/>
    <s v="Consumer"/>
    <s v="Jaipur"/>
    <x v="4"/>
    <x v="0"/>
    <s v="Credit Card"/>
    <s v="P006"/>
    <x v="8"/>
    <x v="3"/>
    <n v="3"/>
    <n v="2999"/>
    <n v="0.2"/>
    <n v="7197.6"/>
    <n v="1750"/>
    <n v="5250"/>
    <n v="80"/>
    <n v="1867.6"/>
  </r>
  <r>
    <s v="ORD01254"/>
    <x v="172"/>
    <s v="C0399"/>
    <s v="Corporate"/>
    <s v="Bhopal"/>
    <x v="1"/>
    <x v="2"/>
    <s v="Credit Card"/>
    <s v="P005"/>
    <x v="1"/>
    <x v="1"/>
    <n v="1"/>
    <n v="1299"/>
    <n v="0"/>
    <n v="1299"/>
    <n v="700"/>
    <n v="700"/>
    <n v="60"/>
    <n v="539"/>
  </r>
  <r>
    <s v="ORD01258"/>
    <x v="172"/>
    <s v="C0360"/>
    <s v="Small Business"/>
    <s v="Delhi"/>
    <x v="5"/>
    <x v="2"/>
    <s v="Debit Card"/>
    <s v="P006"/>
    <x v="8"/>
    <x v="3"/>
    <n v="3"/>
    <n v="2999"/>
    <n v="0.2"/>
    <n v="7197.6"/>
    <n v="1750"/>
    <n v="5250"/>
    <n v="60"/>
    <n v="1887.6"/>
  </r>
  <r>
    <s v="ORD01453"/>
    <x v="172"/>
    <s v="C0145"/>
    <s v="Small Business"/>
    <s v="Bengaluru"/>
    <x v="2"/>
    <x v="1"/>
    <s v="Net Banking"/>
    <s v="P001"/>
    <x v="0"/>
    <x v="0"/>
    <n v="2"/>
    <n v="799"/>
    <n v="0"/>
    <n v="1598"/>
    <n v="420"/>
    <n v="840"/>
    <n v="60"/>
    <n v="698"/>
  </r>
  <r>
    <s v="ORD00235"/>
    <x v="172"/>
    <s v="C0231"/>
    <s v="Small Business"/>
    <s v="Lucknow"/>
    <x v="8"/>
    <x v="1"/>
    <s v="Cash on Delivery"/>
    <s v="P006"/>
    <x v="8"/>
    <x v="3"/>
    <n v="2"/>
    <n v="2999"/>
    <n v="0"/>
    <n v="5998"/>
    <n v="1750"/>
    <n v="3500"/>
    <n v="80"/>
    <n v="2418"/>
  </r>
  <r>
    <s v="ORD01043"/>
    <x v="173"/>
    <s v="C0426"/>
    <s v="Small Business"/>
    <s v="Mumbai"/>
    <x v="3"/>
    <x v="2"/>
    <s v="Net Banking"/>
    <s v="P001"/>
    <x v="0"/>
    <x v="0"/>
    <n v="1"/>
    <n v="799"/>
    <n v="0.05"/>
    <n v="759.05"/>
    <n v="420"/>
    <n v="420"/>
    <n v="0"/>
    <n v="339.05"/>
  </r>
  <r>
    <s v="ORD00850"/>
    <x v="174"/>
    <s v="C0031"/>
    <s v="Corporate"/>
    <s v="Bhopal"/>
    <x v="1"/>
    <x v="2"/>
    <s v="Debit Card"/>
    <s v="P002"/>
    <x v="5"/>
    <x v="0"/>
    <n v="1"/>
    <n v="2499"/>
    <n v="0.2"/>
    <n v="1999.2"/>
    <n v="1450"/>
    <n v="1450"/>
    <n v="100"/>
    <n v="449.2"/>
  </r>
  <r>
    <s v="ORD01120"/>
    <x v="175"/>
    <s v="C0417"/>
    <s v="Consumer"/>
    <s v="Bhopal"/>
    <x v="1"/>
    <x v="2"/>
    <s v="Credit Card"/>
    <s v="P008"/>
    <x v="2"/>
    <x v="2"/>
    <n v="1"/>
    <n v="1799"/>
    <n v="0"/>
    <n v="1799"/>
    <n v="850"/>
    <n v="850"/>
    <n v="80"/>
    <n v="869"/>
  </r>
  <r>
    <s v="ORD00862"/>
    <x v="176"/>
    <s v="C0430"/>
    <s v="Corporate"/>
    <s v="Bengaluru"/>
    <x v="2"/>
    <x v="0"/>
    <s v="Net Banking"/>
    <s v="P006"/>
    <x v="8"/>
    <x v="3"/>
    <n v="1"/>
    <n v="2999"/>
    <n v="0.1"/>
    <n v="2699.1"/>
    <n v="1750"/>
    <n v="1750"/>
    <n v="0"/>
    <n v="949.1"/>
  </r>
  <r>
    <s v="ORD01201"/>
    <x v="177"/>
    <s v="C0157"/>
    <s v="Small Business"/>
    <s v="Lucknow"/>
    <x v="8"/>
    <x v="0"/>
    <s v="Credit Card"/>
    <s v="P002"/>
    <x v="5"/>
    <x v="0"/>
    <n v="3"/>
    <n v="2499"/>
    <n v="0.1"/>
    <n v="6747.3"/>
    <n v="1450"/>
    <n v="4350"/>
    <n v="80"/>
    <n v="2317.3000000000002"/>
  </r>
  <r>
    <s v="ORD00794"/>
    <x v="177"/>
    <s v="C0249"/>
    <s v="Consumer"/>
    <s v="Bhopal"/>
    <x v="1"/>
    <x v="1"/>
    <s v="Credit Card"/>
    <s v="P007"/>
    <x v="4"/>
    <x v="3"/>
    <n v="4"/>
    <n v="999"/>
    <n v="0"/>
    <n v="3996"/>
    <n v="520"/>
    <n v="2080"/>
    <n v="80"/>
    <n v="1836"/>
  </r>
  <r>
    <s v="ORD00215"/>
    <x v="177"/>
    <s v="C0366"/>
    <s v="Corporate"/>
    <s v="Delhi"/>
    <x v="5"/>
    <x v="2"/>
    <s v="Debit Card"/>
    <s v="P002"/>
    <x v="5"/>
    <x v="0"/>
    <n v="1"/>
    <n v="2499"/>
    <n v="0"/>
    <n v="2499"/>
    <n v="1450"/>
    <n v="1450"/>
    <n v="80"/>
    <n v="969"/>
  </r>
  <r>
    <s v="ORD00886"/>
    <x v="178"/>
    <s v="C0351"/>
    <s v="Corporate"/>
    <s v="Ahmedabad"/>
    <x v="6"/>
    <x v="1"/>
    <s v="Net Banking"/>
    <s v="P006"/>
    <x v="8"/>
    <x v="3"/>
    <n v="2"/>
    <n v="2999"/>
    <n v="0"/>
    <n v="5998"/>
    <n v="1750"/>
    <n v="3500"/>
    <n v="40"/>
    <n v="2458"/>
  </r>
  <r>
    <s v="ORD00766"/>
    <x v="178"/>
    <s v="C0074"/>
    <s v="Small Business"/>
    <s v="Pune"/>
    <x v="3"/>
    <x v="1"/>
    <s v="Credit Card"/>
    <s v="P010"/>
    <x v="11"/>
    <x v="4"/>
    <n v="1"/>
    <n v="299"/>
    <n v="0.2"/>
    <n v="239.2"/>
    <n v="110"/>
    <n v="110"/>
    <n v="80"/>
    <n v="49.2"/>
  </r>
  <r>
    <s v="ORD00409"/>
    <x v="179"/>
    <s v="C0012"/>
    <s v="Consumer"/>
    <s v="Mumbai"/>
    <x v="3"/>
    <x v="0"/>
    <s v="Credit Card"/>
    <s v="P003"/>
    <x v="10"/>
    <x v="0"/>
    <n v="1"/>
    <n v="1599"/>
    <n v="0"/>
    <n v="1599"/>
    <n v="900"/>
    <n v="900"/>
    <n v="60"/>
    <n v="639"/>
  </r>
  <r>
    <s v="ORD01256"/>
    <x v="179"/>
    <s v="C0292"/>
    <s v="Small Business"/>
    <s v="Pune"/>
    <x v="3"/>
    <x v="2"/>
    <s v="Cash on Delivery"/>
    <s v="P011"/>
    <x v="7"/>
    <x v="1"/>
    <n v="4"/>
    <n v="6999"/>
    <n v="0"/>
    <n v="27996"/>
    <n v="4900"/>
    <n v="19600"/>
    <n v="60"/>
    <n v="8336"/>
  </r>
  <r>
    <s v="ORD01229"/>
    <x v="180"/>
    <s v="C0158"/>
    <s v="Corporate"/>
    <s v="Delhi"/>
    <x v="5"/>
    <x v="1"/>
    <s v="Credit Card"/>
    <s v="P003"/>
    <x v="10"/>
    <x v="0"/>
    <n v="2"/>
    <n v="1599"/>
    <n v="0.15"/>
    <n v="2718.3"/>
    <n v="900"/>
    <n v="1800"/>
    <n v="80"/>
    <n v="838.3"/>
  </r>
  <r>
    <s v="ORD01003"/>
    <x v="181"/>
    <s v="C0217"/>
    <s v="Small Business"/>
    <s v="Lucknow"/>
    <x v="8"/>
    <x v="1"/>
    <s v="UPI"/>
    <s v="P003"/>
    <x v="10"/>
    <x v="0"/>
    <n v="1"/>
    <n v="1599"/>
    <n v="0"/>
    <n v="1599"/>
    <n v="900"/>
    <n v="900"/>
    <n v="40"/>
    <n v="659"/>
  </r>
  <r>
    <s v="ORD01429"/>
    <x v="181"/>
    <s v="C0329"/>
    <s v="Corporate"/>
    <s v="Pune"/>
    <x v="3"/>
    <x v="1"/>
    <s v="Credit Card"/>
    <s v="P006"/>
    <x v="8"/>
    <x v="3"/>
    <n v="2"/>
    <n v="2999"/>
    <n v="0.2"/>
    <n v="4798.3999999999996"/>
    <n v="1750"/>
    <n v="3500"/>
    <n v="80"/>
    <n v="1218.4000000000001"/>
  </r>
  <r>
    <s v="ORD00564"/>
    <x v="181"/>
    <s v="C0190"/>
    <s v="Small Business"/>
    <s v="Delhi"/>
    <x v="5"/>
    <x v="0"/>
    <s v="Net Banking"/>
    <s v="P007"/>
    <x v="4"/>
    <x v="3"/>
    <n v="2"/>
    <n v="999"/>
    <n v="0.15"/>
    <n v="1698.3"/>
    <n v="520"/>
    <n v="1040"/>
    <n v="80"/>
    <n v="578.29999999999995"/>
  </r>
  <r>
    <s v="ORD00228"/>
    <x v="181"/>
    <s v="C0441"/>
    <s v="Corporate"/>
    <s v="Ahmedabad"/>
    <x v="6"/>
    <x v="1"/>
    <s v="Credit Card"/>
    <s v="P006"/>
    <x v="8"/>
    <x v="3"/>
    <n v="2"/>
    <n v="2999"/>
    <n v="0.05"/>
    <n v="5698.1"/>
    <n v="1750"/>
    <n v="3500"/>
    <n v="60"/>
    <n v="2138.1"/>
  </r>
  <r>
    <s v="ORD00677"/>
    <x v="182"/>
    <s v="C0353"/>
    <s v="Corporate"/>
    <s v="Jaipur"/>
    <x v="4"/>
    <x v="1"/>
    <s v="Credit Card"/>
    <s v="P002"/>
    <x v="5"/>
    <x v="0"/>
    <n v="1"/>
    <n v="2499"/>
    <n v="0.1"/>
    <n v="2249.1"/>
    <n v="1450"/>
    <n v="1450"/>
    <n v="100"/>
    <n v="699.1"/>
  </r>
  <r>
    <s v="ORD00334"/>
    <x v="183"/>
    <s v="C0410"/>
    <s v="Small Business"/>
    <s v="Pune"/>
    <x v="3"/>
    <x v="2"/>
    <s v="Debit Card"/>
    <s v="P005"/>
    <x v="1"/>
    <x v="1"/>
    <n v="3"/>
    <n v="1299"/>
    <n v="0"/>
    <n v="3897"/>
    <n v="700"/>
    <n v="2100"/>
    <n v="100"/>
    <n v="1697"/>
  </r>
  <r>
    <s v="ORD00733"/>
    <x v="183"/>
    <s v="C0156"/>
    <s v="Corporate"/>
    <s v="Indore"/>
    <x v="1"/>
    <x v="0"/>
    <s v="Debit Card"/>
    <s v="P011"/>
    <x v="7"/>
    <x v="1"/>
    <n v="3"/>
    <n v="6999"/>
    <n v="0.05"/>
    <n v="19947.150000000001"/>
    <n v="4900"/>
    <n v="14700"/>
    <n v="100"/>
    <n v="5147.1499999999996"/>
  </r>
  <r>
    <s v="ORD01470"/>
    <x v="184"/>
    <s v="C0067"/>
    <s v="Small Business"/>
    <s v="Chennai"/>
    <x v="9"/>
    <x v="0"/>
    <s v="UPI"/>
    <s v="P011"/>
    <x v="7"/>
    <x v="1"/>
    <n v="1"/>
    <n v="6999"/>
    <n v="0.15"/>
    <n v="5949.15"/>
    <n v="4900"/>
    <n v="4900"/>
    <n v="100"/>
    <n v="949.15"/>
  </r>
  <r>
    <s v="ORD00882"/>
    <x v="185"/>
    <s v="C0412"/>
    <s v="Corporate"/>
    <s v="Lucknow"/>
    <x v="8"/>
    <x v="1"/>
    <s v="Cash on Delivery"/>
    <s v="P006"/>
    <x v="8"/>
    <x v="3"/>
    <n v="3"/>
    <n v="2999"/>
    <n v="0.2"/>
    <n v="7197.6"/>
    <n v="1750"/>
    <n v="5250"/>
    <n v="60"/>
    <n v="1887.6"/>
  </r>
  <r>
    <s v="ORD00659"/>
    <x v="185"/>
    <s v="C0385"/>
    <s v="Corporate"/>
    <s v="Lucknow"/>
    <x v="8"/>
    <x v="0"/>
    <s v="Net Banking"/>
    <s v="P012"/>
    <x v="6"/>
    <x v="0"/>
    <n v="2"/>
    <n v="2199"/>
    <n v="0"/>
    <n v="4398"/>
    <n v="1250"/>
    <n v="2500"/>
    <n v="100"/>
    <n v="1798"/>
  </r>
  <r>
    <s v="ORD00588"/>
    <x v="186"/>
    <s v="C0144"/>
    <s v="Corporate"/>
    <s v="Kolkata"/>
    <x v="7"/>
    <x v="2"/>
    <s v="Cash on Delivery"/>
    <s v="P007"/>
    <x v="4"/>
    <x v="3"/>
    <n v="2"/>
    <n v="999"/>
    <n v="0.05"/>
    <n v="1898.1"/>
    <n v="520"/>
    <n v="1040"/>
    <n v="60"/>
    <n v="798.1"/>
  </r>
  <r>
    <s v="ORD01218"/>
    <x v="186"/>
    <s v="C0310"/>
    <s v="Corporate"/>
    <s v="Indore"/>
    <x v="1"/>
    <x v="1"/>
    <s v="UPI"/>
    <s v="P009"/>
    <x v="9"/>
    <x v="2"/>
    <n v="1"/>
    <n v="599"/>
    <n v="0.2"/>
    <n v="479.2"/>
    <n v="240"/>
    <n v="240"/>
    <n v="60"/>
    <n v="179.2"/>
  </r>
  <r>
    <s v="ORD00549"/>
    <x v="187"/>
    <s v="C0419"/>
    <s v="Consumer"/>
    <s v="Ahmedabad"/>
    <x v="6"/>
    <x v="0"/>
    <s v="Credit Card"/>
    <s v="P003"/>
    <x v="10"/>
    <x v="0"/>
    <n v="1"/>
    <n v="1599"/>
    <n v="0.05"/>
    <n v="1519.05"/>
    <n v="900"/>
    <n v="900"/>
    <n v="100"/>
    <n v="519.04999999999995"/>
  </r>
  <r>
    <s v="ORD01432"/>
    <x v="187"/>
    <s v="C0365"/>
    <s v="Corporate"/>
    <s v="Bhopal"/>
    <x v="1"/>
    <x v="2"/>
    <s v="Net Banking"/>
    <s v="P006"/>
    <x v="8"/>
    <x v="3"/>
    <n v="2"/>
    <n v="2999"/>
    <n v="0.2"/>
    <n v="4798.3999999999996"/>
    <n v="1750"/>
    <n v="3500"/>
    <n v="100"/>
    <n v="1198.4000000000001"/>
  </r>
  <r>
    <s v="ORD00942"/>
    <x v="187"/>
    <s v="C0055"/>
    <s v="Corporate"/>
    <s v="Indore"/>
    <x v="1"/>
    <x v="0"/>
    <s v="UPI"/>
    <s v="P003"/>
    <x v="10"/>
    <x v="0"/>
    <n v="1"/>
    <n v="1599"/>
    <n v="0.15"/>
    <n v="1359.15"/>
    <n v="900"/>
    <n v="900"/>
    <n v="60"/>
    <n v="399.15"/>
  </r>
  <r>
    <s v="ORD00530"/>
    <x v="187"/>
    <s v="C0095"/>
    <s v="Consumer"/>
    <s v="Delhi"/>
    <x v="5"/>
    <x v="0"/>
    <s v="Debit Card"/>
    <s v="P007"/>
    <x v="4"/>
    <x v="3"/>
    <n v="4"/>
    <n v="999"/>
    <n v="0.15"/>
    <n v="3396.6"/>
    <n v="520"/>
    <n v="2080"/>
    <n v="40"/>
    <n v="1276.5999999999999"/>
  </r>
  <r>
    <s v="ORD01332"/>
    <x v="188"/>
    <s v="C0250"/>
    <s v="Consumer"/>
    <s v="Bengaluru"/>
    <x v="2"/>
    <x v="1"/>
    <s v="Credit Card"/>
    <s v="P001"/>
    <x v="0"/>
    <x v="0"/>
    <n v="2"/>
    <n v="799"/>
    <n v="0.1"/>
    <n v="1438.2"/>
    <n v="420"/>
    <n v="840"/>
    <n v="80"/>
    <n v="518.20000000000005"/>
  </r>
  <r>
    <s v="ORD00251"/>
    <x v="189"/>
    <s v="C0140"/>
    <s v="Consumer"/>
    <s v="Ahmedabad"/>
    <x v="6"/>
    <x v="2"/>
    <s v="Cash on Delivery"/>
    <s v="P004"/>
    <x v="3"/>
    <x v="1"/>
    <n v="3"/>
    <n v="499"/>
    <n v="0.05"/>
    <n v="1422.15"/>
    <n v="180"/>
    <n v="540"/>
    <n v="100"/>
    <n v="782.15"/>
  </r>
  <r>
    <s v="ORD00855"/>
    <x v="189"/>
    <s v="C0302"/>
    <s v="Consumer"/>
    <s v="Ahmedabad"/>
    <x v="6"/>
    <x v="1"/>
    <s v="UPI"/>
    <s v="P009"/>
    <x v="9"/>
    <x v="2"/>
    <n v="3"/>
    <n v="599"/>
    <n v="0.1"/>
    <n v="1617.3"/>
    <n v="240"/>
    <n v="720"/>
    <n v="60"/>
    <n v="837.3"/>
  </r>
  <r>
    <s v="ORD01261"/>
    <x v="190"/>
    <s v="C0265"/>
    <s v="Small Business"/>
    <s v="Lucknow"/>
    <x v="8"/>
    <x v="0"/>
    <s v="Cash on Delivery"/>
    <s v="P011"/>
    <x v="7"/>
    <x v="1"/>
    <n v="2"/>
    <n v="6999"/>
    <n v="0.2"/>
    <n v="11198.4"/>
    <n v="4900"/>
    <n v="9800"/>
    <n v="40"/>
    <n v="1358.4"/>
  </r>
  <r>
    <s v="ORD00195"/>
    <x v="190"/>
    <s v="C0217"/>
    <s v="Consumer"/>
    <s v="Lucknow"/>
    <x v="8"/>
    <x v="1"/>
    <s v="Credit Card"/>
    <s v="P003"/>
    <x v="10"/>
    <x v="0"/>
    <n v="2"/>
    <n v="1599"/>
    <n v="0.2"/>
    <n v="2558.4"/>
    <n v="900"/>
    <n v="1800"/>
    <n v="100"/>
    <n v="658.4"/>
  </r>
  <r>
    <s v="ORD00370"/>
    <x v="190"/>
    <s v="C0322"/>
    <s v="Small Business"/>
    <s v="Hyderabad"/>
    <x v="0"/>
    <x v="0"/>
    <s v="Net Banking"/>
    <s v="P001"/>
    <x v="0"/>
    <x v="0"/>
    <n v="4"/>
    <n v="799"/>
    <n v="0.1"/>
    <n v="2876.4"/>
    <n v="420"/>
    <n v="1680"/>
    <n v="100"/>
    <n v="1096.4000000000001"/>
  </r>
  <r>
    <s v="ORD01165"/>
    <x v="190"/>
    <s v="C0143"/>
    <s v="Consumer"/>
    <s v="Chennai"/>
    <x v="9"/>
    <x v="0"/>
    <s v="Cash on Delivery"/>
    <s v="P003"/>
    <x v="10"/>
    <x v="0"/>
    <n v="2"/>
    <n v="1599"/>
    <n v="0"/>
    <n v="3198"/>
    <n v="900"/>
    <n v="1800"/>
    <n v="100"/>
    <n v="1298"/>
  </r>
  <r>
    <s v="ORD00795"/>
    <x v="191"/>
    <s v="C0235"/>
    <s v="Small Business"/>
    <s v="Delhi"/>
    <x v="5"/>
    <x v="2"/>
    <s v="Debit Card"/>
    <s v="P010"/>
    <x v="11"/>
    <x v="4"/>
    <n v="2"/>
    <n v="299"/>
    <n v="0.1"/>
    <n v="538.20000000000005"/>
    <n v="110"/>
    <n v="220"/>
    <n v="60"/>
    <n v="258.2"/>
  </r>
  <r>
    <s v="ORD01284"/>
    <x v="191"/>
    <s v="C0190"/>
    <s v="Corporate"/>
    <s v="Mumbai"/>
    <x v="3"/>
    <x v="2"/>
    <s v="Debit Card"/>
    <s v="P006"/>
    <x v="8"/>
    <x v="3"/>
    <n v="1"/>
    <n v="2999"/>
    <n v="0"/>
    <n v="2999"/>
    <n v="1750"/>
    <n v="1750"/>
    <n v="100"/>
    <n v="1149"/>
  </r>
  <r>
    <s v="ORD00345"/>
    <x v="192"/>
    <s v="C0448"/>
    <s v="Consumer"/>
    <s v="Hyderabad"/>
    <x v="0"/>
    <x v="1"/>
    <s v="Debit Card"/>
    <s v="P007"/>
    <x v="4"/>
    <x v="3"/>
    <n v="1"/>
    <n v="999"/>
    <n v="0.2"/>
    <n v="799.2"/>
    <n v="520"/>
    <n v="520"/>
    <n v="40"/>
    <n v="239.2"/>
  </r>
  <r>
    <s v="ORD00448"/>
    <x v="192"/>
    <s v="C0300"/>
    <s v="Consumer"/>
    <s v="Kolkata"/>
    <x v="7"/>
    <x v="2"/>
    <s v="Cash on Delivery"/>
    <s v="P008"/>
    <x v="2"/>
    <x v="2"/>
    <n v="1"/>
    <n v="1799"/>
    <n v="0.15"/>
    <n v="1529.15"/>
    <n v="850"/>
    <n v="850"/>
    <n v="100"/>
    <n v="579.15"/>
  </r>
  <r>
    <s v="ORD00128"/>
    <x v="193"/>
    <s v="C0050"/>
    <s v="Small Business"/>
    <s v="Indore"/>
    <x v="1"/>
    <x v="0"/>
    <s v="UPI"/>
    <s v="P011"/>
    <x v="7"/>
    <x v="1"/>
    <n v="1"/>
    <n v="6999"/>
    <n v="0.05"/>
    <n v="6649.05"/>
    <n v="4900"/>
    <n v="4900"/>
    <n v="40"/>
    <n v="1709.05"/>
  </r>
  <r>
    <s v="ORD00061"/>
    <x v="193"/>
    <s v="C0026"/>
    <s v="Small Business"/>
    <s v="Jaipur"/>
    <x v="4"/>
    <x v="2"/>
    <s v="UPI"/>
    <s v="P003"/>
    <x v="10"/>
    <x v="0"/>
    <n v="3"/>
    <n v="1599"/>
    <n v="0.2"/>
    <n v="3837.6"/>
    <n v="900"/>
    <n v="2700"/>
    <n v="100"/>
    <n v="1037.5999999999999"/>
  </r>
  <r>
    <s v="ORD01088"/>
    <x v="194"/>
    <s v="C0086"/>
    <s v="Consumer"/>
    <s v="Ahmedabad"/>
    <x v="6"/>
    <x v="1"/>
    <s v="Cash on Delivery"/>
    <s v="P002"/>
    <x v="5"/>
    <x v="0"/>
    <n v="3"/>
    <n v="2499"/>
    <n v="0.2"/>
    <n v="5997.6"/>
    <n v="1450"/>
    <n v="4350"/>
    <n v="40"/>
    <n v="1607.6"/>
  </r>
  <r>
    <s v="ORD00163"/>
    <x v="194"/>
    <s v="C0155"/>
    <s v="Consumer"/>
    <s v="Bengaluru"/>
    <x v="2"/>
    <x v="2"/>
    <s v="Debit Card"/>
    <s v="P007"/>
    <x v="4"/>
    <x v="3"/>
    <n v="5"/>
    <n v="999"/>
    <n v="0"/>
    <n v="4995"/>
    <n v="520"/>
    <n v="2600"/>
    <n v="0"/>
    <n v="2395"/>
  </r>
  <r>
    <s v="ORD00169"/>
    <x v="195"/>
    <s v="C0059"/>
    <s v="Small Business"/>
    <s v="Indore"/>
    <x v="1"/>
    <x v="0"/>
    <s v="Credit Card"/>
    <s v="P006"/>
    <x v="8"/>
    <x v="3"/>
    <n v="3"/>
    <n v="2999"/>
    <n v="0"/>
    <n v="8997"/>
    <n v="1750"/>
    <n v="5250"/>
    <n v="100"/>
    <n v="3647"/>
  </r>
  <r>
    <s v="ORD00086"/>
    <x v="195"/>
    <s v="C0243"/>
    <s v="Small Business"/>
    <s v="Chennai"/>
    <x v="9"/>
    <x v="0"/>
    <s v="Debit Card"/>
    <s v="P007"/>
    <x v="4"/>
    <x v="3"/>
    <n v="2"/>
    <n v="999"/>
    <n v="0.05"/>
    <n v="1898.1"/>
    <n v="520"/>
    <n v="1040"/>
    <n v="100"/>
    <n v="758.1"/>
  </r>
  <r>
    <s v="ORD00584"/>
    <x v="196"/>
    <s v="C0277"/>
    <s v="Consumer"/>
    <s v="Jaipur"/>
    <x v="4"/>
    <x v="0"/>
    <s v="Debit Card"/>
    <s v="P010"/>
    <x v="11"/>
    <x v="4"/>
    <n v="1"/>
    <n v="299"/>
    <n v="0.15"/>
    <n v="254.15"/>
    <n v="110"/>
    <n v="110"/>
    <n v="80"/>
    <n v="64.150000000000006"/>
  </r>
  <r>
    <s v="ORD01202"/>
    <x v="196"/>
    <s v="C0330"/>
    <s v="Consumer"/>
    <s v="Kolkata"/>
    <x v="7"/>
    <x v="1"/>
    <s v="UPI"/>
    <s v="P006"/>
    <x v="8"/>
    <x v="3"/>
    <n v="1"/>
    <n v="2999"/>
    <n v="0"/>
    <n v="2999"/>
    <n v="1750"/>
    <n v="1750"/>
    <n v="100"/>
    <n v="1149"/>
  </r>
  <r>
    <s v="ORD01456"/>
    <x v="196"/>
    <s v="C0142"/>
    <s v="Corporate"/>
    <s v="Chennai"/>
    <x v="9"/>
    <x v="0"/>
    <s v="Cash on Delivery"/>
    <s v="P012"/>
    <x v="6"/>
    <x v="0"/>
    <n v="1"/>
    <n v="2199"/>
    <n v="0"/>
    <n v="2199"/>
    <n v="1250"/>
    <n v="1250"/>
    <n v="100"/>
    <n v="849"/>
  </r>
  <r>
    <s v="ORD01271"/>
    <x v="197"/>
    <s v="C0239"/>
    <s v="Corporate"/>
    <s v="Chennai"/>
    <x v="9"/>
    <x v="0"/>
    <s v="Cash on Delivery"/>
    <s v="P007"/>
    <x v="4"/>
    <x v="3"/>
    <n v="3"/>
    <n v="999"/>
    <n v="0.2"/>
    <n v="2397.6"/>
    <n v="520"/>
    <n v="1560"/>
    <n v="0"/>
    <n v="837.6"/>
  </r>
  <r>
    <s v="ORD00488"/>
    <x v="197"/>
    <s v="C0236"/>
    <s v="Corporate"/>
    <s v="Pune"/>
    <x v="3"/>
    <x v="0"/>
    <s v="Net Banking"/>
    <s v="P009"/>
    <x v="9"/>
    <x v="2"/>
    <n v="2"/>
    <n v="599"/>
    <n v="0.1"/>
    <n v="1078.2"/>
    <n v="240"/>
    <n v="480"/>
    <n v="40"/>
    <n v="558.20000000000005"/>
  </r>
  <r>
    <s v="ORD00155"/>
    <x v="198"/>
    <s v="C0391"/>
    <s v="Corporate"/>
    <s v="Pune"/>
    <x v="3"/>
    <x v="0"/>
    <s v="Credit Card"/>
    <s v="P002"/>
    <x v="5"/>
    <x v="0"/>
    <n v="1"/>
    <n v="2499"/>
    <n v="0.15"/>
    <n v="2124.15"/>
    <n v="1450"/>
    <n v="1450"/>
    <n v="60"/>
    <n v="614.15"/>
  </r>
  <r>
    <s v="ORD00023"/>
    <x v="199"/>
    <s v="C0302"/>
    <s v="Consumer"/>
    <s v="Bengaluru"/>
    <x v="2"/>
    <x v="2"/>
    <s v="UPI"/>
    <s v="P002"/>
    <x v="5"/>
    <x v="0"/>
    <n v="1"/>
    <n v="2499"/>
    <n v="0.15"/>
    <n v="2124.15"/>
    <n v="1450"/>
    <n v="1450"/>
    <n v="100"/>
    <n v="574.15"/>
  </r>
  <r>
    <s v="ORD01145"/>
    <x v="199"/>
    <s v="C0201"/>
    <s v="Corporate"/>
    <s v="Ahmedabad"/>
    <x v="6"/>
    <x v="0"/>
    <s v="Credit Card"/>
    <s v="P012"/>
    <x v="6"/>
    <x v="0"/>
    <n v="3"/>
    <n v="2199"/>
    <n v="0"/>
    <n v="6597"/>
    <n v="1250"/>
    <n v="3750"/>
    <n v="80"/>
    <n v="2767"/>
  </r>
  <r>
    <s v="ORD01326"/>
    <x v="200"/>
    <s v="C0003"/>
    <s v="Small Business"/>
    <s v="Lucknow"/>
    <x v="8"/>
    <x v="2"/>
    <s v="Debit Card"/>
    <s v="P003"/>
    <x v="10"/>
    <x v="0"/>
    <n v="1"/>
    <n v="1599"/>
    <n v="0.2"/>
    <n v="1279.2"/>
    <n v="900"/>
    <n v="900"/>
    <n v="60"/>
    <n v="319.2"/>
  </r>
  <r>
    <s v="ORD00859"/>
    <x v="200"/>
    <s v="C0431"/>
    <s v="Corporate"/>
    <s v="Pune"/>
    <x v="3"/>
    <x v="0"/>
    <s v="Debit Card"/>
    <s v="P009"/>
    <x v="9"/>
    <x v="2"/>
    <n v="1"/>
    <n v="599"/>
    <n v="0.1"/>
    <n v="539.1"/>
    <n v="240"/>
    <n v="240"/>
    <n v="40"/>
    <n v="259.10000000000002"/>
  </r>
  <r>
    <s v="ORD01405"/>
    <x v="201"/>
    <s v="C0411"/>
    <s v="Consumer"/>
    <s v="Mumbai"/>
    <x v="3"/>
    <x v="0"/>
    <s v="Credit Card"/>
    <s v="P007"/>
    <x v="4"/>
    <x v="3"/>
    <n v="3"/>
    <n v="999"/>
    <n v="0.15"/>
    <n v="2547.4499999999998"/>
    <n v="520"/>
    <n v="1560"/>
    <n v="100"/>
    <n v="887.45"/>
  </r>
  <r>
    <s v="ORD00648"/>
    <x v="201"/>
    <s v="C0399"/>
    <s v="Small Business"/>
    <s v="Indore"/>
    <x v="1"/>
    <x v="1"/>
    <s v="UPI"/>
    <s v="P012"/>
    <x v="6"/>
    <x v="0"/>
    <n v="2"/>
    <n v="2199"/>
    <n v="0.15"/>
    <n v="3738.3"/>
    <n v="1250"/>
    <n v="2500"/>
    <n v="0"/>
    <n v="1238.3"/>
  </r>
  <r>
    <s v="ORD01348"/>
    <x v="202"/>
    <s v="C0156"/>
    <s v="Small Business"/>
    <s v="Pune"/>
    <x v="3"/>
    <x v="1"/>
    <s v="Net Banking"/>
    <s v="P009"/>
    <x v="9"/>
    <x v="2"/>
    <n v="2"/>
    <n v="599"/>
    <n v="0"/>
    <n v="1198"/>
    <n v="240"/>
    <n v="480"/>
    <n v="0"/>
    <n v="718"/>
  </r>
  <r>
    <s v="ORD01200"/>
    <x v="203"/>
    <s v="C0075"/>
    <s v="Corporate"/>
    <s v="Bengaluru"/>
    <x v="2"/>
    <x v="2"/>
    <s v="Cash on Delivery"/>
    <s v="P002"/>
    <x v="5"/>
    <x v="0"/>
    <n v="1"/>
    <n v="2499"/>
    <n v="0"/>
    <n v="2499"/>
    <n v="1450"/>
    <n v="1450"/>
    <n v="60"/>
    <n v="989"/>
  </r>
  <r>
    <s v="ORD01241"/>
    <x v="204"/>
    <s v="C0296"/>
    <s v="Small Business"/>
    <s v="Lucknow"/>
    <x v="8"/>
    <x v="0"/>
    <s v="Credit Card"/>
    <s v="P007"/>
    <x v="4"/>
    <x v="3"/>
    <n v="1"/>
    <n v="999"/>
    <n v="0.2"/>
    <n v="799.2"/>
    <n v="520"/>
    <n v="520"/>
    <n v="80"/>
    <n v="199.2"/>
  </r>
  <r>
    <s v="ORD00303"/>
    <x v="204"/>
    <s v="C0139"/>
    <s v="Consumer"/>
    <s v="Jaipur"/>
    <x v="4"/>
    <x v="2"/>
    <s v="Debit Card"/>
    <s v="P004"/>
    <x v="3"/>
    <x v="1"/>
    <n v="4"/>
    <n v="499"/>
    <n v="0.2"/>
    <n v="1596.8"/>
    <n v="180"/>
    <n v="720"/>
    <n v="100"/>
    <n v="776.8"/>
  </r>
  <r>
    <s v="ORD00636"/>
    <x v="205"/>
    <s v="C0128"/>
    <s v="Small Business"/>
    <s v="Indore"/>
    <x v="1"/>
    <x v="0"/>
    <s v="Credit Card"/>
    <s v="P009"/>
    <x v="9"/>
    <x v="2"/>
    <n v="1"/>
    <n v="599"/>
    <n v="0"/>
    <n v="599"/>
    <n v="240"/>
    <n v="240"/>
    <n v="100"/>
    <n v="259"/>
  </r>
  <r>
    <s v="ORD00663"/>
    <x v="205"/>
    <s v="C0249"/>
    <s v="Small Business"/>
    <s v="Chennai"/>
    <x v="9"/>
    <x v="0"/>
    <s v="UPI"/>
    <s v="P007"/>
    <x v="4"/>
    <x v="3"/>
    <n v="2"/>
    <n v="999"/>
    <n v="0.2"/>
    <n v="1598.4"/>
    <n v="520"/>
    <n v="1040"/>
    <n v="0"/>
    <n v="558.4"/>
  </r>
  <r>
    <s v="ORD00865"/>
    <x v="205"/>
    <s v="C0028"/>
    <s v="Consumer"/>
    <s v="Ahmedabad"/>
    <x v="6"/>
    <x v="1"/>
    <s v="UPI"/>
    <s v="P011"/>
    <x v="7"/>
    <x v="1"/>
    <n v="4"/>
    <n v="6999"/>
    <n v="0"/>
    <n v="27996"/>
    <n v="4900"/>
    <n v="19600"/>
    <n v="0"/>
    <n v="8396"/>
  </r>
  <r>
    <s v="ORD00123"/>
    <x v="206"/>
    <s v="C0005"/>
    <s v="Corporate"/>
    <s v="Indore"/>
    <x v="1"/>
    <x v="1"/>
    <s v="Cash on Delivery"/>
    <s v="P008"/>
    <x v="2"/>
    <x v="2"/>
    <n v="2"/>
    <n v="1799"/>
    <n v="0.1"/>
    <n v="3238.2"/>
    <n v="850"/>
    <n v="1700"/>
    <n v="60"/>
    <n v="1478.2"/>
  </r>
  <r>
    <s v="ORD00255"/>
    <x v="206"/>
    <s v="C0429"/>
    <s v="Consumer"/>
    <s v="Kolkata"/>
    <x v="7"/>
    <x v="2"/>
    <s v="Net Banking"/>
    <s v="P009"/>
    <x v="9"/>
    <x v="2"/>
    <n v="3"/>
    <n v="599"/>
    <n v="0"/>
    <n v="1797"/>
    <n v="240"/>
    <n v="720"/>
    <n v="40"/>
    <n v="1037"/>
  </r>
  <r>
    <s v="ORD00723"/>
    <x v="206"/>
    <s v="C0201"/>
    <s v="Consumer"/>
    <s v="Chennai"/>
    <x v="9"/>
    <x v="0"/>
    <s v="Debit Card"/>
    <s v="P004"/>
    <x v="3"/>
    <x v="1"/>
    <n v="1"/>
    <n v="499"/>
    <n v="0.15"/>
    <n v="424.15"/>
    <n v="180"/>
    <n v="180"/>
    <n v="60"/>
    <n v="184.15"/>
  </r>
  <r>
    <s v="ORD01223"/>
    <x v="206"/>
    <s v="C0048"/>
    <s v="Corporate"/>
    <s v="Jaipur"/>
    <x v="4"/>
    <x v="2"/>
    <s v="Net Banking"/>
    <s v="P012"/>
    <x v="6"/>
    <x v="0"/>
    <n v="2"/>
    <n v="2199"/>
    <n v="0.05"/>
    <n v="4178.1000000000004"/>
    <n v="1250"/>
    <n v="2500"/>
    <n v="40"/>
    <n v="1638.1"/>
  </r>
  <r>
    <s v="ORD00385"/>
    <x v="207"/>
    <s v="C0001"/>
    <s v="Small Business"/>
    <s v="Chennai"/>
    <x v="9"/>
    <x v="1"/>
    <s v="Debit Card"/>
    <s v="P009"/>
    <x v="9"/>
    <x v="2"/>
    <n v="1"/>
    <n v="599"/>
    <n v="0.2"/>
    <n v="479.2"/>
    <n v="240"/>
    <n v="240"/>
    <n v="0"/>
    <n v="239.2"/>
  </r>
  <r>
    <s v="ORD00614"/>
    <x v="207"/>
    <s v="C0216"/>
    <s v="Corporate"/>
    <s v="Chennai"/>
    <x v="9"/>
    <x v="1"/>
    <s v="Debit Card"/>
    <s v="P002"/>
    <x v="5"/>
    <x v="0"/>
    <n v="1"/>
    <n v="2499"/>
    <n v="0.1"/>
    <n v="2249.1"/>
    <n v="1450"/>
    <n v="1450"/>
    <n v="40"/>
    <n v="759.1"/>
  </r>
  <r>
    <s v="ORD00581"/>
    <x v="208"/>
    <s v="C0104"/>
    <s v="Consumer"/>
    <s v="Bengaluru"/>
    <x v="2"/>
    <x v="0"/>
    <s v="Debit Card"/>
    <s v="P012"/>
    <x v="6"/>
    <x v="0"/>
    <n v="1"/>
    <n v="2199"/>
    <n v="0.05"/>
    <n v="2089.0500000000002"/>
    <n v="1250"/>
    <n v="1250"/>
    <n v="40"/>
    <n v="799.05"/>
  </r>
  <r>
    <s v="ORD01103"/>
    <x v="209"/>
    <s v="C0085"/>
    <s v="Small Business"/>
    <s v="Hyderabad"/>
    <x v="0"/>
    <x v="2"/>
    <s v="Credit Card"/>
    <s v="P009"/>
    <x v="9"/>
    <x v="2"/>
    <n v="1"/>
    <n v="599"/>
    <n v="0.2"/>
    <n v="479.2"/>
    <n v="240"/>
    <n v="240"/>
    <n v="80"/>
    <n v="159.19999999999999"/>
  </r>
  <r>
    <s v="ORD00429"/>
    <x v="209"/>
    <s v="C0293"/>
    <s v="Small Business"/>
    <s v="Lucknow"/>
    <x v="8"/>
    <x v="0"/>
    <s v="Cash on Delivery"/>
    <s v="P008"/>
    <x v="2"/>
    <x v="2"/>
    <n v="1"/>
    <n v="1799"/>
    <n v="0.1"/>
    <n v="1619.1"/>
    <n v="850"/>
    <n v="850"/>
    <n v="0"/>
    <n v="769.1"/>
  </r>
  <r>
    <s v="ORD00888"/>
    <x v="209"/>
    <s v="C0126"/>
    <s v="Corporate"/>
    <s v="Mumbai"/>
    <x v="3"/>
    <x v="1"/>
    <s v="Net Banking"/>
    <s v="P007"/>
    <x v="4"/>
    <x v="3"/>
    <n v="1"/>
    <n v="999"/>
    <n v="0"/>
    <n v="999"/>
    <n v="520"/>
    <n v="520"/>
    <n v="40"/>
    <n v="439"/>
  </r>
  <r>
    <s v="ORD01386"/>
    <x v="210"/>
    <s v="C0033"/>
    <s v="Consumer"/>
    <s v="Kolkata"/>
    <x v="7"/>
    <x v="0"/>
    <s v="Debit Card"/>
    <s v="P002"/>
    <x v="5"/>
    <x v="0"/>
    <n v="4"/>
    <n v="2499"/>
    <n v="0"/>
    <n v="9996"/>
    <n v="1450"/>
    <n v="5800"/>
    <n v="80"/>
    <n v="4116"/>
  </r>
  <r>
    <s v="ORD00280"/>
    <x v="210"/>
    <s v="C0212"/>
    <s v="Corporate"/>
    <s v="Bengaluru"/>
    <x v="2"/>
    <x v="1"/>
    <s v="UPI"/>
    <s v="P005"/>
    <x v="1"/>
    <x v="1"/>
    <n v="3"/>
    <n v="1299"/>
    <n v="0.2"/>
    <n v="3117.6"/>
    <n v="700"/>
    <n v="2100"/>
    <n v="100"/>
    <n v="917.6"/>
  </r>
  <r>
    <s v="ORD01217"/>
    <x v="211"/>
    <s v="C0139"/>
    <s v="Consumer"/>
    <s v="Delhi"/>
    <x v="5"/>
    <x v="0"/>
    <s v="Credit Card"/>
    <s v="P005"/>
    <x v="1"/>
    <x v="1"/>
    <n v="1"/>
    <n v="1299"/>
    <n v="0"/>
    <n v="1299"/>
    <n v="700"/>
    <n v="700"/>
    <n v="60"/>
    <n v="539"/>
  </r>
  <r>
    <s v="ORD01098"/>
    <x v="211"/>
    <s v="C0143"/>
    <s v="Corporate"/>
    <s v="Delhi"/>
    <x v="5"/>
    <x v="0"/>
    <s v="UPI"/>
    <s v="P012"/>
    <x v="6"/>
    <x v="0"/>
    <n v="2"/>
    <n v="2199"/>
    <n v="0.1"/>
    <n v="3958.2"/>
    <n v="1250"/>
    <n v="2500"/>
    <n v="60"/>
    <n v="1398.2"/>
  </r>
  <r>
    <s v="ORD00775"/>
    <x v="212"/>
    <s v="C0274"/>
    <s v="Corporate"/>
    <s v="Jaipur"/>
    <x v="4"/>
    <x v="2"/>
    <s v="UPI"/>
    <s v="P008"/>
    <x v="2"/>
    <x v="2"/>
    <n v="1"/>
    <n v="1799"/>
    <n v="0.15"/>
    <n v="1529.15"/>
    <n v="850"/>
    <n v="850"/>
    <n v="60"/>
    <n v="619.15"/>
  </r>
  <r>
    <s v="ORD01263"/>
    <x v="212"/>
    <s v="C0291"/>
    <s v="Small Business"/>
    <s v="Delhi"/>
    <x v="5"/>
    <x v="1"/>
    <s v="UPI"/>
    <s v="P004"/>
    <x v="3"/>
    <x v="1"/>
    <n v="5"/>
    <n v="499"/>
    <n v="0.15"/>
    <n v="2120.75"/>
    <n v="180"/>
    <n v="900"/>
    <n v="0"/>
    <n v="1220.75"/>
  </r>
  <r>
    <s v="ORD00931"/>
    <x v="213"/>
    <s v="C0400"/>
    <s v="Corporate"/>
    <s v="Kolkata"/>
    <x v="7"/>
    <x v="1"/>
    <s v="Credit Card"/>
    <s v="P007"/>
    <x v="4"/>
    <x v="3"/>
    <n v="1"/>
    <n v="999"/>
    <n v="0"/>
    <n v="999"/>
    <n v="520"/>
    <n v="520"/>
    <n v="40"/>
    <n v="439"/>
  </r>
  <r>
    <s v="ORD01300"/>
    <x v="213"/>
    <s v="C0431"/>
    <s v="Consumer"/>
    <s v="Lucknow"/>
    <x v="8"/>
    <x v="0"/>
    <s v="Net Banking"/>
    <s v="P011"/>
    <x v="7"/>
    <x v="1"/>
    <n v="4"/>
    <n v="6999"/>
    <n v="0.05"/>
    <n v="26596.2"/>
    <n v="4900"/>
    <n v="19600"/>
    <n v="40"/>
    <n v="6956.2"/>
  </r>
  <r>
    <s v="ORD00085"/>
    <x v="214"/>
    <s v="C0406"/>
    <s v="Consumer"/>
    <s v="Jaipur"/>
    <x v="4"/>
    <x v="2"/>
    <s v="Debit Card"/>
    <s v="P012"/>
    <x v="6"/>
    <x v="0"/>
    <n v="2"/>
    <n v="2199"/>
    <n v="0.2"/>
    <n v="3518.4"/>
    <n v="1250"/>
    <n v="2500"/>
    <n v="80"/>
    <n v="938.4"/>
  </r>
  <r>
    <s v="ORD00283"/>
    <x v="214"/>
    <s v="C0030"/>
    <s v="Small Business"/>
    <s v="Jaipur"/>
    <x v="4"/>
    <x v="1"/>
    <s v="Net Banking"/>
    <s v="P004"/>
    <x v="3"/>
    <x v="1"/>
    <n v="1"/>
    <n v="499"/>
    <n v="0.2"/>
    <n v="399.2"/>
    <n v="180"/>
    <n v="180"/>
    <n v="40"/>
    <n v="179.2"/>
  </r>
  <r>
    <s v="ORD01396"/>
    <x v="215"/>
    <s v="C0317"/>
    <s v="Consumer"/>
    <s v="Kolkata"/>
    <x v="7"/>
    <x v="0"/>
    <s v="UPI"/>
    <s v="P009"/>
    <x v="9"/>
    <x v="2"/>
    <n v="4"/>
    <n v="599"/>
    <n v="0.15"/>
    <n v="2036.6"/>
    <n v="240"/>
    <n v="960"/>
    <n v="60"/>
    <n v="1016.6"/>
  </r>
  <r>
    <s v="ORD01244"/>
    <x v="216"/>
    <s v="C0357"/>
    <s v="Small Business"/>
    <s v="Pune"/>
    <x v="3"/>
    <x v="2"/>
    <s v="Net Banking"/>
    <s v="P004"/>
    <x v="3"/>
    <x v="1"/>
    <n v="3"/>
    <n v="499"/>
    <n v="0"/>
    <n v="1497"/>
    <n v="180"/>
    <n v="540"/>
    <n v="40"/>
    <n v="917"/>
  </r>
  <r>
    <s v="ORD01100"/>
    <x v="216"/>
    <s v="C0357"/>
    <s v="Small Business"/>
    <s v="Indore"/>
    <x v="1"/>
    <x v="2"/>
    <s v="Cash on Delivery"/>
    <s v="P004"/>
    <x v="3"/>
    <x v="1"/>
    <n v="2"/>
    <n v="499"/>
    <n v="0.2"/>
    <n v="798.4"/>
    <n v="180"/>
    <n v="360"/>
    <n v="40"/>
    <n v="398.4"/>
  </r>
  <r>
    <s v="ORD01436"/>
    <x v="217"/>
    <s v="C0162"/>
    <s v="Small Business"/>
    <s v="Jaipur"/>
    <x v="4"/>
    <x v="2"/>
    <s v="Credit Card"/>
    <s v="P006"/>
    <x v="8"/>
    <x v="3"/>
    <n v="1"/>
    <n v="2999"/>
    <n v="0.05"/>
    <n v="2849.05"/>
    <n v="1750"/>
    <n v="1750"/>
    <n v="40"/>
    <n v="1059.05"/>
  </r>
  <r>
    <s v="ORD01230"/>
    <x v="217"/>
    <s v="C0011"/>
    <s v="Consumer"/>
    <s v="Pune"/>
    <x v="3"/>
    <x v="2"/>
    <s v="Cash on Delivery"/>
    <s v="P001"/>
    <x v="0"/>
    <x v="0"/>
    <n v="2"/>
    <n v="799"/>
    <n v="0.05"/>
    <n v="1518.1"/>
    <n v="420"/>
    <n v="840"/>
    <n v="100"/>
    <n v="578.1"/>
  </r>
  <r>
    <s v="ORD00278"/>
    <x v="218"/>
    <s v="C0112"/>
    <s v="Consumer"/>
    <s v="Lucknow"/>
    <x v="8"/>
    <x v="2"/>
    <s v="Cash on Delivery"/>
    <s v="P012"/>
    <x v="6"/>
    <x v="0"/>
    <n v="1"/>
    <n v="2199"/>
    <n v="0.1"/>
    <n v="1979.1"/>
    <n v="1250"/>
    <n v="1250"/>
    <n v="40"/>
    <n v="689.1"/>
  </r>
  <r>
    <s v="ORD01439"/>
    <x v="218"/>
    <s v="C0134"/>
    <s v="Corporate"/>
    <s v="Bhopal"/>
    <x v="1"/>
    <x v="1"/>
    <s v="Debit Card"/>
    <s v="P007"/>
    <x v="4"/>
    <x v="3"/>
    <n v="2"/>
    <n v="999"/>
    <n v="0.2"/>
    <n v="1598.4"/>
    <n v="520"/>
    <n v="1040"/>
    <n v="40"/>
    <n v="518.4"/>
  </r>
  <r>
    <s v="ORD00680"/>
    <x v="219"/>
    <s v="C0199"/>
    <s v="Small Business"/>
    <s v="Lucknow"/>
    <x v="8"/>
    <x v="0"/>
    <s v="UPI"/>
    <s v="P009"/>
    <x v="9"/>
    <x v="2"/>
    <n v="2"/>
    <n v="599"/>
    <n v="0.2"/>
    <n v="958.4"/>
    <n v="240"/>
    <n v="480"/>
    <n v="0"/>
    <n v="478.4"/>
  </r>
  <r>
    <s v="ORD00654"/>
    <x v="220"/>
    <s v="C0295"/>
    <s v="Consumer"/>
    <s v="Indore"/>
    <x v="1"/>
    <x v="2"/>
    <s v="Net Banking"/>
    <s v="P004"/>
    <x v="3"/>
    <x v="1"/>
    <n v="1"/>
    <n v="499"/>
    <n v="0.1"/>
    <n v="449.1"/>
    <n v="180"/>
    <n v="180"/>
    <n v="60"/>
    <n v="209.1"/>
  </r>
  <r>
    <s v="ORD00064"/>
    <x v="221"/>
    <s v="C0123"/>
    <s v="Corporate"/>
    <s v="Indore"/>
    <x v="1"/>
    <x v="1"/>
    <s v="UPI"/>
    <s v="P011"/>
    <x v="7"/>
    <x v="1"/>
    <n v="1"/>
    <n v="6999"/>
    <n v="0.15"/>
    <n v="5949.15"/>
    <n v="4900"/>
    <n v="4900"/>
    <n v="80"/>
    <n v="969.15"/>
  </r>
  <r>
    <s v="ORD00074"/>
    <x v="221"/>
    <s v="C0065"/>
    <s v="Corporate"/>
    <s v="Bengaluru"/>
    <x v="2"/>
    <x v="0"/>
    <s v="UPI"/>
    <s v="P004"/>
    <x v="3"/>
    <x v="1"/>
    <n v="3"/>
    <n v="499"/>
    <n v="0.15"/>
    <n v="1272.45"/>
    <n v="180"/>
    <n v="540"/>
    <n v="40"/>
    <n v="692.45"/>
  </r>
  <r>
    <s v="ORD00579"/>
    <x v="222"/>
    <s v="C0284"/>
    <s v="Consumer"/>
    <s v="Pune"/>
    <x v="3"/>
    <x v="1"/>
    <s v="Debit Card"/>
    <s v="P005"/>
    <x v="1"/>
    <x v="1"/>
    <n v="1"/>
    <n v="1299"/>
    <n v="0.2"/>
    <n v="1039.2"/>
    <n v="700"/>
    <n v="700"/>
    <n v="60"/>
    <n v="279.2"/>
  </r>
  <r>
    <s v="ORD00609"/>
    <x v="223"/>
    <s v="C0113"/>
    <s v="Corporate"/>
    <s v="Kolkata"/>
    <x v="7"/>
    <x v="2"/>
    <s v="Net Banking"/>
    <s v="P003"/>
    <x v="10"/>
    <x v="0"/>
    <n v="2"/>
    <n v="1599"/>
    <n v="0.2"/>
    <n v="2558.4"/>
    <n v="900"/>
    <n v="1800"/>
    <n v="80"/>
    <n v="678.4"/>
  </r>
  <r>
    <s v="ORD01198"/>
    <x v="223"/>
    <s v="C0421"/>
    <s v="Corporate"/>
    <s v="Indore"/>
    <x v="1"/>
    <x v="2"/>
    <s v="Net Banking"/>
    <s v="P005"/>
    <x v="1"/>
    <x v="1"/>
    <n v="3"/>
    <n v="1299"/>
    <n v="0.05"/>
    <n v="3702.15"/>
    <n v="700"/>
    <n v="2100"/>
    <n v="40"/>
    <n v="1562.15"/>
  </r>
  <r>
    <s v="ORD00395"/>
    <x v="223"/>
    <s v="C0032"/>
    <s v="Consumer"/>
    <s v="Mumbai"/>
    <x v="3"/>
    <x v="2"/>
    <s v="Credit Card"/>
    <s v="P002"/>
    <x v="5"/>
    <x v="0"/>
    <n v="2"/>
    <n v="2499"/>
    <n v="0"/>
    <n v="4998"/>
    <n v="1450"/>
    <n v="2900"/>
    <n v="0"/>
    <n v="2098"/>
  </r>
  <r>
    <s v="ORD00768"/>
    <x v="224"/>
    <s v="C0328"/>
    <s v="Consumer"/>
    <s v="Indore"/>
    <x v="1"/>
    <x v="2"/>
    <s v="Net Banking"/>
    <s v="P008"/>
    <x v="2"/>
    <x v="2"/>
    <n v="1"/>
    <n v="1799"/>
    <n v="0.1"/>
    <n v="1619.1"/>
    <n v="850"/>
    <n v="850"/>
    <n v="40"/>
    <n v="729.1"/>
  </r>
  <r>
    <s v="ORD00625"/>
    <x v="224"/>
    <s v="C0278"/>
    <s v="Small Business"/>
    <s v="Hyderabad"/>
    <x v="0"/>
    <x v="1"/>
    <s v="Credit Card"/>
    <s v="P001"/>
    <x v="0"/>
    <x v="0"/>
    <n v="2"/>
    <n v="799"/>
    <n v="0.1"/>
    <n v="1438.2"/>
    <n v="420"/>
    <n v="840"/>
    <n v="100"/>
    <n v="498.2"/>
  </r>
  <r>
    <s v="ORD01492"/>
    <x v="225"/>
    <s v="C0269"/>
    <s v="Small Business"/>
    <s v="Delhi"/>
    <x v="5"/>
    <x v="1"/>
    <s v="UPI"/>
    <s v="P008"/>
    <x v="2"/>
    <x v="2"/>
    <n v="2"/>
    <n v="1799"/>
    <n v="0.05"/>
    <n v="3418.1"/>
    <n v="850"/>
    <n v="1700"/>
    <n v="40"/>
    <n v="1678.1"/>
  </r>
  <r>
    <s v="ORD00893"/>
    <x v="225"/>
    <s v="C0396"/>
    <s v="Corporate"/>
    <s v="Pune"/>
    <x v="3"/>
    <x v="1"/>
    <s v="Cash on Delivery"/>
    <s v="P008"/>
    <x v="2"/>
    <x v="2"/>
    <n v="4"/>
    <n v="1799"/>
    <n v="0"/>
    <n v="7196"/>
    <n v="850"/>
    <n v="3400"/>
    <n v="100"/>
    <n v="3696"/>
  </r>
  <r>
    <s v="ORD00180"/>
    <x v="226"/>
    <s v="C0042"/>
    <s v="Small Business"/>
    <s v="Chennai"/>
    <x v="9"/>
    <x v="0"/>
    <s v="Credit Card"/>
    <s v="P012"/>
    <x v="6"/>
    <x v="0"/>
    <n v="3"/>
    <n v="2199"/>
    <n v="0.15"/>
    <n v="5607.45"/>
    <n v="1250"/>
    <n v="3750"/>
    <n v="40"/>
    <n v="1817.45"/>
  </r>
  <r>
    <s v="ORD01389"/>
    <x v="226"/>
    <s v="C0380"/>
    <s v="Consumer"/>
    <s v="Bengaluru"/>
    <x v="2"/>
    <x v="1"/>
    <s v="Cash on Delivery"/>
    <s v="P008"/>
    <x v="2"/>
    <x v="2"/>
    <n v="2"/>
    <n v="1799"/>
    <n v="0.05"/>
    <n v="3418.1"/>
    <n v="850"/>
    <n v="1700"/>
    <n v="40"/>
    <n v="1678.1"/>
  </r>
  <r>
    <s v="ORD01116"/>
    <x v="226"/>
    <s v="C0158"/>
    <s v="Small Business"/>
    <s v="Bhopal"/>
    <x v="1"/>
    <x v="1"/>
    <s v="UPI"/>
    <s v="P012"/>
    <x v="6"/>
    <x v="0"/>
    <n v="1"/>
    <n v="2199"/>
    <n v="0.15"/>
    <n v="1869.15"/>
    <n v="1250"/>
    <n v="1250"/>
    <n v="80"/>
    <n v="539.15"/>
  </r>
  <r>
    <s v="ORD00565"/>
    <x v="227"/>
    <s v="C0071"/>
    <s v="Small Business"/>
    <s v="Ahmedabad"/>
    <x v="6"/>
    <x v="2"/>
    <s v="Credit Card"/>
    <s v="P005"/>
    <x v="1"/>
    <x v="1"/>
    <n v="2"/>
    <n v="1299"/>
    <n v="0.2"/>
    <n v="2078.4"/>
    <n v="700"/>
    <n v="1400"/>
    <n v="80"/>
    <n v="598.4"/>
  </r>
  <r>
    <s v="ORD00563"/>
    <x v="227"/>
    <s v="C0314"/>
    <s v="Corporate"/>
    <s v="Chennai"/>
    <x v="9"/>
    <x v="0"/>
    <s v="Net Banking"/>
    <s v="P005"/>
    <x v="1"/>
    <x v="1"/>
    <n v="3"/>
    <n v="1299"/>
    <n v="0.1"/>
    <n v="3507.3"/>
    <n v="700"/>
    <n v="2100"/>
    <n v="100"/>
    <n v="1307.3"/>
  </r>
  <r>
    <s v="ORD00898"/>
    <x v="227"/>
    <s v="C0063"/>
    <s v="Small Business"/>
    <s v="Indore"/>
    <x v="1"/>
    <x v="2"/>
    <s v="Net Banking"/>
    <s v="P009"/>
    <x v="9"/>
    <x v="2"/>
    <n v="1"/>
    <n v="599"/>
    <n v="0.2"/>
    <n v="479.2"/>
    <n v="240"/>
    <n v="240"/>
    <n v="60"/>
    <n v="179.2"/>
  </r>
  <r>
    <s v="ORD01167"/>
    <x v="228"/>
    <s v="C0105"/>
    <s v="Consumer"/>
    <s v="Lucknow"/>
    <x v="8"/>
    <x v="0"/>
    <s v="Debit Card"/>
    <s v="P011"/>
    <x v="7"/>
    <x v="1"/>
    <n v="1"/>
    <n v="6999"/>
    <n v="0.2"/>
    <n v="5599.2"/>
    <n v="4900"/>
    <n v="4900"/>
    <n v="40"/>
    <n v="659.2"/>
  </r>
  <r>
    <s v="ORD00997"/>
    <x v="229"/>
    <s v="C0315"/>
    <s v="Corporate"/>
    <s v="Mumbai"/>
    <x v="3"/>
    <x v="2"/>
    <s v="UPI"/>
    <s v="P002"/>
    <x v="5"/>
    <x v="0"/>
    <n v="1"/>
    <n v="2499"/>
    <n v="0.1"/>
    <n v="2249.1"/>
    <n v="1450"/>
    <n v="1450"/>
    <n v="40"/>
    <n v="759.1"/>
  </r>
  <r>
    <s v="ORD00661"/>
    <x v="229"/>
    <s v="C0028"/>
    <s v="Corporate"/>
    <s v="Hyderabad"/>
    <x v="0"/>
    <x v="0"/>
    <s v="UPI"/>
    <s v="P003"/>
    <x v="10"/>
    <x v="0"/>
    <n v="1"/>
    <n v="1599"/>
    <n v="0"/>
    <n v="1599"/>
    <n v="900"/>
    <n v="900"/>
    <n v="100"/>
    <n v="599"/>
  </r>
  <r>
    <s v="ORD00476"/>
    <x v="230"/>
    <s v="C0026"/>
    <s v="Consumer"/>
    <s v="Jaipur"/>
    <x v="4"/>
    <x v="2"/>
    <s v="UPI"/>
    <s v="P011"/>
    <x v="7"/>
    <x v="1"/>
    <n v="1"/>
    <n v="6999"/>
    <n v="0.05"/>
    <n v="6649.05"/>
    <n v="4900"/>
    <n v="4900"/>
    <n v="60"/>
    <n v="1689.05"/>
  </r>
  <r>
    <s v="ORD00561"/>
    <x v="231"/>
    <s v="C0268"/>
    <s v="Consumer"/>
    <s v="Bhopal"/>
    <x v="1"/>
    <x v="0"/>
    <s v="UPI"/>
    <s v="P004"/>
    <x v="3"/>
    <x v="1"/>
    <n v="1"/>
    <n v="499"/>
    <n v="0.2"/>
    <n v="399.2"/>
    <n v="180"/>
    <n v="180"/>
    <n v="0"/>
    <n v="219.2"/>
  </r>
  <r>
    <s v="ORD01018"/>
    <x v="232"/>
    <s v="C0435"/>
    <s v="Small Business"/>
    <s v="Bengaluru"/>
    <x v="2"/>
    <x v="2"/>
    <s v="Cash on Delivery"/>
    <s v="P010"/>
    <x v="11"/>
    <x v="4"/>
    <n v="3"/>
    <n v="299"/>
    <n v="0.15"/>
    <n v="762.45"/>
    <n v="110"/>
    <n v="330"/>
    <n v="60"/>
    <n v="372.45"/>
  </r>
  <r>
    <s v="ORD01301"/>
    <x v="233"/>
    <s v="C0012"/>
    <s v="Small Business"/>
    <s v="Indore"/>
    <x v="1"/>
    <x v="0"/>
    <s v="UPI"/>
    <s v="P011"/>
    <x v="7"/>
    <x v="1"/>
    <n v="1"/>
    <n v="6999"/>
    <n v="0"/>
    <n v="6999"/>
    <n v="4900"/>
    <n v="4900"/>
    <n v="40"/>
    <n v="2059"/>
  </r>
  <r>
    <s v="ORD01059"/>
    <x v="234"/>
    <s v="C0208"/>
    <s v="Small Business"/>
    <s v="Kolkata"/>
    <x v="7"/>
    <x v="0"/>
    <s v="UPI"/>
    <s v="P001"/>
    <x v="0"/>
    <x v="0"/>
    <n v="3"/>
    <n v="799"/>
    <n v="0.05"/>
    <n v="2277.15"/>
    <n v="420"/>
    <n v="1260"/>
    <n v="60"/>
    <n v="957.15"/>
  </r>
  <r>
    <s v="ORD00868"/>
    <x v="234"/>
    <s v="C0392"/>
    <s v="Consumer"/>
    <s v="Mumbai"/>
    <x v="3"/>
    <x v="1"/>
    <s v="UPI"/>
    <s v="P009"/>
    <x v="9"/>
    <x v="2"/>
    <n v="1"/>
    <n v="599"/>
    <n v="0.15"/>
    <n v="509.15"/>
    <n v="240"/>
    <n v="240"/>
    <n v="100"/>
    <n v="169.15"/>
  </r>
  <r>
    <s v="ORD00913"/>
    <x v="235"/>
    <s v="C0351"/>
    <s v="Small Business"/>
    <s v="Bhopal"/>
    <x v="1"/>
    <x v="1"/>
    <s v="UPI"/>
    <s v="P004"/>
    <x v="3"/>
    <x v="1"/>
    <n v="2"/>
    <n v="499"/>
    <n v="0"/>
    <n v="998"/>
    <n v="180"/>
    <n v="360"/>
    <n v="60"/>
    <n v="578"/>
  </r>
  <r>
    <s v="ORD00546"/>
    <x v="236"/>
    <s v="C0194"/>
    <s v="Corporate"/>
    <s v="Indore"/>
    <x v="1"/>
    <x v="0"/>
    <s v="UPI"/>
    <s v="P010"/>
    <x v="11"/>
    <x v="4"/>
    <n v="2"/>
    <n v="299"/>
    <n v="0"/>
    <n v="598"/>
    <n v="110"/>
    <n v="220"/>
    <n v="80"/>
    <n v="298"/>
  </r>
  <r>
    <s v="ORD00538"/>
    <x v="236"/>
    <s v="C0435"/>
    <s v="Small Business"/>
    <s v="Mumbai"/>
    <x v="3"/>
    <x v="0"/>
    <s v="UPI"/>
    <s v="P012"/>
    <x v="6"/>
    <x v="0"/>
    <n v="4"/>
    <n v="2199"/>
    <n v="0"/>
    <n v="8796"/>
    <n v="1250"/>
    <n v="5000"/>
    <n v="0"/>
    <n v="3796"/>
  </r>
  <r>
    <s v="ORD00544"/>
    <x v="237"/>
    <s v="C0406"/>
    <s v="Corporate"/>
    <s v="Lucknow"/>
    <x v="8"/>
    <x v="1"/>
    <s v="Net Banking"/>
    <s v="P006"/>
    <x v="8"/>
    <x v="3"/>
    <n v="1"/>
    <n v="2999"/>
    <n v="0.2"/>
    <n v="2399.1999999999998"/>
    <n v="1750"/>
    <n v="1750"/>
    <n v="40"/>
    <n v="609.20000000000005"/>
  </r>
  <r>
    <s v="ORD00096"/>
    <x v="237"/>
    <s v="C0039"/>
    <s v="Consumer"/>
    <s v="Lucknow"/>
    <x v="8"/>
    <x v="2"/>
    <s v="Net Banking"/>
    <s v="P011"/>
    <x v="7"/>
    <x v="1"/>
    <n v="1"/>
    <n v="6999"/>
    <n v="0"/>
    <n v="6999"/>
    <n v="4900"/>
    <n v="4900"/>
    <n v="40"/>
    <n v="2059"/>
  </r>
  <r>
    <s v="ORD00038"/>
    <x v="238"/>
    <s v="C0146"/>
    <s v="Consumer"/>
    <s v="Chennai"/>
    <x v="9"/>
    <x v="1"/>
    <s v="Cash on Delivery"/>
    <s v="P003"/>
    <x v="10"/>
    <x v="0"/>
    <n v="4"/>
    <n v="1599"/>
    <n v="0"/>
    <n v="6396"/>
    <n v="900"/>
    <n v="3600"/>
    <n v="40"/>
    <n v="2756"/>
  </r>
  <r>
    <s v="ORD00635"/>
    <x v="239"/>
    <s v="C0111"/>
    <s v="Small Business"/>
    <s v="Pune"/>
    <x v="3"/>
    <x v="2"/>
    <s v="UPI"/>
    <s v="P009"/>
    <x v="9"/>
    <x v="2"/>
    <n v="1"/>
    <n v="599"/>
    <n v="0"/>
    <n v="599"/>
    <n v="240"/>
    <n v="240"/>
    <n v="60"/>
    <n v="299"/>
  </r>
  <r>
    <s v="ORD00911"/>
    <x v="239"/>
    <s v="C0439"/>
    <s v="Consumer"/>
    <s v="Kolkata"/>
    <x v="7"/>
    <x v="0"/>
    <s v="Credit Card"/>
    <s v="P005"/>
    <x v="1"/>
    <x v="1"/>
    <n v="3"/>
    <n v="1299"/>
    <n v="0.1"/>
    <n v="3507.3"/>
    <n v="700"/>
    <n v="2100"/>
    <n v="40"/>
    <n v="1367.3"/>
  </r>
  <r>
    <s v="ORD00769"/>
    <x v="239"/>
    <s v="C0264"/>
    <s v="Small Business"/>
    <s v="Mumbai"/>
    <x v="3"/>
    <x v="1"/>
    <s v="Net Banking"/>
    <s v="P003"/>
    <x v="10"/>
    <x v="0"/>
    <n v="2"/>
    <n v="1599"/>
    <n v="0.1"/>
    <n v="2878.2"/>
    <n v="900"/>
    <n v="1800"/>
    <n v="100"/>
    <n v="978.2"/>
  </r>
  <r>
    <s v="ORD00405"/>
    <x v="239"/>
    <s v="C0295"/>
    <s v="Corporate"/>
    <s v="Bengaluru"/>
    <x v="2"/>
    <x v="1"/>
    <s v="Credit Card"/>
    <s v="P009"/>
    <x v="9"/>
    <x v="2"/>
    <n v="3"/>
    <n v="599"/>
    <n v="0.2"/>
    <n v="1437.6"/>
    <n v="240"/>
    <n v="720"/>
    <n v="0"/>
    <n v="717.6"/>
  </r>
  <r>
    <s v="ORD00047"/>
    <x v="240"/>
    <s v="C0440"/>
    <s v="Corporate"/>
    <s v="Mumbai"/>
    <x v="3"/>
    <x v="2"/>
    <s v="Credit Card"/>
    <s v="P003"/>
    <x v="10"/>
    <x v="0"/>
    <n v="3"/>
    <n v="1599"/>
    <n v="0"/>
    <n v="4797"/>
    <n v="900"/>
    <n v="2700"/>
    <n v="80"/>
    <n v="2017"/>
  </r>
  <r>
    <s v="ORD00885"/>
    <x v="241"/>
    <s v="C0373"/>
    <s v="Small Business"/>
    <s v="Bhopal"/>
    <x v="1"/>
    <x v="2"/>
    <s v="Cash on Delivery"/>
    <s v="P011"/>
    <x v="7"/>
    <x v="1"/>
    <n v="2"/>
    <n v="6999"/>
    <n v="0.15"/>
    <n v="11898.3"/>
    <n v="4900"/>
    <n v="9800"/>
    <n v="80"/>
    <n v="2018.3"/>
  </r>
  <r>
    <s v="ORD00344"/>
    <x v="241"/>
    <s v="C0390"/>
    <s v="Small Business"/>
    <s v="Mumbai"/>
    <x v="3"/>
    <x v="1"/>
    <s v="Cash on Delivery"/>
    <s v="P009"/>
    <x v="9"/>
    <x v="2"/>
    <n v="3"/>
    <n v="599"/>
    <n v="0.05"/>
    <n v="1707.15"/>
    <n v="240"/>
    <n v="720"/>
    <n v="100"/>
    <n v="887.15"/>
  </r>
  <r>
    <s v="ORD00427"/>
    <x v="242"/>
    <s v="C0343"/>
    <s v="Corporate"/>
    <s v="Pune"/>
    <x v="3"/>
    <x v="0"/>
    <s v="Net Banking"/>
    <s v="P010"/>
    <x v="11"/>
    <x v="4"/>
    <n v="1"/>
    <n v="299"/>
    <n v="0.2"/>
    <n v="239.2"/>
    <n v="110"/>
    <n v="110"/>
    <n v="0"/>
    <n v="129.19999999999999"/>
  </r>
  <r>
    <s v="ORD01191"/>
    <x v="242"/>
    <s v="C0072"/>
    <s v="Corporate"/>
    <s v="Delhi"/>
    <x v="5"/>
    <x v="0"/>
    <s v="Net Banking"/>
    <s v="P002"/>
    <x v="5"/>
    <x v="0"/>
    <n v="5"/>
    <n v="2499"/>
    <n v="0.2"/>
    <n v="9996"/>
    <n v="1450"/>
    <n v="7250"/>
    <n v="80"/>
    <n v="2666"/>
  </r>
  <r>
    <s v="ORD00376"/>
    <x v="242"/>
    <s v="C0140"/>
    <s v="Small Business"/>
    <s v="Kolkata"/>
    <x v="7"/>
    <x v="2"/>
    <s v="Debit Card"/>
    <s v="P012"/>
    <x v="6"/>
    <x v="0"/>
    <n v="4"/>
    <n v="2199"/>
    <n v="0"/>
    <n v="8796"/>
    <n v="1250"/>
    <n v="5000"/>
    <n v="60"/>
    <n v="3736"/>
  </r>
  <r>
    <s v="ORD01203"/>
    <x v="242"/>
    <s v="C0164"/>
    <s v="Consumer"/>
    <s v="Bengaluru"/>
    <x v="2"/>
    <x v="2"/>
    <s v="UPI"/>
    <s v="P006"/>
    <x v="8"/>
    <x v="3"/>
    <n v="1"/>
    <n v="2999"/>
    <n v="0.05"/>
    <n v="2849.05"/>
    <n v="1750"/>
    <n v="1750"/>
    <n v="80"/>
    <n v="1019.05"/>
  </r>
  <r>
    <s v="ORD00446"/>
    <x v="242"/>
    <s v="C0068"/>
    <s v="Small Business"/>
    <s v="Jaipur"/>
    <x v="4"/>
    <x v="2"/>
    <s v="Cash on Delivery"/>
    <s v="P011"/>
    <x v="7"/>
    <x v="1"/>
    <n v="1"/>
    <n v="6999"/>
    <n v="0"/>
    <n v="6999"/>
    <n v="4900"/>
    <n v="4900"/>
    <n v="0"/>
    <n v="2099"/>
  </r>
  <r>
    <s v="ORD01351"/>
    <x v="243"/>
    <s v="C0211"/>
    <s v="Consumer"/>
    <s v="Delhi"/>
    <x v="5"/>
    <x v="0"/>
    <s v="Credit Card"/>
    <s v="P011"/>
    <x v="7"/>
    <x v="1"/>
    <n v="2"/>
    <n v="6999"/>
    <n v="0.2"/>
    <n v="11198.4"/>
    <n v="4900"/>
    <n v="9800"/>
    <n v="0"/>
    <n v="1398.4"/>
  </r>
  <r>
    <s v="ORD00796"/>
    <x v="243"/>
    <s v="C0144"/>
    <s v="Consumer"/>
    <s v="Mumbai"/>
    <x v="3"/>
    <x v="2"/>
    <s v="Net Banking"/>
    <s v="P004"/>
    <x v="3"/>
    <x v="1"/>
    <n v="1"/>
    <n v="499"/>
    <n v="0"/>
    <n v="499"/>
    <n v="180"/>
    <n v="180"/>
    <n v="100"/>
    <n v="219"/>
  </r>
  <r>
    <s v="ORD01328"/>
    <x v="243"/>
    <s v="C0062"/>
    <s v="Consumer"/>
    <s v="Jaipur"/>
    <x v="4"/>
    <x v="1"/>
    <s v="Credit Card"/>
    <s v="P012"/>
    <x v="6"/>
    <x v="0"/>
    <n v="1"/>
    <n v="2199"/>
    <n v="0"/>
    <n v="2199"/>
    <n v="1250"/>
    <n v="1250"/>
    <n v="100"/>
    <n v="849"/>
  </r>
  <r>
    <s v="ORD01170"/>
    <x v="243"/>
    <s v="C0034"/>
    <s v="Corporate"/>
    <s v="Kolkata"/>
    <x v="7"/>
    <x v="0"/>
    <s v="UPI"/>
    <s v="P002"/>
    <x v="5"/>
    <x v="0"/>
    <n v="2"/>
    <n v="2499"/>
    <n v="0.2"/>
    <n v="3998.4"/>
    <n v="1450"/>
    <n v="2900"/>
    <n v="100"/>
    <n v="998.4"/>
  </r>
  <r>
    <s v="ORD00381"/>
    <x v="244"/>
    <s v="C0027"/>
    <s v="Consumer"/>
    <s v="Indore"/>
    <x v="1"/>
    <x v="2"/>
    <s v="Cash on Delivery"/>
    <s v="P002"/>
    <x v="5"/>
    <x v="0"/>
    <n v="2"/>
    <n v="2499"/>
    <n v="0"/>
    <n v="4998"/>
    <n v="1450"/>
    <n v="2900"/>
    <n v="100"/>
    <n v="1998"/>
  </r>
  <r>
    <s v="ORD00161"/>
    <x v="245"/>
    <s v="C0213"/>
    <s v="Corporate"/>
    <s v="Jaipur"/>
    <x v="4"/>
    <x v="2"/>
    <s v="Cash on Delivery"/>
    <s v="P008"/>
    <x v="2"/>
    <x v="2"/>
    <n v="2"/>
    <n v="1799"/>
    <n v="0.1"/>
    <n v="3238.2"/>
    <n v="850"/>
    <n v="1700"/>
    <n v="100"/>
    <n v="1438.2"/>
  </r>
  <r>
    <s v="ORD01005"/>
    <x v="246"/>
    <s v="C0432"/>
    <s v="Small Business"/>
    <s v="Chennai"/>
    <x v="9"/>
    <x v="2"/>
    <s v="Cash on Delivery"/>
    <s v="P010"/>
    <x v="11"/>
    <x v="4"/>
    <n v="1"/>
    <n v="299"/>
    <n v="0.2"/>
    <n v="239.2"/>
    <n v="110"/>
    <n v="110"/>
    <n v="80"/>
    <n v="49.2"/>
  </r>
  <r>
    <s v="ORD00205"/>
    <x v="246"/>
    <s v="C0226"/>
    <s v="Corporate"/>
    <s v="Ahmedabad"/>
    <x v="6"/>
    <x v="1"/>
    <s v="Credit Card"/>
    <s v="P002"/>
    <x v="5"/>
    <x v="0"/>
    <n v="3"/>
    <n v="2499"/>
    <n v="0.1"/>
    <n v="6747.3"/>
    <n v="1450"/>
    <n v="4350"/>
    <n v="80"/>
    <n v="2317.3000000000002"/>
  </r>
  <r>
    <s v="ORD00258"/>
    <x v="246"/>
    <s v="C0235"/>
    <s v="Small Business"/>
    <s v="Ahmedabad"/>
    <x v="6"/>
    <x v="1"/>
    <s v="Credit Card"/>
    <s v="P004"/>
    <x v="3"/>
    <x v="1"/>
    <n v="3"/>
    <n v="499"/>
    <n v="0.05"/>
    <n v="1422.15"/>
    <n v="180"/>
    <n v="540"/>
    <n v="40"/>
    <n v="842.15"/>
  </r>
  <r>
    <s v="ORD01156"/>
    <x v="247"/>
    <s v="C0248"/>
    <s v="Small Business"/>
    <s v="Kolkata"/>
    <x v="7"/>
    <x v="0"/>
    <s v="Net Banking"/>
    <s v="P012"/>
    <x v="6"/>
    <x v="0"/>
    <n v="3"/>
    <n v="2199"/>
    <n v="0.15"/>
    <n v="5607.45"/>
    <n v="1250"/>
    <n v="3750"/>
    <n v="40"/>
    <n v="1817.45"/>
  </r>
  <r>
    <s v="ORD00357"/>
    <x v="247"/>
    <s v="C0341"/>
    <s v="Small Business"/>
    <s v="Chennai"/>
    <x v="9"/>
    <x v="2"/>
    <s v="UPI"/>
    <s v="P002"/>
    <x v="5"/>
    <x v="0"/>
    <n v="2"/>
    <n v="2499"/>
    <n v="0.05"/>
    <n v="4748.1000000000004"/>
    <n v="1450"/>
    <n v="2900"/>
    <n v="0"/>
    <n v="1848.1"/>
  </r>
  <r>
    <s v="ORD00500"/>
    <x v="247"/>
    <s v="C0071"/>
    <s v="Corporate"/>
    <s v="Delhi"/>
    <x v="5"/>
    <x v="0"/>
    <s v="Cash on Delivery"/>
    <s v="P007"/>
    <x v="4"/>
    <x v="3"/>
    <n v="5"/>
    <n v="999"/>
    <n v="0.05"/>
    <n v="4745.25"/>
    <n v="520"/>
    <n v="2600"/>
    <n v="80"/>
    <n v="2065.25"/>
  </r>
  <r>
    <s v="ORD01451"/>
    <x v="247"/>
    <s v="C0311"/>
    <s v="Consumer"/>
    <s v="Hyderabad"/>
    <x v="0"/>
    <x v="2"/>
    <s v="Debit Card"/>
    <s v="P008"/>
    <x v="2"/>
    <x v="2"/>
    <n v="2"/>
    <n v="1799"/>
    <n v="0"/>
    <n v="3598"/>
    <n v="850"/>
    <n v="1700"/>
    <n v="60"/>
    <n v="1838"/>
  </r>
  <r>
    <s v="ORD01309"/>
    <x v="247"/>
    <s v="C0283"/>
    <s v="Small Business"/>
    <s v="Ahmedabad"/>
    <x v="6"/>
    <x v="1"/>
    <s v="Net Banking"/>
    <s v="P008"/>
    <x v="2"/>
    <x v="2"/>
    <n v="1"/>
    <n v="1799"/>
    <n v="0"/>
    <n v="1799"/>
    <n v="850"/>
    <n v="850"/>
    <n v="60"/>
    <n v="889"/>
  </r>
  <r>
    <s v="ORD00994"/>
    <x v="248"/>
    <s v="C0044"/>
    <s v="Small Business"/>
    <s v="Jaipur"/>
    <x v="4"/>
    <x v="0"/>
    <s v="Debit Card"/>
    <s v="P004"/>
    <x v="3"/>
    <x v="1"/>
    <n v="1"/>
    <n v="499"/>
    <n v="0.2"/>
    <n v="399.2"/>
    <n v="180"/>
    <n v="180"/>
    <n v="100"/>
    <n v="119.2"/>
  </r>
  <r>
    <s v="ORD01323"/>
    <x v="248"/>
    <s v="C0397"/>
    <s v="Corporate"/>
    <s v="Lucknow"/>
    <x v="8"/>
    <x v="1"/>
    <s v="Cash on Delivery"/>
    <s v="P006"/>
    <x v="8"/>
    <x v="3"/>
    <n v="3"/>
    <n v="2999"/>
    <n v="0.1"/>
    <n v="8097.3"/>
    <n v="1750"/>
    <n v="5250"/>
    <n v="0"/>
    <n v="2847.3"/>
  </r>
  <r>
    <s v="ORD00750"/>
    <x v="248"/>
    <s v="C0303"/>
    <s v="Small Business"/>
    <s v="Delhi"/>
    <x v="5"/>
    <x v="2"/>
    <s v="Net Banking"/>
    <s v="P005"/>
    <x v="1"/>
    <x v="1"/>
    <n v="1"/>
    <n v="1299"/>
    <n v="0"/>
    <n v="1299"/>
    <n v="700"/>
    <n v="700"/>
    <n v="100"/>
    <n v="499"/>
  </r>
  <r>
    <s v="ORD00223"/>
    <x v="248"/>
    <s v="C0258"/>
    <s v="Small Business"/>
    <s v="Pune"/>
    <x v="3"/>
    <x v="2"/>
    <s v="Cash on Delivery"/>
    <s v="P003"/>
    <x v="10"/>
    <x v="0"/>
    <n v="2"/>
    <n v="1599"/>
    <n v="0.15"/>
    <n v="2718.3"/>
    <n v="900"/>
    <n v="1800"/>
    <n v="100"/>
    <n v="818.3"/>
  </r>
  <r>
    <s v="ORD00276"/>
    <x v="249"/>
    <s v="C0415"/>
    <s v="Small Business"/>
    <s v="Mumbai"/>
    <x v="3"/>
    <x v="1"/>
    <s v="Cash on Delivery"/>
    <s v="P004"/>
    <x v="3"/>
    <x v="1"/>
    <n v="4"/>
    <n v="499"/>
    <n v="0.2"/>
    <n v="1596.8"/>
    <n v="180"/>
    <n v="720"/>
    <n v="0"/>
    <n v="876.8"/>
  </r>
  <r>
    <s v="ORD00436"/>
    <x v="249"/>
    <s v="C0203"/>
    <s v="Corporate"/>
    <s v="Mumbai"/>
    <x v="3"/>
    <x v="0"/>
    <s v="Credit Card"/>
    <s v="P007"/>
    <x v="4"/>
    <x v="3"/>
    <n v="1"/>
    <n v="999"/>
    <n v="0.15"/>
    <n v="849.15"/>
    <n v="520"/>
    <n v="520"/>
    <n v="80"/>
    <n v="249.15"/>
  </r>
  <r>
    <s v="ORD01342"/>
    <x v="249"/>
    <s v="C0202"/>
    <s v="Consumer"/>
    <s v="Kolkata"/>
    <x v="7"/>
    <x v="2"/>
    <s v="Debit Card"/>
    <s v="P004"/>
    <x v="3"/>
    <x v="1"/>
    <n v="4"/>
    <n v="499"/>
    <n v="0.2"/>
    <n v="1596.8"/>
    <n v="180"/>
    <n v="720"/>
    <n v="80"/>
    <n v="796.8"/>
  </r>
  <r>
    <s v="ORD01073"/>
    <x v="249"/>
    <s v="C0423"/>
    <s v="Corporate"/>
    <s v="Pune"/>
    <x v="3"/>
    <x v="0"/>
    <s v="Credit Card"/>
    <s v="P004"/>
    <x v="3"/>
    <x v="1"/>
    <n v="1"/>
    <n v="499"/>
    <n v="0"/>
    <n v="499"/>
    <n v="180"/>
    <n v="180"/>
    <n v="80"/>
    <n v="239"/>
  </r>
  <r>
    <s v="ORD00042"/>
    <x v="250"/>
    <s v="C0380"/>
    <s v="Corporate"/>
    <s v="Delhi"/>
    <x v="5"/>
    <x v="0"/>
    <s v="Net Banking"/>
    <s v="P001"/>
    <x v="0"/>
    <x v="0"/>
    <n v="1"/>
    <n v="799"/>
    <n v="0"/>
    <n v="799"/>
    <n v="420"/>
    <n v="420"/>
    <n v="60"/>
    <n v="319"/>
  </r>
  <r>
    <s v="ORD00789"/>
    <x v="250"/>
    <s v="C0091"/>
    <s v="Consumer"/>
    <s v="Jaipur"/>
    <x v="4"/>
    <x v="0"/>
    <s v="UPI"/>
    <s v="P001"/>
    <x v="0"/>
    <x v="0"/>
    <n v="1"/>
    <n v="799"/>
    <n v="0"/>
    <n v="799"/>
    <n v="420"/>
    <n v="420"/>
    <n v="80"/>
    <n v="299"/>
  </r>
  <r>
    <s v="ORD00811"/>
    <x v="250"/>
    <s v="C0257"/>
    <s v="Small Business"/>
    <s v="Jaipur"/>
    <x v="4"/>
    <x v="2"/>
    <s v="Net Banking"/>
    <s v="P001"/>
    <x v="0"/>
    <x v="0"/>
    <n v="1"/>
    <n v="799"/>
    <n v="0.05"/>
    <n v="759.05"/>
    <n v="420"/>
    <n v="420"/>
    <n v="80"/>
    <n v="259.05"/>
  </r>
  <r>
    <s v="ORD01424"/>
    <x v="250"/>
    <s v="C0133"/>
    <s v="Corporate"/>
    <s v="Delhi"/>
    <x v="5"/>
    <x v="1"/>
    <s v="Net Banking"/>
    <s v="P010"/>
    <x v="11"/>
    <x v="4"/>
    <n v="2"/>
    <n v="299"/>
    <n v="0"/>
    <n v="598"/>
    <n v="110"/>
    <n v="220"/>
    <n v="80"/>
    <n v="298"/>
  </r>
  <r>
    <s v="ORD00142"/>
    <x v="250"/>
    <s v="C0057"/>
    <s v="Small Business"/>
    <s v="Delhi"/>
    <x v="5"/>
    <x v="2"/>
    <s v="Credit Card"/>
    <s v="P003"/>
    <x v="10"/>
    <x v="0"/>
    <n v="5"/>
    <n v="1599"/>
    <n v="0.15"/>
    <n v="6795.75"/>
    <n v="900"/>
    <n v="4500"/>
    <n v="60"/>
    <n v="2235.75"/>
  </r>
  <r>
    <s v="ORD01450"/>
    <x v="251"/>
    <s v="C0146"/>
    <s v="Consumer"/>
    <s v="Chennai"/>
    <x v="9"/>
    <x v="2"/>
    <s v="Debit Card"/>
    <s v="P010"/>
    <x v="11"/>
    <x v="4"/>
    <n v="3"/>
    <n v="299"/>
    <n v="0.05"/>
    <n v="852.15"/>
    <n v="110"/>
    <n v="330"/>
    <n v="0"/>
    <n v="522.15"/>
  </r>
  <r>
    <s v="ORD00890"/>
    <x v="251"/>
    <s v="C0249"/>
    <s v="Consumer"/>
    <s v="Ahmedabad"/>
    <x v="6"/>
    <x v="2"/>
    <s v="UPI"/>
    <s v="P011"/>
    <x v="7"/>
    <x v="1"/>
    <n v="2"/>
    <n v="6999"/>
    <n v="0.2"/>
    <n v="11198.4"/>
    <n v="4900"/>
    <n v="9800"/>
    <n v="0"/>
    <n v="1398.4"/>
  </r>
  <r>
    <s v="ORD00008"/>
    <x v="251"/>
    <s v="C0182"/>
    <s v="Consumer"/>
    <s v="Chennai"/>
    <x v="9"/>
    <x v="0"/>
    <s v="Debit Card"/>
    <s v="P008"/>
    <x v="2"/>
    <x v="2"/>
    <n v="2"/>
    <n v="1799"/>
    <n v="0.05"/>
    <n v="3418.1"/>
    <n v="850"/>
    <n v="1700"/>
    <n v="40"/>
    <n v="1678.1"/>
  </r>
  <r>
    <s v="ORD00991"/>
    <x v="251"/>
    <s v="C0323"/>
    <s v="Small Business"/>
    <s v="Bhopal"/>
    <x v="1"/>
    <x v="1"/>
    <s v="Cash on Delivery"/>
    <s v="P011"/>
    <x v="7"/>
    <x v="1"/>
    <n v="1"/>
    <n v="6999"/>
    <n v="0"/>
    <n v="6999"/>
    <n v="4900"/>
    <n v="4900"/>
    <n v="0"/>
    <n v="2099"/>
  </r>
  <r>
    <s v="ORD01274"/>
    <x v="252"/>
    <s v="C0328"/>
    <s v="Consumer"/>
    <s v="Delhi"/>
    <x v="5"/>
    <x v="1"/>
    <s v="Cash on Delivery"/>
    <s v="P008"/>
    <x v="2"/>
    <x v="2"/>
    <n v="1"/>
    <n v="1799"/>
    <n v="0"/>
    <n v="1799"/>
    <n v="850"/>
    <n v="850"/>
    <n v="80"/>
    <n v="869"/>
  </r>
  <r>
    <s v="ORD00863"/>
    <x v="252"/>
    <s v="C0205"/>
    <s v="Corporate"/>
    <s v="Indore"/>
    <x v="1"/>
    <x v="1"/>
    <s v="Cash on Delivery"/>
    <s v="P012"/>
    <x v="6"/>
    <x v="0"/>
    <n v="3"/>
    <n v="2199"/>
    <n v="0.15"/>
    <n v="5607.45"/>
    <n v="1250"/>
    <n v="3750"/>
    <n v="60"/>
    <n v="1797.45"/>
  </r>
  <r>
    <s v="ORD00049"/>
    <x v="252"/>
    <s v="C0261"/>
    <s v="Corporate"/>
    <s v="Indore"/>
    <x v="1"/>
    <x v="0"/>
    <s v="Cash on Delivery"/>
    <s v="P002"/>
    <x v="5"/>
    <x v="0"/>
    <n v="5"/>
    <n v="2499"/>
    <n v="0.05"/>
    <n v="11870.25"/>
    <n v="1450"/>
    <n v="7250"/>
    <n v="60"/>
    <n v="4560.25"/>
  </r>
  <r>
    <s v="ORD00138"/>
    <x v="253"/>
    <s v="C0121"/>
    <s v="Corporate"/>
    <s v="Jaipur"/>
    <x v="4"/>
    <x v="2"/>
    <s v="Debit Card"/>
    <s v="P001"/>
    <x v="0"/>
    <x v="0"/>
    <n v="2"/>
    <n v="799"/>
    <n v="0"/>
    <n v="1598"/>
    <n v="420"/>
    <n v="840"/>
    <n v="80"/>
    <n v="678"/>
  </r>
  <r>
    <s v="ORD01197"/>
    <x v="254"/>
    <s v="C0079"/>
    <s v="Small Business"/>
    <s v="Bhopal"/>
    <x v="1"/>
    <x v="0"/>
    <s v="Credit Card"/>
    <s v="P008"/>
    <x v="2"/>
    <x v="2"/>
    <n v="1"/>
    <n v="1799"/>
    <n v="0.1"/>
    <n v="1619.1"/>
    <n v="850"/>
    <n v="850"/>
    <n v="40"/>
    <n v="729.1"/>
  </r>
  <r>
    <s v="ORD01255"/>
    <x v="254"/>
    <s v="C0006"/>
    <s v="Corporate"/>
    <s v="Bhopal"/>
    <x v="1"/>
    <x v="2"/>
    <s v="Cash on Delivery"/>
    <s v="P003"/>
    <x v="10"/>
    <x v="0"/>
    <n v="2"/>
    <n v="1599"/>
    <n v="0"/>
    <n v="3198"/>
    <n v="900"/>
    <n v="1800"/>
    <n v="40"/>
    <n v="1358"/>
  </r>
  <r>
    <s v="ORD00912"/>
    <x v="255"/>
    <s v="C0406"/>
    <s v="Consumer"/>
    <s v="Kolkata"/>
    <x v="7"/>
    <x v="2"/>
    <s v="Debit Card"/>
    <s v="P012"/>
    <x v="6"/>
    <x v="0"/>
    <n v="2"/>
    <n v="2199"/>
    <n v="0.1"/>
    <n v="3958.2"/>
    <n v="1250"/>
    <n v="2500"/>
    <n v="40"/>
    <n v="1418.2"/>
  </r>
  <r>
    <s v="ORD00725"/>
    <x v="255"/>
    <s v="C0208"/>
    <s v="Small Business"/>
    <s v="Pune"/>
    <x v="3"/>
    <x v="2"/>
    <s v="Debit Card"/>
    <s v="P006"/>
    <x v="8"/>
    <x v="3"/>
    <n v="2"/>
    <n v="2999"/>
    <n v="0"/>
    <n v="5998"/>
    <n v="1750"/>
    <n v="3500"/>
    <n v="100"/>
    <n v="2398"/>
  </r>
  <r>
    <s v="ORD01069"/>
    <x v="256"/>
    <s v="C0233"/>
    <s v="Consumer"/>
    <s v="Pune"/>
    <x v="3"/>
    <x v="1"/>
    <s v="Cash on Delivery"/>
    <s v="P004"/>
    <x v="3"/>
    <x v="1"/>
    <n v="1"/>
    <n v="499"/>
    <n v="0.2"/>
    <n v="399.2"/>
    <n v="180"/>
    <n v="180"/>
    <n v="100"/>
    <n v="119.2"/>
  </r>
  <r>
    <s v="ORD00785"/>
    <x v="256"/>
    <s v="C0074"/>
    <s v="Small Business"/>
    <s v="Bengaluru"/>
    <x v="2"/>
    <x v="1"/>
    <s v="Cash on Delivery"/>
    <s v="P007"/>
    <x v="4"/>
    <x v="3"/>
    <n v="2"/>
    <n v="999"/>
    <n v="0.1"/>
    <n v="1798.2"/>
    <n v="520"/>
    <n v="1040"/>
    <n v="40"/>
    <n v="718.2"/>
  </r>
  <r>
    <s v="ORD01108"/>
    <x v="256"/>
    <s v="C0070"/>
    <s v="Small Business"/>
    <s v="Chennai"/>
    <x v="9"/>
    <x v="1"/>
    <s v="Credit Card"/>
    <s v="P007"/>
    <x v="4"/>
    <x v="3"/>
    <n v="2"/>
    <n v="999"/>
    <n v="0.1"/>
    <n v="1798.2"/>
    <n v="520"/>
    <n v="1040"/>
    <n v="0"/>
    <n v="758.2"/>
  </r>
  <r>
    <s v="ORD01042"/>
    <x v="256"/>
    <s v="C0434"/>
    <s v="Small Business"/>
    <s v="Chennai"/>
    <x v="9"/>
    <x v="2"/>
    <s v="Credit Card"/>
    <s v="P003"/>
    <x v="10"/>
    <x v="0"/>
    <n v="1"/>
    <n v="1599"/>
    <n v="0.05"/>
    <n v="1519.05"/>
    <n v="900"/>
    <n v="900"/>
    <n v="40"/>
    <n v="579.04999999999995"/>
  </r>
  <r>
    <s v="ORD00873"/>
    <x v="257"/>
    <s v="C0429"/>
    <s v="Corporate"/>
    <s v="Delhi"/>
    <x v="5"/>
    <x v="1"/>
    <s v="Cash on Delivery"/>
    <s v="P006"/>
    <x v="8"/>
    <x v="3"/>
    <n v="1"/>
    <n v="2999"/>
    <n v="0.15"/>
    <n v="2549.15"/>
    <n v="1750"/>
    <n v="1750"/>
    <n v="0"/>
    <n v="799.15"/>
  </r>
  <r>
    <s v="ORD00366"/>
    <x v="257"/>
    <s v="C0266"/>
    <s v="Small Business"/>
    <s v="Bengaluru"/>
    <x v="2"/>
    <x v="0"/>
    <s v="Credit Card"/>
    <s v="P012"/>
    <x v="6"/>
    <x v="0"/>
    <n v="1"/>
    <n v="2199"/>
    <n v="0.2"/>
    <n v="1759.2"/>
    <n v="1250"/>
    <n v="1250"/>
    <n v="60"/>
    <n v="449.2"/>
  </r>
  <r>
    <s v="ORD00642"/>
    <x v="257"/>
    <s v="C0154"/>
    <s v="Consumer"/>
    <s v="Mumbai"/>
    <x v="3"/>
    <x v="2"/>
    <s v="Debit Card"/>
    <s v="P010"/>
    <x v="11"/>
    <x v="4"/>
    <n v="1"/>
    <n v="299"/>
    <n v="0"/>
    <n v="299"/>
    <n v="110"/>
    <n v="110"/>
    <n v="60"/>
    <n v="129"/>
  </r>
  <r>
    <s v="ORD00595"/>
    <x v="257"/>
    <s v="C0229"/>
    <s v="Consumer"/>
    <s v="Ahmedabad"/>
    <x v="6"/>
    <x v="1"/>
    <s v="Cash on Delivery"/>
    <s v="P006"/>
    <x v="8"/>
    <x v="3"/>
    <n v="1"/>
    <n v="2999"/>
    <n v="0.15"/>
    <n v="2549.15"/>
    <n v="1750"/>
    <n v="1750"/>
    <n v="80"/>
    <n v="719.15"/>
  </r>
  <r>
    <s v="ORD01180"/>
    <x v="258"/>
    <s v="C0261"/>
    <s v="Small Business"/>
    <s v="Indore"/>
    <x v="1"/>
    <x v="2"/>
    <s v="Net Banking"/>
    <s v="P009"/>
    <x v="9"/>
    <x v="2"/>
    <n v="4"/>
    <n v="599"/>
    <n v="0"/>
    <n v="2396"/>
    <n v="240"/>
    <n v="960"/>
    <n v="80"/>
    <n v="1356"/>
  </r>
  <r>
    <s v="ORD01178"/>
    <x v="259"/>
    <s v="C0326"/>
    <s v="Consumer"/>
    <s v="Hyderabad"/>
    <x v="0"/>
    <x v="1"/>
    <s v="Net Banking"/>
    <s v="P005"/>
    <x v="1"/>
    <x v="1"/>
    <n v="4"/>
    <n v="1299"/>
    <n v="0.15"/>
    <n v="4416.6000000000004"/>
    <n v="700"/>
    <n v="2800"/>
    <n v="40"/>
    <n v="1576.6"/>
  </r>
  <r>
    <s v="ORD01249"/>
    <x v="259"/>
    <s v="C0385"/>
    <s v="Consumer"/>
    <s v="Bhopal"/>
    <x v="1"/>
    <x v="0"/>
    <s v="Credit Card"/>
    <s v="P002"/>
    <x v="5"/>
    <x v="0"/>
    <n v="1"/>
    <n v="2499"/>
    <n v="0.2"/>
    <n v="1999.2"/>
    <n v="1450"/>
    <n v="1450"/>
    <n v="0"/>
    <n v="549.20000000000005"/>
  </r>
  <r>
    <s v="ORD00749"/>
    <x v="259"/>
    <s v="C0130"/>
    <s v="Consumer"/>
    <s v="Hyderabad"/>
    <x v="0"/>
    <x v="0"/>
    <s v="Debit Card"/>
    <s v="P008"/>
    <x v="2"/>
    <x v="2"/>
    <n v="1"/>
    <n v="1799"/>
    <n v="0.15"/>
    <n v="1529.15"/>
    <n v="850"/>
    <n v="850"/>
    <n v="0"/>
    <n v="679.15"/>
  </r>
  <r>
    <s v="ORD00596"/>
    <x v="259"/>
    <s v="C0414"/>
    <s v="Corporate"/>
    <s v="Indore"/>
    <x v="1"/>
    <x v="1"/>
    <s v="Cash on Delivery"/>
    <s v="P008"/>
    <x v="2"/>
    <x v="2"/>
    <n v="2"/>
    <n v="1799"/>
    <n v="0"/>
    <n v="3598"/>
    <n v="850"/>
    <n v="1700"/>
    <n v="40"/>
    <n v="1858"/>
  </r>
  <r>
    <s v="ORD00249"/>
    <x v="260"/>
    <s v="C0420"/>
    <s v="Corporate"/>
    <s v="Kolkata"/>
    <x v="7"/>
    <x v="2"/>
    <s v="Debit Card"/>
    <s v="P002"/>
    <x v="5"/>
    <x v="0"/>
    <n v="2"/>
    <n v="2499"/>
    <n v="0.15"/>
    <n v="4248.3"/>
    <n v="1450"/>
    <n v="2900"/>
    <n v="80"/>
    <n v="1268.3"/>
  </r>
  <r>
    <s v="ORD00154"/>
    <x v="260"/>
    <s v="C0109"/>
    <s v="Consumer"/>
    <s v="Lucknow"/>
    <x v="8"/>
    <x v="0"/>
    <s v="Net Banking"/>
    <s v="P010"/>
    <x v="11"/>
    <x v="4"/>
    <n v="1"/>
    <n v="299"/>
    <n v="0"/>
    <n v="299"/>
    <n v="110"/>
    <n v="110"/>
    <n v="100"/>
    <n v="89"/>
  </r>
  <r>
    <s v="ORD01075"/>
    <x v="260"/>
    <s v="C0432"/>
    <s v="Small Business"/>
    <s v="Ahmedabad"/>
    <x v="6"/>
    <x v="1"/>
    <s v="Net Banking"/>
    <s v="P011"/>
    <x v="7"/>
    <x v="1"/>
    <n v="4"/>
    <n v="6999"/>
    <n v="0.1"/>
    <n v="25196.400000000001"/>
    <n v="4900"/>
    <n v="19600"/>
    <n v="60"/>
    <n v="5536.4"/>
  </r>
  <r>
    <s v="ORD00343"/>
    <x v="261"/>
    <s v="C0262"/>
    <s v="Consumer"/>
    <s v="Lucknow"/>
    <x v="8"/>
    <x v="0"/>
    <s v="UPI"/>
    <s v="P003"/>
    <x v="10"/>
    <x v="0"/>
    <n v="3"/>
    <n v="1599"/>
    <n v="0.15"/>
    <n v="4077.45"/>
    <n v="900"/>
    <n v="2700"/>
    <n v="80"/>
    <n v="1297.45"/>
  </r>
  <r>
    <s v="ORD01356"/>
    <x v="261"/>
    <s v="C0349"/>
    <s v="Consumer"/>
    <s v="Jaipur"/>
    <x v="4"/>
    <x v="0"/>
    <s v="Debit Card"/>
    <s v="P002"/>
    <x v="5"/>
    <x v="0"/>
    <n v="5"/>
    <n v="2499"/>
    <n v="0.1"/>
    <n v="11245.5"/>
    <n v="1450"/>
    <n v="7250"/>
    <n v="40"/>
    <n v="3955.5"/>
  </r>
  <r>
    <s v="ORD00688"/>
    <x v="261"/>
    <s v="C0319"/>
    <s v="Corporate"/>
    <s v="Mumbai"/>
    <x v="3"/>
    <x v="2"/>
    <s v="Net Banking"/>
    <s v="P011"/>
    <x v="7"/>
    <x v="1"/>
    <n v="1"/>
    <n v="6999"/>
    <n v="0"/>
    <n v="6999"/>
    <n v="4900"/>
    <n v="4900"/>
    <n v="40"/>
    <n v="2059"/>
  </r>
  <r>
    <s v="ORD00747"/>
    <x v="262"/>
    <s v="C0402"/>
    <s v="Small Business"/>
    <s v="Ahmedabad"/>
    <x v="6"/>
    <x v="1"/>
    <s v="UPI"/>
    <s v="P003"/>
    <x v="10"/>
    <x v="0"/>
    <n v="1"/>
    <n v="1599"/>
    <n v="0.15"/>
    <n v="1359.15"/>
    <n v="900"/>
    <n v="900"/>
    <n v="60"/>
    <n v="399.15"/>
  </r>
  <r>
    <s v="ORD00985"/>
    <x v="262"/>
    <s v="C0192"/>
    <s v="Corporate"/>
    <s v="Hyderabad"/>
    <x v="0"/>
    <x v="1"/>
    <s v="Net Banking"/>
    <s v="P001"/>
    <x v="0"/>
    <x v="0"/>
    <n v="2"/>
    <n v="799"/>
    <n v="0"/>
    <n v="1598"/>
    <n v="420"/>
    <n v="840"/>
    <n v="60"/>
    <n v="698"/>
  </r>
  <r>
    <s v="ORD00167"/>
    <x v="262"/>
    <s v="C0236"/>
    <s v="Small Business"/>
    <s v="Bhopal"/>
    <x v="1"/>
    <x v="1"/>
    <s v="UPI"/>
    <s v="P002"/>
    <x v="5"/>
    <x v="0"/>
    <n v="1"/>
    <n v="2499"/>
    <n v="0.05"/>
    <n v="2374.0500000000002"/>
    <n v="1450"/>
    <n v="1450"/>
    <n v="40"/>
    <n v="884.05"/>
  </r>
  <r>
    <s v="ORD00279"/>
    <x v="262"/>
    <s v="C0296"/>
    <s v="Small Business"/>
    <s v="Chennai"/>
    <x v="9"/>
    <x v="0"/>
    <s v="Debit Card"/>
    <s v="P004"/>
    <x v="3"/>
    <x v="1"/>
    <n v="3"/>
    <n v="499"/>
    <n v="0.2"/>
    <n v="1197.5999999999999"/>
    <n v="180"/>
    <n v="540"/>
    <n v="100"/>
    <n v="557.6"/>
  </r>
  <r>
    <s v="ORD01395"/>
    <x v="262"/>
    <s v="C0148"/>
    <s v="Consumer"/>
    <s v="Delhi"/>
    <x v="5"/>
    <x v="0"/>
    <s v="Cash on Delivery"/>
    <s v="P005"/>
    <x v="1"/>
    <x v="1"/>
    <n v="1"/>
    <n v="1299"/>
    <n v="0.05"/>
    <n v="1234.05"/>
    <n v="700"/>
    <n v="700"/>
    <n v="0"/>
    <n v="534.04999999999995"/>
  </r>
  <r>
    <s v="ORD00164"/>
    <x v="262"/>
    <s v="C0067"/>
    <s v="Corporate"/>
    <s v="Delhi"/>
    <x v="5"/>
    <x v="0"/>
    <s v="Credit Card"/>
    <s v="P006"/>
    <x v="8"/>
    <x v="3"/>
    <n v="1"/>
    <n v="2999"/>
    <n v="0.1"/>
    <n v="2699.1"/>
    <n v="1750"/>
    <n v="1750"/>
    <n v="80"/>
    <n v="869.1"/>
  </r>
  <r>
    <s v="ORD01467"/>
    <x v="263"/>
    <s v="C0396"/>
    <s v="Corporate"/>
    <s v="Lucknow"/>
    <x v="8"/>
    <x v="1"/>
    <s v="Debit Card"/>
    <s v="P005"/>
    <x v="1"/>
    <x v="1"/>
    <n v="2"/>
    <n v="1299"/>
    <n v="0.1"/>
    <n v="2338.1999999999998"/>
    <n v="700"/>
    <n v="1400"/>
    <n v="0"/>
    <n v="938.2"/>
  </r>
  <r>
    <s v="ORD00477"/>
    <x v="263"/>
    <s v="C0060"/>
    <s v="Consumer"/>
    <s v="Ahmedabad"/>
    <x v="6"/>
    <x v="2"/>
    <s v="UPI"/>
    <s v="P006"/>
    <x v="8"/>
    <x v="3"/>
    <n v="3"/>
    <n v="2999"/>
    <n v="0.05"/>
    <n v="8547.15"/>
    <n v="1750"/>
    <n v="5250"/>
    <n v="80"/>
    <n v="3217.15"/>
  </r>
  <r>
    <s v="ORD00502"/>
    <x v="263"/>
    <s v="C0333"/>
    <s v="Consumer"/>
    <s v="Ahmedabad"/>
    <x v="6"/>
    <x v="0"/>
    <s v="Cash on Delivery"/>
    <s v="P011"/>
    <x v="7"/>
    <x v="1"/>
    <n v="1"/>
    <n v="6999"/>
    <n v="0.2"/>
    <n v="5599.2"/>
    <n v="4900"/>
    <n v="4900"/>
    <n v="40"/>
    <n v="659.2"/>
  </r>
  <r>
    <s v="ORD00532"/>
    <x v="263"/>
    <s v="C0298"/>
    <s v="Corporate"/>
    <s v="Ahmedabad"/>
    <x v="6"/>
    <x v="1"/>
    <s v="Debit Card"/>
    <s v="P011"/>
    <x v="7"/>
    <x v="1"/>
    <n v="1"/>
    <n v="6999"/>
    <n v="0"/>
    <n v="6999"/>
    <n v="4900"/>
    <n v="4900"/>
    <n v="40"/>
    <n v="2059"/>
  </r>
  <r>
    <s v="ORD01035"/>
    <x v="264"/>
    <s v="C0348"/>
    <s v="Consumer"/>
    <s v="Indore"/>
    <x v="1"/>
    <x v="2"/>
    <s v="Credit Card"/>
    <s v="P006"/>
    <x v="8"/>
    <x v="3"/>
    <n v="5"/>
    <n v="2999"/>
    <n v="0.15"/>
    <n v="12745.75"/>
    <n v="1750"/>
    <n v="8750"/>
    <n v="100"/>
    <n v="3895.75"/>
  </r>
  <r>
    <s v="ORD01078"/>
    <x v="264"/>
    <s v="C0211"/>
    <s v="Small Business"/>
    <s v="Jaipur"/>
    <x v="4"/>
    <x v="2"/>
    <s v="Debit Card"/>
    <s v="P011"/>
    <x v="7"/>
    <x v="1"/>
    <n v="4"/>
    <n v="6999"/>
    <n v="0.2"/>
    <n v="22396.799999999999"/>
    <n v="4900"/>
    <n v="19600"/>
    <n v="40"/>
    <n v="2756.8"/>
  </r>
  <r>
    <s v="ORD00321"/>
    <x v="264"/>
    <s v="C0325"/>
    <s v="Corporate"/>
    <s v="Delhi"/>
    <x v="5"/>
    <x v="2"/>
    <s v="Debit Card"/>
    <s v="P012"/>
    <x v="6"/>
    <x v="0"/>
    <n v="1"/>
    <n v="2199"/>
    <n v="0.1"/>
    <n v="1979.1"/>
    <n v="1250"/>
    <n v="1250"/>
    <n v="80"/>
    <n v="649.1"/>
  </r>
  <r>
    <s v="ORD00816"/>
    <x v="264"/>
    <s v="C0172"/>
    <s v="Corporate"/>
    <s v="Indore"/>
    <x v="1"/>
    <x v="0"/>
    <s v="Debit Card"/>
    <s v="P004"/>
    <x v="3"/>
    <x v="1"/>
    <n v="1"/>
    <n v="499"/>
    <n v="0"/>
    <n v="499"/>
    <n v="180"/>
    <n v="180"/>
    <n v="100"/>
    <n v="219"/>
  </r>
  <r>
    <s v="ORD00203"/>
    <x v="265"/>
    <s v="C0159"/>
    <s v="Small Business"/>
    <s v="Chennai"/>
    <x v="9"/>
    <x v="1"/>
    <s v="Cash on Delivery"/>
    <s v="P004"/>
    <x v="3"/>
    <x v="1"/>
    <n v="1"/>
    <n v="499"/>
    <n v="0"/>
    <n v="499"/>
    <n v="180"/>
    <n v="180"/>
    <n v="0"/>
    <n v="319"/>
  </r>
  <r>
    <s v="ORD01490"/>
    <x v="266"/>
    <s v="C0166"/>
    <s v="Small Business"/>
    <s v="Lucknow"/>
    <x v="8"/>
    <x v="1"/>
    <s v="Cash on Delivery"/>
    <s v="P012"/>
    <x v="6"/>
    <x v="0"/>
    <n v="4"/>
    <n v="2199"/>
    <n v="0.2"/>
    <n v="7036.8"/>
    <n v="1250"/>
    <n v="5000"/>
    <n v="60"/>
    <n v="1976.8"/>
  </r>
  <r>
    <s v="ORD00969"/>
    <x v="267"/>
    <s v="C0370"/>
    <s v="Small Business"/>
    <s v="Hyderabad"/>
    <x v="0"/>
    <x v="1"/>
    <s v="Debit Card"/>
    <s v="P007"/>
    <x v="4"/>
    <x v="3"/>
    <n v="1"/>
    <n v="999"/>
    <n v="0.2"/>
    <n v="799.2"/>
    <n v="520"/>
    <n v="520"/>
    <n v="100"/>
    <n v="179.2"/>
  </r>
  <r>
    <s v="ORD01231"/>
    <x v="268"/>
    <s v="C0115"/>
    <s v="Consumer"/>
    <s v="Mumbai"/>
    <x v="3"/>
    <x v="2"/>
    <s v="Net Banking"/>
    <s v="P002"/>
    <x v="5"/>
    <x v="0"/>
    <n v="2"/>
    <n v="2499"/>
    <n v="0.1"/>
    <n v="4498.2"/>
    <n v="1450"/>
    <n v="2900"/>
    <n v="40"/>
    <n v="1558.2"/>
  </r>
  <r>
    <s v="ORD00032"/>
    <x v="268"/>
    <s v="C0383"/>
    <s v="Corporate"/>
    <s v="Mumbai"/>
    <x v="3"/>
    <x v="2"/>
    <s v="UPI"/>
    <s v="P004"/>
    <x v="3"/>
    <x v="1"/>
    <n v="5"/>
    <n v="499"/>
    <n v="0.15"/>
    <n v="2120.75"/>
    <n v="180"/>
    <n v="900"/>
    <n v="100"/>
    <n v="1120.75"/>
  </r>
  <r>
    <s v="ORD00459"/>
    <x v="269"/>
    <s v="C0176"/>
    <s v="Corporate"/>
    <s v="Bengaluru"/>
    <x v="2"/>
    <x v="0"/>
    <s v="Net Banking"/>
    <s v="P007"/>
    <x v="4"/>
    <x v="3"/>
    <n v="1"/>
    <n v="999"/>
    <n v="0"/>
    <n v="999"/>
    <n v="520"/>
    <n v="520"/>
    <n v="40"/>
    <n v="439"/>
  </r>
  <r>
    <s v="ORD01157"/>
    <x v="269"/>
    <s v="C0442"/>
    <s v="Small Business"/>
    <s v="Ahmedabad"/>
    <x v="6"/>
    <x v="2"/>
    <s v="Net Banking"/>
    <s v="P010"/>
    <x v="11"/>
    <x v="4"/>
    <n v="1"/>
    <n v="299"/>
    <n v="0.05"/>
    <n v="284.05"/>
    <n v="110"/>
    <n v="110"/>
    <n v="0"/>
    <n v="174.05"/>
  </r>
  <r>
    <s v="ORD01394"/>
    <x v="269"/>
    <s v="C0277"/>
    <s v="Corporate"/>
    <s v="Bhopal"/>
    <x v="1"/>
    <x v="2"/>
    <s v="Credit Card"/>
    <s v="P002"/>
    <x v="5"/>
    <x v="0"/>
    <n v="1"/>
    <n v="2499"/>
    <n v="0"/>
    <n v="2499"/>
    <n v="1450"/>
    <n v="1450"/>
    <n v="0"/>
    <n v="1049"/>
  </r>
  <r>
    <s v="ORD01188"/>
    <x v="269"/>
    <s v="C0182"/>
    <s v="Consumer"/>
    <s v="Kolkata"/>
    <x v="7"/>
    <x v="2"/>
    <s v="Net Banking"/>
    <s v="P006"/>
    <x v="8"/>
    <x v="3"/>
    <n v="1"/>
    <n v="2999"/>
    <n v="0.05"/>
    <n v="2849.05"/>
    <n v="1750"/>
    <n v="1750"/>
    <n v="40"/>
    <n v="1059.05"/>
  </r>
  <r>
    <s v="ORD00501"/>
    <x v="270"/>
    <s v="C0112"/>
    <s v="Consumer"/>
    <s v="Indore"/>
    <x v="1"/>
    <x v="2"/>
    <s v="Cash on Delivery"/>
    <s v="P012"/>
    <x v="6"/>
    <x v="0"/>
    <n v="2"/>
    <n v="2199"/>
    <n v="0.05"/>
    <n v="4178.1000000000004"/>
    <n v="1250"/>
    <n v="2500"/>
    <n v="100"/>
    <n v="1578.1"/>
  </r>
  <r>
    <s v="ORD01107"/>
    <x v="271"/>
    <s v="C0195"/>
    <s v="Corporate"/>
    <s v="Hyderabad"/>
    <x v="0"/>
    <x v="1"/>
    <s v="Net Banking"/>
    <s v="P010"/>
    <x v="11"/>
    <x v="4"/>
    <n v="2"/>
    <n v="299"/>
    <n v="0.15"/>
    <n v="508.3"/>
    <n v="110"/>
    <n v="220"/>
    <n v="40"/>
    <n v="248.3"/>
  </r>
  <r>
    <s v="ORD00645"/>
    <x v="271"/>
    <s v="C0040"/>
    <s v="Small Business"/>
    <s v="Ahmedabad"/>
    <x v="6"/>
    <x v="1"/>
    <s v="Net Banking"/>
    <s v="P002"/>
    <x v="5"/>
    <x v="0"/>
    <n v="2"/>
    <n v="2499"/>
    <n v="0.15"/>
    <n v="4248.3"/>
    <n v="1450"/>
    <n v="2900"/>
    <n v="40"/>
    <n v="1308.3"/>
  </r>
  <r>
    <s v="ORD01374"/>
    <x v="271"/>
    <s v="C0134"/>
    <s v="Small Business"/>
    <s v="Lucknow"/>
    <x v="8"/>
    <x v="0"/>
    <s v="Net Banking"/>
    <s v="P007"/>
    <x v="4"/>
    <x v="3"/>
    <n v="2"/>
    <n v="999"/>
    <n v="0"/>
    <n v="1998"/>
    <n v="520"/>
    <n v="1040"/>
    <n v="40"/>
    <n v="918"/>
  </r>
  <r>
    <s v="ORD00836"/>
    <x v="271"/>
    <s v="C0341"/>
    <s v="Corporate"/>
    <s v="Indore"/>
    <x v="1"/>
    <x v="1"/>
    <s v="Credit Card"/>
    <s v="P011"/>
    <x v="7"/>
    <x v="1"/>
    <n v="3"/>
    <n v="6999"/>
    <n v="0.1"/>
    <n v="18897.3"/>
    <n v="4900"/>
    <n v="14700"/>
    <n v="0"/>
    <n v="4197.3"/>
  </r>
  <r>
    <s v="ORD00471"/>
    <x v="272"/>
    <s v="C0319"/>
    <s v="Small Business"/>
    <s v="Hyderabad"/>
    <x v="0"/>
    <x v="0"/>
    <s v="Credit Card"/>
    <s v="P007"/>
    <x v="4"/>
    <x v="3"/>
    <n v="2"/>
    <n v="999"/>
    <n v="0.2"/>
    <n v="1598.4"/>
    <n v="520"/>
    <n v="1040"/>
    <n v="100"/>
    <n v="458.4"/>
  </r>
  <r>
    <s v="ORD00196"/>
    <x v="272"/>
    <s v="C0033"/>
    <s v="Consumer"/>
    <s v="Jaipur"/>
    <x v="4"/>
    <x v="1"/>
    <s v="Cash on Delivery"/>
    <s v="P002"/>
    <x v="5"/>
    <x v="0"/>
    <n v="1"/>
    <n v="2499"/>
    <n v="0.1"/>
    <n v="2249.1"/>
    <n v="1450"/>
    <n v="1450"/>
    <n v="100"/>
    <n v="699.1"/>
  </r>
  <r>
    <s v="ORD00972"/>
    <x v="272"/>
    <s v="C0369"/>
    <s v="Small Business"/>
    <s v="Ahmedabad"/>
    <x v="6"/>
    <x v="2"/>
    <s v="Cash on Delivery"/>
    <s v="P002"/>
    <x v="5"/>
    <x v="0"/>
    <n v="1"/>
    <n v="2499"/>
    <n v="0.05"/>
    <n v="2374.0500000000002"/>
    <n v="1450"/>
    <n v="1450"/>
    <n v="80"/>
    <n v="844.05"/>
  </r>
  <r>
    <s v="ORD00917"/>
    <x v="273"/>
    <s v="C0298"/>
    <s v="Consumer"/>
    <s v="Mumbai"/>
    <x v="3"/>
    <x v="1"/>
    <s v="Credit Card"/>
    <s v="P007"/>
    <x v="4"/>
    <x v="3"/>
    <n v="2"/>
    <n v="999"/>
    <n v="0"/>
    <n v="1998"/>
    <n v="520"/>
    <n v="1040"/>
    <n v="100"/>
    <n v="858"/>
  </r>
  <r>
    <s v="ORD00710"/>
    <x v="273"/>
    <s v="C0402"/>
    <s v="Consumer"/>
    <s v="Chennai"/>
    <x v="9"/>
    <x v="2"/>
    <s v="UPI"/>
    <s v="P004"/>
    <x v="3"/>
    <x v="1"/>
    <n v="2"/>
    <n v="499"/>
    <n v="0"/>
    <n v="998"/>
    <n v="180"/>
    <n v="360"/>
    <n v="0"/>
    <n v="638"/>
  </r>
  <r>
    <s v="ORD01058"/>
    <x v="273"/>
    <s v="C0362"/>
    <s v="Small Business"/>
    <s v="Bengaluru"/>
    <x v="2"/>
    <x v="2"/>
    <s v="Cash on Delivery"/>
    <s v="P012"/>
    <x v="6"/>
    <x v="0"/>
    <n v="3"/>
    <n v="2199"/>
    <n v="0.2"/>
    <n v="5277.6"/>
    <n v="1250"/>
    <n v="3750"/>
    <n v="60"/>
    <n v="1467.6"/>
  </r>
  <r>
    <s v="ORD00945"/>
    <x v="273"/>
    <s v="C0418"/>
    <s v="Consumer"/>
    <s v="Pune"/>
    <x v="3"/>
    <x v="0"/>
    <s v="Credit Card"/>
    <s v="P002"/>
    <x v="5"/>
    <x v="0"/>
    <n v="1"/>
    <n v="2499"/>
    <n v="0"/>
    <n v="2499"/>
    <n v="1450"/>
    <n v="1450"/>
    <n v="40"/>
    <n v="1009"/>
  </r>
  <r>
    <s v="ORD01216"/>
    <x v="274"/>
    <s v="C0088"/>
    <s v="Consumer"/>
    <s v="Pune"/>
    <x v="3"/>
    <x v="2"/>
    <s v="Cash on Delivery"/>
    <s v="P004"/>
    <x v="3"/>
    <x v="1"/>
    <n v="1"/>
    <n v="499"/>
    <n v="0.05"/>
    <n v="474.05"/>
    <n v="180"/>
    <n v="180"/>
    <n v="100"/>
    <n v="194.05"/>
  </r>
  <r>
    <s v="ORD00835"/>
    <x v="275"/>
    <s v="C0406"/>
    <s v="Consumer"/>
    <s v="Mumbai"/>
    <x v="3"/>
    <x v="2"/>
    <s v="Debit Card"/>
    <s v="P008"/>
    <x v="2"/>
    <x v="2"/>
    <n v="2"/>
    <n v="1799"/>
    <n v="0.1"/>
    <n v="3238.2"/>
    <n v="850"/>
    <n v="1700"/>
    <n v="40"/>
    <n v="1498.2"/>
  </r>
  <r>
    <s v="ORD00649"/>
    <x v="276"/>
    <s v="C0168"/>
    <s v="Small Business"/>
    <s v="Delhi"/>
    <x v="5"/>
    <x v="0"/>
    <s v="Credit Card"/>
    <s v="P009"/>
    <x v="9"/>
    <x v="2"/>
    <n v="1"/>
    <n v="599"/>
    <n v="0.15"/>
    <n v="509.15"/>
    <n v="240"/>
    <n v="240"/>
    <n v="100"/>
    <n v="169.15"/>
  </r>
  <r>
    <s v="ORD00665"/>
    <x v="276"/>
    <s v="C0178"/>
    <s v="Small Business"/>
    <s v="Mumbai"/>
    <x v="3"/>
    <x v="1"/>
    <s v="Debit Card"/>
    <s v="P006"/>
    <x v="8"/>
    <x v="3"/>
    <n v="2"/>
    <n v="2999"/>
    <n v="0.2"/>
    <n v="4798.3999999999996"/>
    <n v="1750"/>
    <n v="3500"/>
    <n v="40"/>
    <n v="1258.4000000000001"/>
  </r>
  <r>
    <s v="ORD01251"/>
    <x v="277"/>
    <s v="C0268"/>
    <s v="Corporate"/>
    <s v="Pune"/>
    <x v="3"/>
    <x v="2"/>
    <s v="Credit Card"/>
    <s v="P012"/>
    <x v="6"/>
    <x v="0"/>
    <n v="1"/>
    <n v="2199"/>
    <n v="0"/>
    <n v="2199"/>
    <n v="1250"/>
    <n v="1250"/>
    <n v="60"/>
    <n v="889"/>
  </r>
  <r>
    <s v="ORD01285"/>
    <x v="278"/>
    <s v="C0234"/>
    <s v="Corporate"/>
    <s v="Indore"/>
    <x v="1"/>
    <x v="1"/>
    <s v="Debit Card"/>
    <s v="P009"/>
    <x v="9"/>
    <x v="2"/>
    <n v="3"/>
    <n v="599"/>
    <n v="0"/>
    <n v="1797"/>
    <n v="240"/>
    <n v="720"/>
    <n v="80"/>
    <n v="997"/>
  </r>
  <r>
    <s v="ORD01422"/>
    <x v="278"/>
    <s v="C0237"/>
    <s v="Consumer"/>
    <s v="Jaipur"/>
    <x v="4"/>
    <x v="1"/>
    <s v="UPI"/>
    <s v="P010"/>
    <x v="11"/>
    <x v="4"/>
    <n v="2"/>
    <n v="299"/>
    <n v="0.05"/>
    <n v="568.1"/>
    <n v="110"/>
    <n v="220"/>
    <n v="40"/>
    <n v="308.10000000000002"/>
  </r>
  <r>
    <s v="ORD00413"/>
    <x v="278"/>
    <s v="C0001"/>
    <s v="Small Business"/>
    <s v="Ahmedabad"/>
    <x v="6"/>
    <x v="0"/>
    <s v="Net Banking"/>
    <s v="P012"/>
    <x v="6"/>
    <x v="0"/>
    <n v="2"/>
    <n v="2199"/>
    <n v="0"/>
    <n v="4398"/>
    <n v="1250"/>
    <n v="2500"/>
    <n v="40"/>
    <n v="1858"/>
  </r>
  <r>
    <s v="ORD00241"/>
    <x v="279"/>
    <s v="C0243"/>
    <s v="Corporate"/>
    <s v="Bhopal"/>
    <x v="1"/>
    <x v="0"/>
    <s v="Cash on Delivery"/>
    <s v="P012"/>
    <x v="6"/>
    <x v="0"/>
    <n v="3"/>
    <n v="2199"/>
    <n v="0.2"/>
    <n v="5277.6"/>
    <n v="1250"/>
    <n v="3750"/>
    <n v="0"/>
    <n v="1527.6"/>
  </r>
  <r>
    <s v="ORD00425"/>
    <x v="279"/>
    <s v="C0329"/>
    <s v="Small Business"/>
    <s v="Pune"/>
    <x v="3"/>
    <x v="1"/>
    <s v="Credit Card"/>
    <s v="P007"/>
    <x v="4"/>
    <x v="3"/>
    <n v="2"/>
    <n v="999"/>
    <n v="0.2"/>
    <n v="1598.4"/>
    <n v="520"/>
    <n v="1040"/>
    <n v="60"/>
    <n v="498.4"/>
  </r>
  <r>
    <s v="ORD00129"/>
    <x v="280"/>
    <s v="C0152"/>
    <s v="Corporate"/>
    <s v="Pune"/>
    <x v="3"/>
    <x v="0"/>
    <s v="Net Banking"/>
    <s v="P008"/>
    <x v="2"/>
    <x v="2"/>
    <n v="1"/>
    <n v="1799"/>
    <n v="0.05"/>
    <n v="1709.05"/>
    <n v="850"/>
    <n v="850"/>
    <n v="40"/>
    <n v="819.05"/>
  </r>
  <r>
    <s v="ORD00373"/>
    <x v="281"/>
    <s v="C0045"/>
    <s v="Corporate"/>
    <s v="Bengaluru"/>
    <x v="2"/>
    <x v="2"/>
    <s v="Net Banking"/>
    <s v="P012"/>
    <x v="6"/>
    <x v="0"/>
    <n v="2"/>
    <n v="2199"/>
    <n v="0"/>
    <n v="4398"/>
    <n v="1250"/>
    <n v="2500"/>
    <n v="0"/>
    <n v="1898"/>
  </r>
  <r>
    <s v="ORD00372"/>
    <x v="281"/>
    <s v="C0168"/>
    <s v="Corporate"/>
    <s v="Lucknow"/>
    <x v="8"/>
    <x v="0"/>
    <s v="UPI"/>
    <s v="P002"/>
    <x v="5"/>
    <x v="0"/>
    <n v="2"/>
    <n v="2499"/>
    <n v="0"/>
    <n v="4998"/>
    <n v="1450"/>
    <n v="2900"/>
    <n v="40"/>
    <n v="2058"/>
  </r>
  <r>
    <s v="ORD00712"/>
    <x v="281"/>
    <s v="C0068"/>
    <s v="Consumer"/>
    <s v="Indore"/>
    <x v="1"/>
    <x v="0"/>
    <s v="UPI"/>
    <s v="P006"/>
    <x v="8"/>
    <x v="3"/>
    <n v="1"/>
    <n v="2999"/>
    <n v="0"/>
    <n v="2999"/>
    <n v="1750"/>
    <n v="1750"/>
    <n v="100"/>
    <n v="1149"/>
  </r>
  <r>
    <s v="ORD00669"/>
    <x v="282"/>
    <s v="C0335"/>
    <s v="Consumer"/>
    <s v="Bengaluru"/>
    <x v="2"/>
    <x v="0"/>
    <s v="Cash on Delivery"/>
    <s v="P010"/>
    <x v="11"/>
    <x v="4"/>
    <n v="1"/>
    <n v="299"/>
    <n v="0.15"/>
    <n v="254.15"/>
    <n v="110"/>
    <n v="110"/>
    <n v="40"/>
    <n v="104.15"/>
  </r>
  <r>
    <s v="ORD01486"/>
    <x v="283"/>
    <s v="C0285"/>
    <s v="Small Business"/>
    <s v="Lucknow"/>
    <x v="8"/>
    <x v="0"/>
    <s v="UPI"/>
    <s v="P011"/>
    <x v="7"/>
    <x v="1"/>
    <n v="1"/>
    <n v="6999"/>
    <n v="0.1"/>
    <n v="6299.1"/>
    <n v="4900"/>
    <n v="4900"/>
    <n v="80"/>
    <n v="1319.1"/>
  </r>
  <r>
    <s v="ORD00151"/>
    <x v="283"/>
    <s v="C0352"/>
    <s v="Corporate"/>
    <s v="Delhi"/>
    <x v="5"/>
    <x v="2"/>
    <s v="UPI"/>
    <s v="P007"/>
    <x v="4"/>
    <x v="3"/>
    <n v="1"/>
    <n v="999"/>
    <n v="0.05"/>
    <n v="949.05"/>
    <n v="520"/>
    <n v="520"/>
    <n v="60"/>
    <n v="369.05"/>
  </r>
  <r>
    <s v="ORD00231"/>
    <x v="283"/>
    <s v="C0256"/>
    <s v="Corporate"/>
    <s v="Jaipur"/>
    <x v="4"/>
    <x v="1"/>
    <s v="UPI"/>
    <s v="P004"/>
    <x v="3"/>
    <x v="1"/>
    <n v="3"/>
    <n v="499"/>
    <n v="0.1"/>
    <n v="1347.3"/>
    <n v="180"/>
    <n v="540"/>
    <n v="100"/>
    <n v="707.3"/>
  </r>
  <r>
    <s v="ORD01062"/>
    <x v="283"/>
    <s v="C0225"/>
    <s v="Corporate"/>
    <s v="Bengaluru"/>
    <x v="2"/>
    <x v="0"/>
    <s v="UPI"/>
    <s v="P004"/>
    <x v="3"/>
    <x v="1"/>
    <n v="1"/>
    <n v="499"/>
    <n v="0.2"/>
    <n v="399.2"/>
    <n v="180"/>
    <n v="180"/>
    <n v="80"/>
    <n v="139.19999999999999"/>
  </r>
  <r>
    <s v="ORD00883"/>
    <x v="283"/>
    <s v="C0233"/>
    <s v="Small Business"/>
    <s v="Lucknow"/>
    <x v="8"/>
    <x v="0"/>
    <s v="Credit Card"/>
    <s v="P004"/>
    <x v="3"/>
    <x v="1"/>
    <n v="1"/>
    <n v="499"/>
    <n v="0.05"/>
    <n v="474.05"/>
    <n v="180"/>
    <n v="180"/>
    <n v="100"/>
    <n v="194.05"/>
  </r>
  <r>
    <s v="ORD01179"/>
    <x v="283"/>
    <s v="C0085"/>
    <s v="Small Business"/>
    <s v="Pune"/>
    <x v="3"/>
    <x v="2"/>
    <s v="UPI"/>
    <s v="P002"/>
    <x v="5"/>
    <x v="0"/>
    <n v="2"/>
    <n v="2499"/>
    <n v="0"/>
    <n v="4998"/>
    <n v="1450"/>
    <n v="2900"/>
    <n v="40"/>
    <n v="2058"/>
  </r>
  <r>
    <s v="ORD00891"/>
    <x v="284"/>
    <s v="C0344"/>
    <s v="Small Business"/>
    <s v="Chennai"/>
    <x v="9"/>
    <x v="2"/>
    <s v="Net Banking"/>
    <s v="P010"/>
    <x v="11"/>
    <x v="4"/>
    <n v="1"/>
    <n v="299"/>
    <n v="0"/>
    <n v="299"/>
    <n v="110"/>
    <n v="110"/>
    <n v="80"/>
    <n v="109"/>
  </r>
  <r>
    <s v="ORD00941"/>
    <x v="284"/>
    <s v="C0414"/>
    <s v="Corporate"/>
    <s v="Bhopal"/>
    <x v="1"/>
    <x v="1"/>
    <s v="Credit Card"/>
    <s v="P010"/>
    <x v="11"/>
    <x v="4"/>
    <n v="2"/>
    <n v="299"/>
    <n v="0.2"/>
    <n v="478.4"/>
    <n v="110"/>
    <n v="220"/>
    <n v="80"/>
    <n v="178.4"/>
  </r>
  <r>
    <s v="ORD00921"/>
    <x v="285"/>
    <s v="C0326"/>
    <s v="Corporate"/>
    <s v="Indore"/>
    <x v="1"/>
    <x v="2"/>
    <s v="Credit Card"/>
    <s v="P012"/>
    <x v="6"/>
    <x v="0"/>
    <n v="5"/>
    <n v="2199"/>
    <n v="0"/>
    <n v="10995"/>
    <n v="1250"/>
    <n v="6250"/>
    <n v="100"/>
    <n v="4645"/>
  </r>
  <r>
    <s v="ORD00524"/>
    <x v="285"/>
    <s v="C0329"/>
    <s v="Small Business"/>
    <s v="Mumbai"/>
    <x v="3"/>
    <x v="0"/>
    <s v="UPI"/>
    <s v="P001"/>
    <x v="0"/>
    <x v="0"/>
    <n v="1"/>
    <n v="799"/>
    <n v="0"/>
    <n v="799"/>
    <n v="420"/>
    <n v="420"/>
    <n v="100"/>
    <n v="279"/>
  </r>
  <r>
    <s v="ORD01022"/>
    <x v="285"/>
    <s v="C0414"/>
    <s v="Consumer"/>
    <s v="Bhopal"/>
    <x v="1"/>
    <x v="0"/>
    <s v="Credit Card"/>
    <s v="P001"/>
    <x v="0"/>
    <x v="0"/>
    <n v="1"/>
    <n v="799"/>
    <n v="0.05"/>
    <n v="759.05"/>
    <n v="420"/>
    <n v="420"/>
    <n v="0"/>
    <n v="339.05"/>
  </r>
  <r>
    <s v="ORD00037"/>
    <x v="285"/>
    <s v="C0038"/>
    <s v="Small Business"/>
    <s v="Pune"/>
    <x v="3"/>
    <x v="2"/>
    <s v="Cash on Delivery"/>
    <s v="P002"/>
    <x v="5"/>
    <x v="0"/>
    <n v="1"/>
    <n v="2499"/>
    <n v="0.15"/>
    <n v="2124.15"/>
    <n v="1450"/>
    <n v="1450"/>
    <n v="100"/>
    <n v="574.15"/>
  </r>
  <r>
    <s v="ORD01055"/>
    <x v="286"/>
    <s v="C0136"/>
    <s v="Small Business"/>
    <s v="Bengaluru"/>
    <x v="2"/>
    <x v="2"/>
    <s v="Debit Card"/>
    <s v="P005"/>
    <x v="1"/>
    <x v="1"/>
    <n v="1"/>
    <n v="1299"/>
    <n v="0"/>
    <n v="1299"/>
    <n v="700"/>
    <n v="700"/>
    <n v="80"/>
    <n v="519"/>
  </r>
  <r>
    <s v="ORD00896"/>
    <x v="286"/>
    <s v="C0402"/>
    <s v="Consumer"/>
    <s v="Hyderabad"/>
    <x v="0"/>
    <x v="1"/>
    <s v="Net Banking"/>
    <s v="P009"/>
    <x v="9"/>
    <x v="2"/>
    <n v="1"/>
    <n v="599"/>
    <n v="0.2"/>
    <n v="479.2"/>
    <n v="240"/>
    <n v="240"/>
    <n v="40"/>
    <n v="199.2"/>
  </r>
  <r>
    <s v="ORD00996"/>
    <x v="286"/>
    <s v="C0087"/>
    <s v="Corporate"/>
    <s v="Lucknow"/>
    <x v="8"/>
    <x v="2"/>
    <s v="Credit Card"/>
    <s v="P007"/>
    <x v="4"/>
    <x v="3"/>
    <n v="1"/>
    <n v="999"/>
    <n v="0"/>
    <n v="999"/>
    <n v="520"/>
    <n v="520"/>
    <n v="0"/>
    <n v="479"/>
  </r>
  <r>
    <s v="ORD01319"/>
    <x v="287"/>
    <s v="C0024"/>
    <s v="Corporate"/>
    <s v="Jaipur"/>
    <x v="4"/>
    <x v="1"/>
    <s v="UPI"/>
    <s v="P006"/>
    <x v="8"/>
    <x v="3"/>
    <n v="1"/>
    <n v="2999"/>
    <n v="0"/>
    <n v="2999"/>
    <n v="1750"/>
    <n v="1750"/>
    <n v="80"/>
    <n v="1169"/>
  </r>
  <r>
    <s v="ORD01493"/>
    <x v="287"/>
    <s v="C0160"/>
    <s v="Small Business"/>
    <s v="Mumbai"/>
    <x v="3"/>
    <x v="2"/>
    <s v="Credit Card"/>
    <s v="P007"/>
    <x v="4"/>
    <x v="3"/>
    <n v="1"/>
    <n v="999"/>
    <n v="0.1"/>
    <n v="899.1"/>
    <n v="520"/>
    <n v="520"/>
    <n v="0"/>
    <n v="379.1"/>
  </r>
  <r>
    <s v="ORD00672"/>
    <x v="288"/>
    <s v="C0421"/>
    <s v="Small Business"/>
    <s v="Ahmedabad"/>
    <x v="6"/>
    <x v="0"/>
    <s v="Debit Card"/>
    <s v="P007"/>
    <x v="4"/>
    <x v="3"/>
    <n v="5"/>
    <n v="999"/>
    <n v="0.05"/>
    <n v="4745.25"/>
    <n v="520"/>
    <n v="2600"/>
    <n v="80"/>
    <n v="2065.25"/>
  </r>
  <r>
    <s v="ORD00887"/>
    <x v="288"/>
    <s v="C0331"/>
    <s v="Consumer"/>
    <s v="Hyderabad"/>
    <x v="0"/>
    <x v="1"/>
    <s v="Cash on Delivery"/>
    <s v="P002"/>
    <x v="5"/>
    <x v="0"/>
    <n v="2"/>
    <n v="2499"/>
    <n v="0.1"/>
    <n v="4498.2"/>
    <n v="1450"/>
    <n v="2900"/>
    <n v="60"/>
    <n v="1538.2"/>
  </r>
  <r>
    <s v="ORD00193"/>
    <x v="288"/>
    <s v="C0071"/>
    <s v="Consumer"/>
    <s v="Delhi"/>
    <x v="5"/>
    <x v="1"/>
    <s v="Net Banking"/>
    <s v="P002"/>
    <x v="5"/>
    <x v="0"/>
    <n v="3"/>
    <n v="2499"/>
    <n v="0.2"/>
    <n v="5997.6"/>
    <n v="1450"/>
    <n v="4350"/>
    <n v="60"/>
    <n v="1587.6"/>
  </r>
  <r>
    <s v="ORD00330"/>
    <x v="288"/>
    <s v="C0435"/>
    <s v="Corporate"/>
    <s v="Mumbai"/>
    <x v="3"/>
    <x v="0"/>
    <s v="UPI"/>
    <s v="P002"/>
    <x v="5"/>
    <x v="0"/>
    <n v="1"/>
    <n v="2499"/>
    <n v="0.2"/>
    <n v="1999.2"/>
    <n v="1450"/>
    <n v="1450"/>
    <n v="0"/>
    <n v="549.20000000000005"/>
  </r>
  <r>
    <s v="ORD01143"/>
    <x v="289"/>
    <s v="C0435"/>
    <s v="Small Business"/>
    <s v="Hyderabad"/>
    <x v="0"/>
    <x v="0"/>
    <s v="Net Banking"/>
    <s v="P005"/>
    <x v="1"/>
    <x v="1"/>
    <n v="2"/>
    <n v="1299"/>
    <n v="0.2"/>
    <n v="2078.4"/>
    <n v="700"/>
    <n v="1400"/>
    <n v="0"/>
    <n v="678.4"/>
  </r>
  <r>
    <s v="ORD00290"/>
    <x v="289"/>
    <s v="C0443"/>
    <s v="Consumer"/>
    <s v="Bhopal"/>
    <x v="1"/>
    <x v="0"/>
    <s v="Credit Card"/>
    <s v="P004"/>
    <x v="3"/>
    <x v="1"/>
    <n v="1"/>
    <n v="499"/>
    <n v="0.1"/>
    <n v="449.1"/>
    <n v="180"/>
    <n v="180"/>
    <n v="0"/>
    <n v="269.10000000000002"/>
  </r>
  <r>
    <s v="ORD01388"/>
    <x v="290"/>
    <s v="C0294"/>
    <s v="Small Business"/>
    <s v="Indore"/>
    <x v="1"/>
    <x v="2"/>
    <s v="Credit Card"/>
    <s v="P002"/>
    <x v="5"/>
    <x v="0"/>
    <n v="2"/>
    <n v="2499"/>
    <n v="0.1"/>
    <n v="4498.2"/>
    <n v="1450"/>
    <n v="2900"/>
    <n v="40"/>
    <n v="1558.2"/>
  </r>
  <r>
    <s v="ORD01050"/>
    <x v="291"/>
    <s v="C0254"/>
    <s v="Corporate"/>
    <s v="Ahmedabad"/>
    <x v="6"/>
    <x v="1"/>
    <s v="Cash on Delivery"/>
    <s v="P012"/>
    <x v="6"/>
    <x v="0"/>
    <n v="1"/>
    <n v="2199"/>
    <n v="0.2"/>
    <n v="1759.2"/>
    <n v="1250"/>
    <n v="1250"/>
    <n v="80"/>
    <n v="429.2"/>
  </r>
  <r>
    <s v="ORD01317"/>
    <x v="291"/>
    <s v="C0109"/>
    <s v="Small Business"/>
    <s v="Bhopal"/>
    <x v="1"/>
    <x v="2"/>
    <s v="UPI"/>
    <s v="P004"/>
    <x v="3"/>
    <x v="1"/>
    <n v="2"/>
    <n v="499"/>
    <n v="0.1"/>
    <n v="898.2"/>
    <n v="180"/>
    <n v="360"/>
    <n v="60"/>
    <n v="478.2"/>
  </r>
  <r>
    <s v="ORD00930"/>
    <x v="292"/>
    <s v="C0048"/>
    <s v="Corporate"/>
    <s v="Kolkata"/>
    <x v="7"/>
    <x v="1"/>
    <s v="Credit Card"/>
    <s v="P001"/>
    <x v="0"/>
    <x v="0"/>
    <n v="3"/>
    <n v="799"/>
    <n v="0.15"/>
    <n v="2037.45"/>
    <n v="420"/>
    <n v="1260"/>
    <n v="100"/>
    <n v="677.45"/>
  </r>
  <r>
    <s v="ORD00222"/>
    <x v="292"/>
    <s v="C0129"/>
    <s v="Consumer"/>
    <s v="Pune"/>
    <x v="3"/>
    <x v="0"/>
    <s v="Cash on Delivery"/>
    <s v="P012"/>
    <x v="6"/>
    <x v="0"/>
    <n v="1"/>
    <n v="2199"/>
    <n v="0.15"/>
    <n v="1869.15"/>
    <n v="1250"/>
    <n v="1250"/>
    <n v="60"/>
    <n v="559.15"/>
  </r>
  <r>
    <s v="ORD01315"/>
    <x v="292"/>
    <s v="C0111"/>
    <s v="Small Business"/>
    <s v="Pune"/>
    <x v="3"/>
    <x v="1"/>
    <s v="Debit Card"/>
    <s v="P007"/>
    <x v="4"/>
    <x v="3"/>
    <n v="3"/>
    <n v="999"/>
    <n v="0.05"/>
    <n v="2847.15"/>
    <n v="520"/>
    <n v="1560"/>
    <n v="40"/>
    <n v="1247.1500000000001"/>
  </r>
  <r>
    <s v="ORD01020"/>
    <x v="292"/>
    <s v="C0349"/>
    <s v="Small Business"/>
    <s v="Pune"/>
    <x v="3"/>
    <x v="1"/>
    <s v="Net Banking"/>
    <s v="P007"/>
    <x v="4"/>
    <x v="3"/>
    <n v="3"/>
    <n v="999"/>
    <n v="0.1"/>
    <n v="2697.3"/>
    <n v="520"/>
    <n v="1560"/>
    <n v="60"/>
    <n v="1077.3"/>
  </r>
  <r>
    <s v="ORD00106"/>
    <x v="293"/>
    <s v="C0337"/>
    <s v="Small Business"/>
    <s v="Mumbai"/>
    <x v="3"/>
    <x v="1"/>
    <s v="Net Banking"/>
    <s v="P002"/>
    <x v="5"/>
    <x v="0"/>
    <n v="5"/>
    <n v="2499"/>
    <n v="0.1"/>
    <n v="11245.5"/>
    <n v="1450"/>
    <n v="7250"/>
    <n v="100"/>
    <n v="3895.5"/>
  </r>
  <r>
    <s v="ORD00019"/>
    <x v="293"/>
    <s v="C0030"/>
    <s v="Consumer"/>
    <s v="Bengaluru"/>
    <x v="2"/>
    <x v="0"/>
    <s v="UPI"/>
    <s v="P008"/>
    <x v="2"/>
    <x v="2"/>
    <n v="1"/>
    <n v="1799"/>
    <n v="0.05"/>
    <n v="1709.05"/>
    <n v="850"/>
    <n v="850"/>
    <n v="60"/>
    <n v="799.05"/>
  </r>
  <r>
    <s v="ORD00929"/>
    <x v="294"/>
    <s v="C0442"/>
    <s v="Consumer"/>
    <s v="Bengaluru"/>
    <x v="2"/>
    <x v="0"/>
    <s v="Debit Card"/>
    <s v="P012"/>
    <x v="6"/>
    <x v="0"/>
    <n v="5"/>
    <n v="2199"/>
    <n v="0.15"/>
    <n v="9345.75"/>
    <n v="1250"/>
    <n v="6250"/>
    <n v="40"/>
    <n v="3055.75"/>
  </r>
  <r>
    <s v="ORD00160"/>
    <x v="294"/>
    <s v="C0387"/>
    <s v="Small Business"/>
    <s v="Delhi"/>
    <x v="5"/>
    <x v="2"/>
    <s v="UPI"/>
    <s v="P010"/>
    <x v="11"/>
    <x v="4"/>
    <n v="2"/>
    <n v="299"/>
    <n v="0"/>
    <n v="598"/>
    <n v="110"/>
    <n v="220"/>
    <n v="40"/>
    <n v="338"/>
  </r>
  <r>
    <s v="ORD00724"/>
    <x v="294"/>
    <s v="C0180"/>
    <s v="Corporate"/>
    <s v="Pune"/>
    <x v="3"/>
    <x v="1"/>
    <s v="Credit Card"/>
    <s v="P008"/>
    <x v="2"/>
    <x v="2"/>
    <n v="2"/>
    <n v="1799"/>
    <n v="0"/>
    <n v="3598"/>
    <n v="850"/>
    <n v="1700"/>
    <n v="80"/>
    <n v="1818"/>
  </r>
  <r>
    <s v="ORD00083"/>
    <x v="294"/>
    <s v="C0144"/>
    <s v="Small Business"/>
    <s v="Chennai"/>
    <x v="9"/>
    <x v="0"/>
    <s v="Debit Card"/>
    <s v="P003"/>
    <x v="10"/>
    <x v="0"/>
    <n v="2"/>
    <n v="1599"/>
    <n v="0.05"/>
    <n v="3038.1"/>
    <n v="900"/>
    <n v="1800"/>
    <n v="60"/>
    <n v="1178.0999999999999"/>
  </r>
  <r>
    <s v="ORD00335"/>
    <x v="295"/>
    <s v="C0328"/>
    <s v="Corporate"/>
    <s v="Lucknow"/>
    <x v="8"/>
    <x v="0"/>
    <s v="Net Banking"/>
    <s v="P004"/>
    <x v="3"/>
    <x v="1"/>
    <n v="2"/>
    <n v="499"/>
    <n v="0.05"/>
    <n v="948.1"/>
    <n v="180"/>
    <n v="360"/>
    <n v="80"/>
    <n v="508.1"/>
  </r>
  <r>
    <s v="ORD01465"/>
    <x v="295"/>
    <s v="C0164"/>
    <s v="Small Business"/>
    <s v="Jaipur"/>
    <x v="4"/>
    <x v="2"/>
    <s v="Debit Card"/>
    <s v="P004"/>
    <x v="3"/>
    <x v="1"/>
    <n v="2"/>
    <n v="499"/>
    <n v="0"/>
    <n v="998"/>
    <n v="180"/>
    <n v="360"/>
    <n v="40"/>
    <n v="598"/>
  </r>
  <r>
    <s v="ORD00268"/>
    <x v="296"/>
    <s v="C0299"/>
    <s v="Corporate"/>
    <s v="Ahmedabad"/>
    <x v="6"/>
    <x v="2"/>
    <s v="Cash on Delivery"/>
    <s v="P009"/>
    <x v="9"/>
    <x v="2"/>
    <n v="2"/>
    <n v="599"/>
    <n v="0.2"/>
    <n v="958.4"/>
    <n v="240"/>
    <n v="480"/>
    <n v="40"/>
    <n v="438.4"/>
  </r>
  <r>
    <s v="ORD00800"/>
    <x v="296"/>
    <s v="C0003"/>
    <s v="Corporate"/>
    <s v="Bhopal"/>
    <x v="1"/>
    <x v="2"/>
    <s v="UPI"/>
    <s v="P007"/>
    <x v="4"/>
    <x v="3"/>
    <n v="2"/>
    <n v="999"/>
    <n v="0.15"/>
    <n v="1698.3"/>
    <n v="520"/>
    <n v="1040"/>
    <n v="40"/>
    <n v="618.29999999999995"/>
  </r>
  <r>
    <s v="ORD00731"/>
    <x v="296"/>
    <s v="C0419"/>
    <s v="Consumer"/>
    <s v="Bengaluru"/>
    <x v="2"/>
    <x v="0"/>
    <s v="UPI"/>
    <s v="P008"/>
    <x v="2"/>
    <x v="2"/>
    <n v="2"/>
    <n v="1799"/>
    <n v="0"/>
    <n v="3598"/>
    <n v="850"/>
    <n v="1700"/>
    <n v="0"/>
    <n v="1898"/>
  </r>
  <r>
    <s v="ORD01273"/>
    <x v="297"/>
    <s v="C0360"/>
    <s v="Small Business"/>
    <s v="Bengaluru"/>
    <x v="2"/>
    <x v="1"/>
    <s v="UPI"/>
    <s v="P002"/>
    <x v="5"/>
    <x v="0"/>
    <n v="1"/>
    <n v="2499"/>
    <n v="0.15"/>
    <n v="2124.15"/>
    <n v="1450"/>
    <n v="1450"/>
    <n v="80"/>
    <n v="594.15"/>
  </r>
  <r>
    <s v="ORD00262"/>
    <x v="298"/>
    <s v="C0335"/>
    <s v="Corporate"/>
    <s v="Hyderabad"/>
    <x v="0"/>
    <x v="0"/>
    <s v="Credit Card"/>
    <s v="P005"/>
    <x v="1"/>
    <x v="1"/>
    <n v="2"/>
    <n v="1299"/>
    <n v="0.15"/>
    <n v="2208.3000000000002"/>
    <n v="700"/>
    <n v="1400"/>
    <n v="0"/>
    <n v="808.3"/>
  </r>
  <r>
    <s v="ORD00292"/>
    <x v="298"/>
    <s v="C0336"/>
    <s v="Small Business"/>
    <s v="Lucknow"/>
    <x v="8"/>
    <x v="1"/>
    <s v="Debit Card"/>
    <s v="P004"/>
    <x v="3"/>
    <x v="1"/>
    <n v="1"/>
    <n v="499"/>
    <n v="0"/>
    <n v="499"/>
    <n v="180"/>
    <n v="180"/>
    <n v="80"/>
    <n v="239"/>
  </r>
  <r>
    <s v="ORD00050"/>
    <x v="299"/>
    <s v="C0136"/>
    <s v="Consumer"/>
    <s v="Bhopal"/>
    <x v="1"/>
    <x v="2"/>
    <s v="Cash on Delivery"/>
    <s v="P001"/>
    <x v="0"/>
    <x v="0"/>
    <n v="1"/>
    <n v="799"/>
    <n v="0.05"/>
    <n v="759.05"/>
    <n v="420"/>
    <n v="420"/>
    <n v="40"/>
    <n v="299.05"/>
  </r>
  <r>
    <s v="ORD00516"/>
    <x v="299"/>
    <s v="C0288"/>
    <s v="Small Business"/>
    <s v="Jaipur"/>
    <x v="4"/>
    <x v="2"/>
    <s v="UPI"/>
    <s v="P006"/>
    <x v="8"/>
    <x v="3"/>
    <n v="1"/>
    <n v="2999"/>
    <n v="0.15"/>
    <n v="2549.15"/>
    <n v="1750"/>
    <n v="1750"/>
    <n v="100"/>
    <n v="699.15"/>
  </r>
  <r>
    <s v="ORD00492"/>
    <x v="299"/>
    <s v="C0337"/>
    <s v="Corporate"/>
    <s v="Ahmedabad"/>
    <x v="6"/>
    <x v="0"/>
    <s v="Net Banking"/>
    <s v="P009"/>
    <x v="9"/>
    <x v="2"/>
    <n v="3"/>
    <n v="599"/>
    <n v="0.15"/>
    <n v="1527.45"/>
    <n v="240"/>
    <n v="720"/>
    <n v="80"/>
    <n v="727.45"/>
  </r>
  <r>
    <s v="ORD01369"/>
    <x v="300"/>
    <s v="C0354"/>
    <s v="Corporate"/>
    <s v="Jaipur"/>
    <x v="4"/>
    <x v="2"/>
    <s v="UPI"/>
    <s v="P010"/>
    <x v="11"/>
    <x v="4"/>
    <n v="1"/>
    <n v="299"/>
    <n v="0.05"/>
    <n v="284.05"/>
    <n v="110"/>
    <n v="110"/>
    <n v="100"/>
    <n v="74.05"/>
  </r>
  <r>
    <s v="ORD01235"/>
    <x v="301"/>
    <s v="C0352"/>
    <s v="Corporate"/>
    <s v="Indore"/>
    <x v="1"/>
    <x v="0"/>
    <s v="Debit Card"/>
    <s v="P010"/>
    <x v="11"/>
    <x v="4"/>
    <n v="1"/>
    <n v="299"/>
    <n v="0.1"/>
    <n v="269.10000000000002"/>
    <n v="110"/>
    <n v="110"/>
    <n v="40"/>
    <n v="119.1"/>
  </r>
  <r>
    <s v="ORD01398"/>
    <x v="301"/>
    <s v="C0450"/>
    <s v="Consumer"/>
    <s v="Indore"/>
    <x v="1"/>
    <x v="2"/>
    <s v="Net Banking"/>
    <s v="P001"/>
    <x v="0"/>
    <x v="0"/>
    <n v="1"/>
    <n v="799"/>
    <n v="0.15"/>
    <n v="679.15"/>
    <n v="420"/>
    <n v="420"/>
    <n v="60"/>
    <n v="199.15"/>
  </r>
  <r>
    <s v="ORD00593"/>
    <x v="301"/>
    <s v="C0177"/>
    <s v="Consumer"/>
    <s v="Hyderabad"/>
    <x v="0"/>
    <x v="1"/>
    <s v="UPI"/>
    <s v="P005"/>
    <x v="1"/>
    <x v="1"/>
    <n v="1"/>
    <n v="1299"/>
    <n v="0.15"/>
    <n v="1104.1500000000001"/>
    <n v="700"/>
    <n v="700"/>
    <n v="100"/>
    <n v="304.14999999999998"/>
  </r>
  <r>
    <s v="ORD01038"/>
    <x v="302"/>
    <s v="C0233"/>
    <s v="Consumer"/>
    <s v="Pune"/>
    <x v="3"/>
    <x v="1"/>
    <s v="Credit Card"/>
    <s v="P010"/>
    <x v="11"/>
    <x v="4"/>
    <n v="1"/>
    <n v="299"/>
    <n v="0.05"/>
    <n v="284.05"/>
    <n v="110"/>
    <n v="110"/>
    <n v="40"/>
    <n v="134.05000000000001"/>
  </r>
  <r>
    <s v="ORD00257"/>
    <x v="302"/>
    <s v="C0253"/>
    <s v="Consumer"/>
    <s v="Lucknow"/>
    <x v="8"/>
    <x v="0"/>
    <s v="Net Banking"/>
    <s v="P005"/>
    <x v="1"/>
    <x v="1"/>
    <n v="2"/>
    <n v="1299"/>
    <n v="0.2"/>
    <n v="2078.4"/>
    <n v="700"/>
    <n v="1400"/>
    <n v="100"/>
    <n v="578.4"/>
  </r>
  <r>
    <s v="ORD00058"/>
    <x v="302"/>
    <s v="C0413"/>
    <s v="Consumer"/>
    <s v="Bengaluru"/>
    <x v="2"/>
    <x v="2"/>
    <s v="UPI"/>
    <s v="P002"/>
    <x v="5"/>
    <x v="0"/>
    <n v="3"/>
    <n v="2499"/>
    <n v="0"/>
    <n v="7497"/>
    <n v="1450"/>
    <n v="4350"/>
    <n v="60"/>
    <n v="3087"/>
  </r>
  <r>
    <s v="ORD00411"/>
    <x v="303"/>
    <s v="C0250"/>
    <s v="Small Business"/>
    <s v="Indore"/>
    <x v="1"/>
    <x v="1"/>
    <s v="Credit Card"/>
    <s v="P005"/>
    <x v="1"/>
    <x v="1"/>
    <n v="1"/>
    <n v="1299"/>
    <n v="0"/>
    <n v="1299"/>
    <n v="700"/>
    <n v="700"/>
    <n v="80"/>
    <n v="519"/>
  </r>
  <r>
    <s v="ORD01444"/>
    <x v="303"/>
    <s v="C0379"/>
    <s v="Corporate"/>
    <s v="Pune"/>
    <x v="3"/>
    <x v="1"/>
    <s v="Net Banking"/>
    <s v="P010"/>
    <x v="11"/>
    <x v="4"/>
    <n v="2"/>
    <n v="299"/>
    <n v="0"/>
    <n v="598"/>
    <n v="110"/>
    <n v="220"/>
    <n v="0"/>
    <n v="378"/>
  </r>
  <r>
    <s v="ORD00759"/>
    <x v="304"/>
    <s v="C0006"/>
    <s v="Small Business"/>
    <s v="Lucknow"/>
    <x v="8"/>
    <x v="2"/>
    <s v="UPI"/>
    <s v="P011"/>
    <x v="7"/>
    <x v="1"/>
    <n v="2"/>
    <n v="6999"/>
    <n v="0"/>
    <n v="13998"/>
    <n v="4900"/>
    <n v="9800"/>
    <n v="60"/>
    <n v="4138"/>
  </r>
  <r>
    <s v="ORD00959"/>
    <x v="304"/>
    <s v="C0115"/>
    <s v="Corporate"/>
    <s v="Lucknow"/>
    <x v="8"/>
    <x v="1"/>
    <s v="Debit Card"/>
    <s v="P007"/>
    <x v="4"/>
    <x v="3"/>
    <n v="1"/>
    <n v="999"/>
    <n v="0"/>
    <n v="999"/>
    <n v="520"/>
    <n v="520"/>
    <n v="0"/>
    <n v="479"/>
  </r>
  <r>
    <s v="ORD01125"/>
    <x v="304"/>
    <s v="C0419"/>
    <s v="Consumer"/>
    <s v="Chennai"/>
    <x v="9"/>
    <x v="1"/>
    <s v="Net Banking"/>
    <s v="P010"/>
    <x v="11"/>
    <x v="4"/>
    <n v="1"/>
    <n v="299"/>
    <n v="0.05"/>
    <n v="284.05"/>
    <n v="110"/>
    <n v="110"/>
    <n v="60"/>
    <n v="114.05"/>
  </r>
  <r>
    <s v="ORD00825"/>
    <x v="305"/>
    <s v="C0348"/>
    <s v="Small Business"/>
    <s v="Delhi"/>
    <x v="5"/>
    <x v="2"/>
    <s v="Debit Card"/>
    <s v="P012"/>
    <x v="6"/>
    <x v="0"/>
    <n v="1"/>
    <n v="2199"/>
    <n v="0.1"/>
    <n v="1979.1"/>
    <n v="1250"/>
    <n v="1250"/>
    <n v="0"/>
    <n v="729.1"/>
  </r>
  <r>
    <s v="ORD01382"/>
    <x v="306"/>
    <s v="C0156"/>
    <s v="Corporate"/>
    <s v="Indore"/>
    <x v="1"/>
    <x v="2"/>
    <s v="Net Banking"/>
    <s v="P008"/>
    <x v="2"/>
    <x v="2"/>
    <n v="2"/>
    <n v="1799"/>
    <n v="0"/>
    <n v="3598"/>
    <n v="850"/>
    <n v="1700"/>
    <n v="60"/>
    <n v="1838"/>
  </r>
  <r>
    <s v="ORD01469"/>
    <x v="306"/>
    <s v="C0114"/>
    <s v="Small Business"/>
    <s v="Kolkata"/>
    <x v="7"/>
    <x v="2"/>
    <s v="Cash on Delivery"/>
    <s v="P011"/>
    <x v="7"/>
    <x v="1"/>
    <n v="3"/>
    <n v="6999"/>
    <n v="0.05"/>
    <n v="19947.150000000001"/>
    <n v="4900"/>
    <n v="14700"/>
    <n v="80"/>
    <n v="5167.1499999999996"/>
  </r>
  <r>
    <s v="ORD01064"/>
    <x v="306"/>
    <s v="C0276"/>
    <s v="Corporate"/>
    <s v="Ahmedabad"/>
    <x v="6"/>
    <x v="1"/>
    <s v="Cash on Delivery"/>
    <s v="P004"/>
    <x v="3"/>
    <x v="1"/>
    <n v="1"/>
    <n v="499"/>
    <n v="0.2"/>
    <n v="399.2"/>
    <n v="180"/>
    <n v="180"/>
    <n v="80"/>
    <n v="139.19999999999999"/>
  </r>
  <r>
    <s v="ORD00776"/>
    <x v="306"/>
    <s v="C0061"/>
    <s v="Consumer"/>
    <s v="Kolkata"/>
    <x v="7"/>
    <x v="0"/>
    <s v="Cash on Delivery"/>
    <s v="P001"/>
    <x v="0"/>
    <x v="0"/>
    <n v="1"/>
    <n v="799"/>
    <n v="0.2"/>
    <n v="639.20000000000005"/>
    <n v="420"/>
    <n v="420"/>
    <n v="0"/>
    <n v="219.2"/>
  </r>
  <r>
    <s v="ORD00307"/>
    <x v="307"/>
    <s v="C0016"/>
    <s v="Small Business"/>
    <s v="Chennai"/>
    <x v="9"/>
    <x v="1"/>
    <s v="Net Banking"/>
    <s v="P010"/>
    <x v="11"/>
    <x v="4"/>
    <n v="3"/>
    <n v="299"/>
    <n v="0.15"/>
    <n v="762.45"/>
    <n v="110"/>
    <n v="330"/>
    <n v="80"/>
    <n v="352.45"/>
  </r>
  <r>
    <s v="ORD01037"/>
    <x v="308"/>
    <s v="C0355"/>
    <s v="Corporate"/>
    <s v="Bhopal"/>
    <x v="1"/>
    <x v="0"/>
    <s v="Cash on Delivery"/>
    <s v="P004"/>
    <x v="3"/>
    <x v="1"/>
    <n v="2"/>
    <n v="499"/>
    <n v="0.2"/>
    <n v="798.4"/>
    <n v="180"/>
    <n v="360"/>
    <n v="80"/>
    <n v="358.4"/>
  </r>
  <r>
    <s v="ORD01417"/>
    <x v="308"/>
    <s v="C0377"/>
    <s v="Consumer"/>
    <s v="Ahmedabad"/>
    <x v="6"/>
    <x v="2"/>
    <s v="Cash on Delivery"/>
    <s v="P012"/>
    <x v="6"/>
    <x v="0"/>
    <n v="3"/>
    <n v="2199"/>
    <n v="0.1"/>
    <n v="5937.3"/>
    <n v="1250"/>
    <n v="3750"/>
    <n v="80"/>
    <n v="2107.3000000000002"/>
  </r>
  <r>
    <s v="ORD01009"/>
    <x v="308"/>
    <s v="C0355"/>
    <s v="Consumer"/>
    <s v="Mumbai"/>
    <x v="3"/>
    <x v="0"/>
    <s v="UPI"/>
    <s v="P004"/>
    <x v="3"/>
    <x v="1"/>
    <n v="2"/>
    <n v="499"/>
    <n v="0.15"/>
    <n v="848.3"/>
    <n v="180"/>
    <n v="360"/>
    <n v="60"/>
    <n v="428.3"/>
  </r>
  <r>
    <s v="ORD01262"/>
    <x v="308"/>
    <s v="C0320"/>
    <s v="Corporate"/>
    <s v="Chennai"/>
    <x v="9"/>
    <x v="2"/>
    <s v="Net Banking"/>
    <s v="P008"/>
    <x v="2"/>
    <x v="2"/>
    <n v="3"/>
    <n v="1799"/>
    <n v="0.05"/>
    <n v="5127.1499999999996"/>
    <n v="850"/>
    <n v="2550"/>
    <n v="60"/>
    <n v="2517.15"/>
  </r>
  <r>
    <s v="ORD00184"/>
    <x v="308"/>
    <s v="C0152"/>
    <s v="Consumer"/>
    <s v="Pune"/>
    <x v="3"/>
    <x v="0"/>
    <s v="Cash on Delivery"/>
    <s v="P008"/>
    <x v="2"/>
    <x v="2"/>
    <n v="1"/>
    <n v="1799"/>
    <n v="0"/>
    <n v="1799"/>
    <n v="850"/>
    <n v="850"/>
    <n v="40"/>
    <n v="909"/>
  </r>
  <r>
    <s v="ORD00041"/>
    <x v="309"/>
    <s v="C0129"/>
    <s v="Consumer"/>
    <s v="Jaipur"/>
    <x v="4"/>
    <x v="2"/>
    <s v="Net Banking"/>
    <s v="P004"/>
    <x v="3"/>
    <x v="1"/>
    <n v="2"/>
    <n v="499"/>
    <n v="0.05"/>
    <n v="948.1"/>
    <n v="180"/>
    <n v="360"/>
    <n v="100"/>
    <n v="488.1"/>
  </r>
  <r>
    <s v="ORD00177"/>
    <x v="309"/>
    <s v="C0127"/>
    <s v="Small Business"/>
    <s v="Mumbai"/>
    <x v="3"/>
    <x v="1"/>
    <s v="Net Banking"/>
    <s v="P012"/>
    <x v="6"/>
    <x v="0"/>
    <n v="1"/>
    <n v="2199"/>
    <n v="0.2"/>
    <n v="1759.2"/>
    <n v="1250"/>
    <n v="1250"/>
    <n v="40"/>
    <n v="469.2"/>
  </r>
  <r>
    <s v="ORD00607"/>
    <x v="310"/>
    <s v="C0154"/>
    <s v="Consumer"/>
    <s v="Jaipur"/>
    <x v="4"/>
    <x v="1"/>
    <s v="Debit Card"/>
    <s v="P005"/>
    <x v="1"/>
    <x v="1"/>
    <n v="2"/>
    <n v="1299"/>
    <n v="0"/>
    <n v="2598"/>
    <n v="700"/>
    <n v="1400"/>
    <n v="80"/>
    <n v="1118"/>
  </r>
  <r>
    <s v="ORD00822"/>
    <x v="310"/>
    <s v="C0155"/>
    <s v="Consumer"/>
    <s v="Lucknow"/>
    <x v="8"/>
    <x v="2"/>
    <s v="Net Banking"/>
    <s v="P003"/>
    <x v="10"/>
    <x v="0"/>
    <n v="1"/>
    <n v="1599"/>
    <n v="0.15"/>
    <n v="1359.15"/>
    <n v="900"/>
    <n v="900"/>
    <n v="40"/>
    <n v="419.15"/>
  </r>
  <r>
    <s v="ORD00435"/>
    <x v="310"/>
    <s v="C0312"/>
    <s v="Corporate"/>
    <s v="Bhopal"/>
    <x v="1"/>
    <x v="2"/>
    <s v="Credit Card"/>
    <s v="P007"/>
    <x v="4"/>
    <x v="3"/>
    <n v="1"/>
    <n v="999"/>
    <n v="0.2"/>
    <n v="799.2"/>
    <n v="520"/>
    <n v="520"/>
    <n v="80"/>
    <n v="199.2"/>
  </r>
  <r>
    <s v="ORD00574"/>
    <x v="311"/>
    <s v="C0295"/>
    <s v="Consumer"/>
    <s v="Kolkata"/>
    <x v="7"/>
    <x v="1"/>
    <s v="Credit Card"/>
    <s v="P005"/>
    <x v="1"/>
    <x v="1"/>
    <n v="1"/>
    <n v="1299"/>
    <n v="0"/>
    <n v="1299"/>
    <n v="700"/>
    <n v="700"/>
    <n v="80"/>
    <n v="519"/>
  </r>
  <r>
    <s v="ORD01306"/>
    <x v="311"/>
    <s v="C0082"/>
    <s v="Small Business"/>
    <s v="Mumbai"/>
    <x v="3"/>
    <x v="0"/>
    <s v="Debit Card"/>
    <s v="P008"/>
    <x v="2"/>
    <x v="2"/>
    <n v="5"/>
    <n v="1799"/>
    <n v="0.15"/>
    <n v="7645.75"/>
    <n v="850"/>
    <n v="4250"/>
    <n v="100"/>
    <n v="3295.75"/>
  </r>
  <r>
    <s v="ORD00346"/>
    <x v="312"/>
    <s v="C0416"/>
    <s v="Small Business"/>
    <s v="Bengaluru"/>
    <x v="2"/>
    <x v="0"/>
    <s v="Debit Card"/>
    <s v="P002"/>
    <x v="5"/>
    <x v="0"/>
    <n v="2"/>
    <n v="2499"/>
    <n v="0"/>
    <n v="4998"/>
    <n v="1450"/>
    <n v="2900"/>
    <n v="40"/>
    <n v="2058"/>
  </r>
  <r>
    <s v="ORD01236"/>
    <x v="312"/>
    <s v="C0416"/>
    <s v="Small Business"/>
    <s v="Hyderabad"/>
    <x v="0"/>
    <x v="2"/>
    <s v="UPI"/>
    <s v="P002"/>
    <x v="5"/>
    <x v="0"/>
    <n v="1"/>
    <n v="2499"/>
    <n v="0.1"/>
    <n v="2249.1"/>
    <n v="1450"/>
    <n v="1450"/>
    <n v="60"/>
    <n v="739.1"/>
  </r>
  <r>
    <s v="ORD00170"/>
    <x v="313"/>
    <s v="C0053"/>
    <s v="Consumer"/>
    <s v="Bengaluru"/>
    <x v="2"/>
    <x v="1"/>
    <s v="Credit Card"/>
    <s v="P006"/>
    <x v="8"/>
    <x v="3"/>
    <n v="2"/>
    <n v="2999"/>
    <n v="0.2"/>
    <n v="4798.3999999999996"/>
    <n v="1750"/>
    <n v="3500"/>
    <n v="40"/>
    <n v="1258.4000000000001"/>
  </r>
  <r>
    <s v="ORD00656"/>
    <x v="314"/>
    <s v="C0226"/>
    <s v="Consumer"/>
    <s v="Delhi"/>
    <x v="5"/>
    <x v="2"/>
    <s v="Credit Card"/>
    <s v="P010"/>
    <x v="11"/>
    <x v="4"/>
    <n v="3"/>
    <n v="299"/>
    <n v="0.1"/>
    <n v="807.3"/>
    <n v="110"/>
    <n v="330"/>
    <n v="100"/>
    <n v="377.3"/>
  </r>
  <r>
    <s v="ORD00181"/>
    <x v="314"/>
    <s v="C0305"/>
    <s v="Small Business"/>
    <s v="Delhi"/>
    <x v="5"/>
    <x v="2"/>
    <s v="Debit Card"/>
    <s v="P005"/>
    <x v="1"/>
    <x v="1"/>
    <n v="5"/>
    <n v="1299"/>
    <n v="0.2"/>
    <n v="5196"/>
    <n v="700"/>
    <n v="3500"/>
    <n v="80"/>
    <n v="1616"/>
  </r>
  <r>
    <s v="ORD00594"/>
    <x v="315"/>
    <s v="C0333"/>
    <s v="Small Business"/>
    <s v="Bhopal"/>
    <x v="1"/>
    <x v="0"/>
    <s v="Credit Card"/>
    <s v="P011"/>
    <x v="7"/>
    <x v="1"/>
    <n v="5"/>
    <n v="6999"/>
    <n v="0"/>
    <n v="34995"/>
    <n v="4900"/>
    <n v="24500"/>
    <n v="100"/>
    <n v="10395"/>
  </r>
  <r>
    <s v="ORD01359"/>
    <x v="316"/>
    <s v="C0180"/>
    <s v="Corporate"/>
    <s v="Delhi"/>
    <x v="5"/>
    <x v="0"/>
    <s v="Cash on Delivery"/>
    <s v="P011"/>
    <x v="7"/>
    <x v="1"/>
    <n v="3"/>
    <n v="6999"/>
    <n v="0"/>
    <n v="20997"/>
    <n v="4900"/>
    <n v="14700"/>
    <n v="60"/>
    <n v="6237"/>
  </r>
  <r>
    <s v="ORD01286"/>
    <x v="316"/>
    <s v="C0235"/>
    <s v="Corporate"/>
    <s v="Delhi"/>
    <x v="5"/>
    <x v="1"/>
    <s v="Credit Card"/>
    <s v="P009"/>
    <x v="9"/>
    <x v="2"/>
    <n v="1"/>
    <n v="599"/>
    <n v="0.05"/>
    <n v="569.04999999999995"/>
    <n v="240"/>
    <n v="240"/>
    <n v="0"/>
    <n v="329.05"/>
  </r>
  <r>
    <s v="ORD01012"/>
    <x v="317"/>
    <s v="C0430"/>
    <s v="Small Business"/>
    <s v="Delhi"/>
    <x v="5"/>
    <x v="2"/>
    <s v="UPI"/>
    <s v="P007"/>
    <x v="4"/>
    <x v="3"/>
    <n v="3"/>
    <n v="999"/>
    <n v="0.05"/>
    <n v="2847.15"/>
    <n v="520"/>
    <n v="1560"/>
    <n v="80"/>
    <n v="1207.1500000000001"/>
  </r>
  <r>
    <s v="ORD01239"/>
    <x v="317"/>
    <s v="C0407"/>
    <s v="Small Business"/>
    <s v="Bhopal"/>
    <x v="1"/>
    <x v="1"/>
    <s v="Credit Card"/>
    <s v="P006"/>
    <x v="8"/>
    <x v="3"/>
    <n v="2"/>
    <n v="2999"/>
    <n v="0.1"/>
    <n v="5398.2"/>
    <n v="1750"/>
    <n v="3500"/>
    <n v="80"/>
    <n v="1818.2"/>
  </r>
  <r>
    <s v="ORD01331"/>
    <x v="317"/>
    <s v="C0040"/>
    <s v="Consumer"/>
    <s v="Ahmedabad"/>
    <x v="6"/>
    <x v="1"/>
    <s v="UPI"/>
    <s v="P009"/>
    <x v="9"/>
    <x v="2"/>
    <n v="3"/>
    <n v="599"/>
    <n v="0"/>
    <n v="1797"/>
    <n v="240"/>
    <n v="720"/>
    <n v="40"/>
    <n v="1037"/>
  </r>
  <r>
    <s v="ORD00580"/>
    <x v="318"/>
    <s v="C0350"/>
    <s v="Consumer"/>
    <s v="Ahmedabad"/>
    <x v="6"/>
    <x v="1"/>
    <s v="Credit Card"/>
    <s v="P004"/>
    <x v="3"/>
    <x v="1"/>
    <n v="4"/>
    <n v="499"/>
    <n v="0.05"/>
    <n v="1896.2"/>
    <n v="180"/>
    <n v="720"/>
    <n v="40"/>
    <n v="1136.2"/>
  </r>
  <r>
    <s v="ORD00960"/>
    <x v="319"/>
    <s v="C0437"/>
    <s v="Small Business"/>
    <s v="Delhi"/>
    <x v="5"/>
    <x v="0"/>
    <s v="Cash on Delivery"/>
    <s v="P001"/>
    <x v="0"/>
    <x v="0"/>
    <n v="3"/>
    <n v="799"/>
    <n v="0.15"/>
    <n v="2037.45"/>
    <n v="420"/>
    <n v="1260"/>
    <n v="60"/>
    <n v="717.45"/>
  </r>
  <r>
    <s v="ORD01220"/>
    <x v="320"/>
    <s v="C0009"/>
    <s v="Small Business"/>
    <s v="Hyderabad"/>
    <x v="0"/>
    <x v="0"/>
    <s v="Cash on Delivery"/>
    <s v="P004"/>
    <x v="3"/>
    <x v="1"/>
    <n v="3"/>
    <n v="499"/>
    <n v="0.05"/>
    <n v="1422.15"/>
    <n v="180"/>
    <n v="540"/>
    <n v="40"/>
    <n v="842.15"/>
  </r>
  <r>
    <s v="ORD00840"/>
    <x v="321"/>
    <s v="C0183"/>
    <s v="Consumer"/>
    <s v="Indore"/>
    <x v="1"/>
    <x v="1"/>
    <s v="Debit Card"/>
    <s v="P003"/>
    <x v="10"/>
    <x v="0"/>
    <n v="1"/>
    <n v="1599"/>
    <n v="0.05"/>
    <n v="1519.05"/>
    <n v="900"/>
    <n v="900"/>
    <n v="80"/>
    <n v="539.04999999999995"/>
  </r>
  <r>
    <s v="ORD01352"/>
    <x v="321"/>
    <s v="C0106"/>
    <s v="Small Business"/>
    <s v="Chennai"/>
    <x v="9"/>
    <x v="2"/>
    <s v="Credit Card"/>
    <s v="P008"/>
    <x v="2"/>
    <x v="2"/>
    <n v="1"/>
    <n v="1799"/>
    <n v="0.15"/>
    <n v="1529.15"/>
    <n v="850"/>
    <n v="850"/>
    <n v="80"/>
    <n v="599.15"/>
  </r>
  <r>
    <s v="ORD00514"/>
    <x v="322"/>
    <s v="C0095"/>
    <s v="Small Business"/>
    <s v="Bengaluru"/>
    <x v="2"/>
    <x v="2"/>
    <s v="Cash on Delivery"/>
    <s v="P002"/>
    <x v="5"/>
    <x v="0"/>
    <n v="3"/>
    <n v="2499"/>
    <n v="0.05"/>
    <n v="7122.15"/>
    <n v="1450"/>
    <n v="4350"/>
    <n v="100"/>
    <n v="2672.15"/>
  </r>
  <r>
    <s v="ORD00482"/>
    <x v="323"/>
    <s v="C0250"/>
    <s v="Consumer"/>
    <s v="Jaipur"/>
    <x v="4"/>
    <x v="1"/>
    <s v="Net Banking"/>
    <s v="P010"/>
    <x v="11"/>
    <x v="4"/>
    <n v="1"/>
    <n v="299"/>
    <n v="0.2"/>
    <n v="239.2"/>
    <n v="110"/>
    <n v="110"/>
    <n v="40"/>
    <n v="89.2"/>
  </r>
  <r>
    <s v="ORD00803"/>
    <x v="323"/>
    <s v="C0343"/>
    <s v="Corporate"/>
    <s v="Jaipur"/>
    <x v="4"/>
    <x v="2"/>
    <s v="Net Banking"/>
    <s v="P005"/>
    <x v="1"/>
    <x v="1"/>
    <n v="1"/>
    <n v="1299"/>
    <n v="0"/>
    <n v="1299"/>
    <n v="700"/>
    <n v="700"/>
    <n v="0"/>
    <n v="599"/>
  </r>
  <r>
    <s v="ORD00536"/>
    <x v="324"/>
    <s v="C0229"/>
    <s v="Corporate"/>
    <s v="Jaipur"/>
    <x v="4"/>
    <x v="1"/>
    <s v="Net Banking"/>
    <s v="P003"/>
    <x v="10"/>
    <x v="0"/>
    <n v="2"/>
    <n v="1599"/>
    <n v="0.05"/>
    <n v="3038.1"/>
    <n v="900"/>
    <n v="1800"/>
    <n v="80"/>
    <n v="1158.0999999999999"/>
  </r>
  <r>
    <s v="ORD01438"/>
    <x v="325"/>
    <s v="C0118"/>
    <s v="Small Business"/>
    <s v="Kolkata"/>
    <x v="7"/>
    <x v="2"/>
    <s v="Cash on Delivery"/>
    <s v="P011"/>
    <x v="7"/>
    <x v="1"/>
    <n v="2"/>
    <n v="6999"/>
    <n v="0"/>
    <n v="13998"/>
    <n v="4900"/>
    <n v="9800"/>
    <n v="80"/>
    <n v="4118"/>
  </r>
  <r>
    <s v="ORD01021"/>
    <x v="325"/>
    <s v="C0143"/>
    <s v="Corporate"/>
    <s v="Mumbai"/>
    <x v="3"/>
    <x v="0"/>
    <s v="Net Banking"/>
    <s v="P009"/>
    <x v="9"/>
    <x v="2"/>
    <n v="3"/>
    <n v="599"/>
    <n v="0.2"/>
    <n v="1437.6"/>
    <n v="240"/>
    <n v="720"/>
    <n v="40"/>
    <n v="677.6"/>
  </r>
  <r>
    <s v="ORD00217"/>
    <x v="325"/>
    <s v="C0405"/>
    <s v="Corporate"/>
    <s v="Bengaluru"/>
    <x v="2"/>
    <x v="2"/>
    <s v="Debit Card"/>
    <s v="P009"/>
    <x v="9"/>
    <x v="2"/>
    <n v="1"/>
    <n v="599"/>
    <n v="0"/>
    <n v="599"/>
    <n v="240"/>
    <n v="240"/>
    <n v="40"/>
    <n v="319"/>
  </r>
  <r>
    <s v="ORD01171"/>
    <x v="326"/>
    <s v="C0006"/>
    <s v="Consumer"/>
    <s v="Hyderabad"/>
    <x v="0"/>
    <x v="1"/>
    <s v="Credit Card"/>
    <s v="P006"/>
    <x v="8"/>
    <x v="3"/>
    <n v="3"/>
    <n v="2999"/>
    <n v="0"/>
    <n v="8997"/>
    <n v="1750"/>
    <n v="5250"/>
    <n v="40"/>
    <n v="3707"/>
  </r>
  <r>
    <s v="ORD00053"/>
    <x v="327"/>
    <s v="C0161"/>
    <s v="Small Business"/>
    <s v="Bhopal"/>
    <x v="1"/>
    <x v="2"/>
    <s v="Debit Card"/>
    <s v="P007"/>
    <x v="4"/>
    <x v="3"/>
    <n v="1"/>
    <n v="999"/>
    <n v="0.2"/>
    <n v="799.2"/>
    <n v="520"/>
    <n v="520"/>
    <n v="60"/>
    <n v="219.2"/>
  </r>
  <r>
    <s v="ORD00808"/>
    <x v="328"/>
    <s v="C0332"/>
    <s v="Small Business"/>
    <s v="Delhi"/>
    <x v="5"/>
    <x v="0"/>
    <s v="UPI"/>
    <s v="P008"/>
    <x v="2"/>
    <x v="2"/>
    <n v="2"/>
    <n v="1799"/>
    <n v="0.05"/>
    <n v="3418.1"/>
    <n v="850"/>
    <n v="1700"/>
    <n v="60"/>
    <n v="1658.1"/>
  </r>
  <r>
    <s v="ORD00772"/>
    <x v="328"/>
    <s v="C0390"/>
    <s v="Corporate"/>
    <s v="Jaipur"/>
    <x v="4"/>
    <x v="0"/>
    <s v="Credit Card"/>
    <s v="P009"/>
    <x v="9"/>
    <x v="2"/>
    <n v="3"/>
    <n v="599"/>
    <n v="0.05"/>
    <n v="1707.15"/>
    <n v="240"/>
    <n v="720"/>
    <n v="0"/>
    <n v="987.15"/>
  </r>
  <r>
    <s v="ORD00369"/>
    <x v="328"/>
    <s v="C0301"/>
    <s v="Consumer"/>
    <s v="Mumbai"/>
    <x v="3"/>
    <x v="2"/>
    <s v="Debit Card"/>
    <s v="P009"/>
    <x v="9"/>
    <x v="2"/>
    <n v="2"/>
    <n v="599"/>
    <n v="0.1"/>
    <n v="1078.2"/>
    <n v="240"/>
    <n v="480"/>
    <n v="0"/>
    <n v="598.20000000000005"/>
  </r>
  <r>
    <s v="ORD00897"/>
    <x v="329"/>
    <s v="C0340"/>
    <s v="Consumer"/>
    <s v="Ahmedabad"/>
    <x v="6"/>
    <x v="0"/>
    <s v="Credit Card"/>
    <s v="P005"/>
    <x v="1"/>
    <x v="1"/>
    <n v="1"/>
    <n v="1299"/>
    <n v="0.15"/>
    <n v="1104.1500000000001"/>
    <n v="700"/>
    <n v="700"/>
    <n v="0"/>
    <n v="404.15"/>
  </r>
  <r>
    <s v="ORD00933"/>
    <x v="329"/>
    <s v="C0138"/>
    <s v="Small Business"/>
    <s v="Jaipur"/>
    <x v="4"/>
    <x v="0"/>
    <s v="Net Banking"/>
    <s v="P009"/>
    <x v="9"/>
    <x v="2"/>
    <n v="1"/>
    <n v="599"/>
    <n v="0.1"/>
    <n v="539.1"/>
    <n v="240"/>
    <n v="240"/>
    <n v="80"/>
    <n v="219.1"/>
  </r>
  <r>
    <s v="ORD01404"/>
    <x v="329"/>
    <s v="C0119"/>
    <s v="Consumer"/>
    <s v="Bengaluru"/>
    <x v="2"/>
    <x v="0"/>
    <s v="UPI"/>
    <s v="P006"/>
    <x v="8"/>
    <x v="3"/>
    <n v="1"/>
    <n v="2999"/>
    <n v="0.1"/>
    <n v="2699.1"/>
    <n v="1750"/>
    <n v="1750"/>
    <n v="0"/>
    <n v="949.1"/>
  </r>
  <r>
    <s v="ORD00695"/>
    <x v="330"/>
    <s v="C0150"/>
    <s v="Corporate"/>
    <s v="Pune"/>
    <x v="3"/>
    <x v="2"/>
    <s v="UPI"/>
    <s v="P007"/>
    <x v="4"/>
    <x v="3"/>
    <n v="3"/>
    <n v="999"/>
    <n v="0.1"/>
    <n v="2697.3"/>
    <n v="520"/>
    <n v="1560"/>
    <n v="100"/>
    <n v="1037.3"/>
  </r>
  <r>
    <s v="ORD01092"/>
    <x v="330"/>
    <s v="C0393"/>
    <s v="Small Business"/>
    <s v="Hyderabad"/>
    <x v="0"/>
    <x v="1"/>
    <s v="UPI"/>
    <s v="P001"/>
    <x v="0"/>
    <x v="0"/>
    <n v="1"/>
    <n v="799"/>
    <n v="0"/>
    <n v="799"/>
    <n v="420"/>
    <n v="420"/>
    <n v="80"/>
    <n v="299"/>
  </r>
  <r>
    <s v="ORD00751"/>
    <x v="331"/>
    <s v="C0093"/>
    <s v="Small Business"/>
    <s v="Jaipur"/>
    <x v="4"/>
    <x v="2"/>
    <s v="Debit Card"/>
    <s v="P003"/>
    <x v="10"/>
    <x v="0"/>
    <n v="1"/>
    <n v="1599"/>
    <n v="0.2"/>
    <n v="1279.2"/>
    <n v="900"/>
    <n v="900"/>
    <n v="40"/>
    <n v="339.2"/>
  </r>
  <r>
    <s v="ORD01339"/>
    <x v="331"/>
    <s v="C0151"/>
    <s v="Consumer"/>
    <s v="Bengaluru"/>
    <x v="2"/>
    <x v="1"/>
    <s v="Credit Card"/>
    <s v="P002"/>
    <x v="5"/>
    <x v="0"/>
    <n v="1"/>
    <n v="2499"/>
    <n v="0.1"/>
    <n v="2249.1"/>
    <n v="1450"/>
    <n v="1450"/>
    <n v="80"/>
    <n v="719.1"/>
  </r>
  <r>
    <s v="ORD00229"/>
    <x v="332"/>
    <s v="C0063"/>
    <s v="Corporate"/>
    <s v="Jaipur"/>
    <x v="4"/>
    <x v="1"/>
    <s v="Credit Card"/>
    <s v="P009"/>
    <x v="9"/>
    <x v="2"/>
    <n v="2"/>
    <n v="599"/>
    <n v="0.05"/>
    <n v="1138.0999999999999"/>
    <n v="240"/>
    <n v="480"/>
    <n v="40"/>
    <n v="618.1"/>
  </r>
  <r>
    <s v="ORD00426"/>
    <x v="332"/>
    <s v="C0226"/>
    <s v="Corporate"/>
    <s v="Hyderabad"/>
    <x v="0"/>
    <x v="1"/>
    <s v="Credit Card"/>
    <s v="P007"/>
    <x v="4"/>
    <x v="3"/>
    <n v="1"/>
    <n v="999"/>
    <n v="0.1"/>
    <n v="899.1"/>
    <n v="520"/>
    <n v="520"/>
    <n v="0"/>
    <n v="379.1"/>
  </r>
  <r>
    <s v="ORD00805"/>
    <x v="332"/>
    <s v="C0037"/>
    <s v="Corporate"/>
    <s v="Indore"/>
    <x v="1"/>
    <x v="0"/>
    <s v="Debit Card"/>
    <s v="P011"/>
    <x v="7"/>
    <x v="1"/>
    <n v="2"/>
    <n v="6999"/>
    <n v="0.2"/>
    <n v="11198.4"/>
    <n v="4900"/>
    <n v="9800"/>
    <n v="0"/>
    <n v="1398.4"/>
  </r>
  <r>
    <s v="ORD00285"/>
    <x v="332"/>
    <s v="C0194"/>
    <s v="Small Business"/>
    <s v="Hyderabad"/>
    <x v="0"/>
    <x v="0"/>
    <s v="Cash on Delivery"/>
    <s v="P002"/>
    <x v="5"/>
    <x v="0"/>
    <n v="2"/>
    <n v="2499"/>
    <n v="0"/>
    <n v="4998"/>
    <n v="1450"/>
    <n v="2900"/>
    <n v="0"/>
    <n v="2098"/>
  </r>
  <r>
    <s v="ORD00622"/>
    <x v="333"/>
    <s v="C0317"/>
    <s v="Corporate"/>
    <s v="Indore"/>
    <x v="1"/>
    <x v="0"/>
    <s v="UPI"/>
    <s v="P002"/>
    <x v="5"/>
    <x v="0"/>
    <n v="1"/>
    <n v="2499"/>
    <n v="0.1"/>
    <n v="2249.1"/>
    <n v="1450"/>
    <n v="1450"/>
    <n v="0"/>
    <n v="799.1"/>
  </r>
  <r>
    <s v="ORD00190"/>
    <x v="333"/>
    <s v="C0146"/>
    <s v="Consumer"/>
    <s v="Pune"/>
    <x v="3"/>
    <x v="2"/>
    <s v="Debit Card"/>
    <s v="P009"/>
    <x v="9"/>
    <x v="2"/>
    <n v="4"/>
    <n v="599"/>
    <n v="0.2"/>
    <n v="1916.8"/>
    <n v="240"/>
    <n v="960"/>
    <n v="100"/>
    <n v="856.8"/>
  </r>
  <r>
    <s v="ORD00583"/>
    <x v="333"/>
    <s v="C0094"/>
    <s v="Small Business"/>
    <s v="Jaipur"/>
    <x v="4"/>
    <x v="1"/>
    <s v="Net Banking"/>
    <s v="P010"/>
    <x v="11"/>
    <x v="4"/>
    <n v="1"/>
    <n v="299"/>
    <n v="0.15"/>
    <n v="254.15"/>
    <n v="110"/>
    <n v="110"/>
    <n v="60"/>
    <n v="84.15"/>
  </r>
  <r>
    <s v="ORD00830"/>
    <x v="334"/>
    <s v="C0448"/>
    <s v="Small Business"/>
    <s v="Jaipur"/>
    <x v="4"/>
    <x v="2"/>
    <s v="Credit Card"/>
    <s v="P001"/>
    <x v="0"/>
    <x v="0"/>
    <n v="1"/>
    <n v="799"/>
    <n v="0.05"/>
    <n v="759.05"/>
    <n v="420"/>
    <n v="420"/>
    <n v="60"/>
    <n v="279.05"/>
  </r>
  <r>
    <s v="ORD01412"/>
    <x v="334"/>
    <s v="C0358"/>
    <s v="Corporate"/>
    <s v="Bengaluru"/>
    <x v="2"/>
    <x v="0"/>
    <s v="Net Banking"/>
    <s v="P012"/>
    <x v="6"/>
    <x v="0"/>
    <n v="3"/>
    <n v="2199"/>
    <n v="0"/>
    <n v="6597"/>
    <n v="1250"/>
    <n v="3750"/>
    <n v="0"/>
    <n v="2847"/>
  </r>
  <r>
    <s v="ORD00479"/>
    <x v="334"/>
    <s v="C0140"/>
    <s v="Corporate"/>
    <s v="Jaipur"/>
    <x v="4"/>
    <x v="0"/>
    <s v="Net Banking"/>
    <s v="P006"/>
    <x v="8"/>
    <x v="3"/>
    <n v="1"/>
    <n v="2999"/>
    <n v="0.1"/>
    <n v="2699.1"/>
    <n v="1750"/>
    <n v="1750"/>
    <n v="80"/>
    <n v="869.1"/>
  </r>
  <r>
    <s v="ORD00338"/>
    <x v="335"/>
    <s v="C0071"/>
    <s v="Small Business"/>
    <s v="Bhopal"/>
    <x v="1"/>
    <x v="1"/>
    <s v="Net Banking"/>
    <s v="P012"/>
    <x v="6"/>
    <x v="0"/>
    <n v="1"/>
    <n v="2199"/>
    <n v="0.1"/>
    <n v="1979.1"/>
    <n v="1250"/>
    <n v="1250"/>
    <n v="80"/>
    <n v="649.1"/>
  </r>
  <r>
    <s v="ORD00927"/>
    <x v="335"/>
    <s v="C0015"/>
    <s v="Consumer"/>
    <s v="Delhi"/>
    <x v="5"/>
    <x v="1"/>
    <s v="Net Banking"/>
    <s v="P010"/>
    <x v="11"/>
    <x v="4"/>
    <n v="4"/>
    <n v="299"/>
    <n v="0"/>
    <n v="1196"/>
    <n v="110"/>
    <n v="440"/>
    <n v="60"/>
    <n v="696"/>
  </r>
  <r>
    <s v="ORD01185"/>
    <x v="335"/>
    <s v="C0436"/>
    <s v="Consumer"/>
    <s v="Lucknow"/>
    <x v="8"/>
    <x v="1"/>
    <s v="Debit Card"/>
    <s v="P002"/>
    <x v="5"/>
    <x v="0"/>
    <n v="1"/>
    <n v="2499"/>
    <n v="0.2"/>
    <n v="1999.2"/>
    <n v="1450"/>
    <n v="1450"/>
    <n v="40"/>
    <n v="509.2"/>
  </r>
  <r>
    <s v="ORD00200"/>
    <x v="335"/>
    <s v="C0124"/>
    <s v="Small Business"/>
    <s v="Chennai"/>
    <x v="9"/>
    <x v="0"/>
    <s v="UPI"/>
    <s v="P005"/>
    <x v="1"/>
    <x v="1"/>
    <n v="3"/>
    <n v="1299"/>
    <n v="0.05"/>
    <n v="3702.15"/>
    <n v="700"/>
    <n v="2100"/>
    <n v="0"/>
    <n v="1602.15"/>
  </r>
  <r>
    <s v="ORD01063"/>
    <x v="336"/>
    <s v="C0005"/>
    <s v="Corporate"/>
    <s v="Ahmedabad"/>
    <x v="6"/>
    <x v="0"/>
    <s v="Debit Card"/>
    <s v="P003"/>
    <x v="10"/>
    <x v="0"/>
    <n v="2"/>
    <n v="1599"/>
    <n v="0"/>
    <n v="3198"/>
    <n v="900"/>
    <n v="1800"/>
    <n v="60"/>
    <n v="1338"/>
  </r>
  <r>
    <s v="ORD01087"/>
    <x v="336"/>
    <s v="C0008"/>
    <s v="Corporate"/>
    <s v="Mumbai"/>
    <x v="3"/>
    <x v="2"/>
    <s v="UPI"/>
    <s v="P004"/>
    <x v="3"/>
    <x v="1"/>
    <n v="1"/>
    <n v="499"/>
    <n v="0"/>
    <n v="499"/>
    <n v="180"/>
    <n v="180"/>
    <n v="80"/>
    <n v="239"/>
  </r>
  <r>
    <s v="ORD00418"/>
    <x v="337"/>
    <s v="C0232"/>
    <s v="Consumer"/>
    <s v="Delhi"/>
    <x v="5"/>
    <x v="2"/>
    <s v="Debit Card"/>
    <s v="P002"/>
    <x v="5"/>
    <x v="0"/>
    <n v="3"/>
    <n v="2499"/>
    <n v="0.15"/>
    <n v="6372.45"/>
    <n v="1450"/>
    <n v="4350"/>
    <n v="40"/>
    <n v="1982.45"/>
  </r>
  <r>
    <s v="ORD00562"/>
    <x v="337"/>
    <s v="C0055"/>
    <s v="Consumer"/>
    <s v="Chennai"/>
    <x v="9"/>
    <x v="1"/>
    <s v="Cash on Delivery"/>
    <s v="P011"/>
    <x v="7"/>
    <x v="1"/>
    <n v="1"/>
    <n v="6999"/>
    <n v="0.05"/>
    <n v="6649.05"/>
    <n v="4900"/>
    <n v="4900"/>
    <n v="80"/>
    <n v="1669.05"/>
  </r>
  <r>
    <s v="ORD00641"/>
    <x v="337"/>
    <s v="C0230"/>
    <s v="Corporate"/>
    <s v="Jaipur"/>
    <x v="4"/>
    <x v="2"/>
    <s v="UPI"/>
    <s v="P009"/>
    <x v="9"/>
    <x v="2"/>
    <n v="4"/>
    <n v="599"/>
    <n v="0.05"/>
    <n v="2276.1999999999998"/>
    <n v="240"/>
    <n v="960"/>
    <n v="60"/>
    <n v="1256.2"/>
  </r>
  <r>
    <s v="ORD01040"/>
    <x v="337"/>
    <s v="C0038"/>
    <s v="Corporate"/>
    <s v="Mumbai"/>
    <x v="3"/>
    <x v="2"/>
    <s v="Cash on Delivery"/>
    <s v="P004"/>
    <x v="3"/>
    <x v="1"/>
    <n v="1"/>
    <n v="499"/>
    <n v="0"/>
    <n v="499"/>
    <n v="180"/>
    <n v="180"/>
    <n v="60"/>
    <n v="259"/>
  </r>
  <r>
    <s v="ORD01383"/>
    <x v="338"/>
    <s v="C0260"/>
    <s v="Small Business"/>
    <s v="Ahmedabad"/>
    <x v="6"/>
    <x v="0"/>
    <s v="Debit Card"/>
    <s v="P008"/>
    <x v="2"/>
    <x v="2"/>
    <n v="2"/>
    <n v="1799"/>
    <n v="0"/>
    <n v="3598"/>
    <n v="850"/>
    <n v="1700"/>
    <n v="100"/>
    <n v="1798"/>
  </r>
  <r>
    <s v="ORD01227"/>
    <x v="339"/>
    <s v="C0128"/>
    <s v="Consumer"/>
    <s v="Delhi"/>
    <x v="5"/>
    <x v="1"/>
    <s v="Credit Card"/>
    <s v="P007"/>
    <x v="4"/>
    <x v="3"/>
    <n v="1"/>
    <n v="999"/>
    <n v="0"/>
    <n v="999"/>
    <n v="520"/>
    <n v="520"/>
    <n v="0"/>
    <n v="479"/>
  </r>
  <r>
    <s v="ORD01353"/>
    <x v="339"/>
    <s v="C0449"/>
    <s v="Small Business"/>
    <s v="Jaipur"/>
    <x v="4"/>
    <x v="2"/>
    <s v="Debit Card"/>
    <s v="P011"/>
    <x v="7"/>
    <x v="1"/>
    <n v="1"/>
    <n v="6999"/>
    <n v="0.05"/>
    <n v="6649.05"/>
    <n v="4900"/>
    <n v="4900"/>
    <n v="100"/>
    <n v="1649.05"/>
  </r>
  <r>
    <s v="ORD01027"/>
    <x v="339"/>
    <s v="C0032"/>
    <s v="Corporate"/>
    <s v="Delhi"/>
    <x v="5"/>
    <x v="2"/>
    <s v="Debit Card"/>
    <s v="P006"/>
    <x v="8"/>
    <x v="3"/>
    <n v="4"/>
    <n v="2999"/>
    <n v="0.2"/>
    <n v="9596.7999999999993"/>
    <n v="1750"/>
    <n v="7000"/>
    <n v="0"/>
    <n v="2596.8000000000002"/>
  </r>
  <r>
    <s v="ORD01126"/>
    <x v="340"/>
    <s v="C0002"/>
    <s v="Corporate"/>
    <s v="Pune"/>
    <x v="3"/>
    <x v="0"/>
    <s v="Net Banking"/>
    <s v="P010"/>
    <x v="11"/>
    <x v="4"/>
    <n v="1"/>
    <n v="299"/>
    <n v="0.05"/>
    <n v="284.05"/>
    <n v="110"/>
    <n v="110"/>
    <n v="60"/>
    <n v="114.05"/>
  </r>
  <r>
    <s v="ORD01172"/>
    <x v="340"/>
    <s v="C0373"/>
    <s v="Corporate"/>
    <s v="Lucknow"/>
    <x v="8"/>
    <x v="0"/>
    <s v="Net Banking"/>
    <s v="P002"/>
    <x v="5"/>
    <x v="0"/>
    <n v="3"/>
    <n v="2499"/>
    <n v="0"/>
    <n v="7497"/>
    <n v="1450"/>
    <n v="4350"/>
    <n v="40"/>
    <n v="3107"/>
  </r>
  <r>
    <s v="ORD00628"/>
    <x v="341"/>
    <s v="C0398"/>
    <s v="Small Business"/>
    <s v="Chennai"/>
    <x v="9"/>
    <x v="2"/>
    <s v="Debit Card"/>
    <s v="P012"/>
    <x v="6"/>
    <x v="0"/>
    <n v="1"/>
    <n v="2199"/>
    <n v="0"/>
    <n v="2199"/>
    <n v="1250"/>
    <n v="1250"/>
    <n v="100"/>
    <n v="849"/>
  </r>
  <r>
    <s v="ORD00010"/>
    <x v="341"/>
    <s v="C0351"/>
    <s v="Corporate"/>
    <s v="Bengaluru"/>
    <x v="2"/>
    <x v="2"/>
    <s v="Credit Card"/>
    <s v="P005"/>
    <x v="1"/>
    <x v="1"/>
    <n v="5"/>
    <n v="1299"/>
    <n v="0.2"/>
    <n v="5196"/>
    <n v="700"/>
    <n v="3500"/>
    <n v="100"/>
    <n v="1596"/>
  </r>
  <r>
    <s v="ORD01447"/>
    <x v="341"/>
    <s v="C0396"/>
    <s v="Consumer"/>
    <s v="Hyderabad"/>
    <x v="0"/>
    <x v="2"/>
    <s v="Debit Card"/>
    <s v="P006"/>
    <x v="8"/>
    <x v="3"/>
    <n v="2"/>
    <n v="2999"/>
    <n v="0.15"/>
    <n v="5098.3"/>
    <n v="1750"/>
    <n v="3500"/>
    <n v="100"/>
    <n v="1498.3"/>
  </r>
  <r>
    <s v="ORD00243"/>
    <x v="342"/>
    <s v="C0359"/>
    <s v="Consumer"/>
    <s v="Bhopal"/>
    <x v="1"/>
    <x v="2"/>
    <s v="UPI"/>
    <s v="P003"/>
    <x v="10"/>
    <x v="0"/>
    <n v="3"/>
    <n v="1599"/>
    <n v="0"/>
    <n v="4797"/>
    <n v="900"/>
    <n v="2700"/>
    <n v="0"/>
    <n v="2097"/>
  </r>
  <r>
    <s v="ORD00005"/>
    <x v="342"/>
    <s v="C0414"/>
    <s v="Consumer"/>
    <s v="Hyderabad"/>
    <x v="0"/>
    <x v="0"/>
    <s v="Net Banking"/>
    <s v="P002"/>
    <x v="5"/>
    <x v="0"/>
    <n v="1"/>
    <n v="2499"/>
    <n v="0.05"/>
    <n v="2374.0500000000002"/>
    <n v="1450"/>
    <n v="1450"/>
    <n v="100"/>
    <n v="824.05"/>
  </r>
  <r>
    <s v="ORD00317"/>
    <x v="342"/>
    <s v="C0154"/>
    <s v="Corporate"/>
    <s v="Delhi"/>
    <x v="5"/>
    <x v="0"/>
    <s v="Credit Card"/>
    <s v="P006"/>
    <x v="8"/>
    <x v="3"/>
    <n v="2"/>
    <n v="2999"/>
    <n v="0.1"/>
    <n v="5398.2"/>
    <n v="1750"/>
    <n v="3500"/>
    <n v="100"/>
    <n v="1798.2"/>
  </r>
  <r>
    <s v="ORD01137"/>
    <x v="343"/>
    <s v="C0115"/>
    <s v="Corporate"/>
    <s v="Bengaluru"/>
    <x v="2"/>
    <x v="2"/>
    <s v="Debit Card"/>
    <s v="P011"/>
    <x v="7"/>
    <x v="1"/>
    <n v="2"/>
    <n v="6999"/>
    <n v="0.15"/>
    <n v="11898.3"/>
    <n v="4900"/>
    <n v="9800"/>
    <n v="80"/>
    <n v="2018.3"/>
  </r>
  <r>
    <s v="ORD00518"/>
    <x v="343"/>
    <s v="C0265"/>
    <s v="Corporate"/>
    <s v="Mumbai"/>
    <x v="3"/>
    <x v="0"/>
    <s v="Cash on Delivery"/>
    <s v="P002"/>
    <x v="5"/>
    <x v="0"/>
    <n v="1"/>
    <n v="2499"/>
    <n v="0.15"/>
    <n v="2124.15"/>
    <n v="1450"/>
    <n v="1450"/>
    <n v="60"/>
    <n v="614.15"/>
  </r>
  <r>
    <s v="ORD01101"/>
    <x v="343"/>
    <s v="C0446"/>
    <s v="Corporate"/>
    <s v="Pune"/>
    <x v="3"/>
    <x v="2"/>
    <s v="Credit Card"/>
    <s v="P009"/>
    <x v="9"/>
    <x v="2"/>
    <n v="1"/>
    <n v="599"/>
    <n v="0.1"/>
    <n v="539.1"/>
    <n v="240"/>
    <n v="240"/>
    <n v="0"/>
    <n v="299.10000000000002"/>
  </r>
  <r>
    <s v="ORD00765"/>
    <x v="344"/>
    <s v="C0092"/>
    <s v="Corporate"/>
    <s v="Hyderabad"/>
    <x v="0"/>
    <x v="2"/>
    <s v="Net Banking"/>
    <s v="P007"/>
    <x v="4"/>
    <x v="3"/>
    <n v="1"/>
    <n v="999"/>
    <n v="0"/>
    <n v="999"/>
    <n v="520"/>
    <n v="520"/>
    <n v="60"/>
    <n v="419"/>
  </r>
  <r>
    <s v="ORD00869"/>
    <x v="345"/>
    <s v="C0019"/>
    <s v="Consumer"/>
    <s v="Jaipur"/>
    <x v="4"/>
    <x v="2"/>
    <s v="Cash on Delivery"/>
    <s v="P008"/>
    <x v="2"/>
    <x v="2"/>
    <n v="1"/>
    <n v="1799"/>
    <n v="0.1"/>
    <n v="1619.1"/>
    <n v="850"/>
    <n v="850"/>
    <n v="80"/>
    <n v="689.1"/>
  </r>
  <r>
    <s v="ORD00361"/>
    <x v="345"/>
    <s v="C0189"/>
    <s v="Corporate"/>
    <s v="Chennai"/>
    <x v="9"/>
    <x v="2"/>
    <s v="Net Banking"/>
    <s v="P002"/>
    <x v="5"/>
    <x v="0"/>
    <n v="3"/>
    <n v="2499"/>
    <n v="0"/>
    <n v="7497"/>
    <n v="1450"/>
    <n v="4350"/>
    <n v="0"/>
    <n v="3147"/>
  </r>
  <r>
    <s v="ORD00066"/>
    <x v="345"/>
    <s v="C0209"/>
    <s v="Corporate"/>
    <s v="Kolkata"/>
    <x v="7"/>
    <x v="0"/>
    <s v="Net Banking"/>
    <s v="P012"/>
    <x v="6"/>
    <x v="0"/>
    <n v="1"/>
    <n v="2199"/>
    <n v="0"/>
    <n v="2199"/>
    <n v="1250"/>
    <n v="1250"/>
    <n v="0"/>
    <n v="949"/>
  </r>
  <r>
    <s v="ORD01110"/>
    <x v="346"/>
    <s v="C0020"/>
    <s v="Consumer"/>
    <s v="Kolkata"/>
    <x v="7"/>
    <x v="1"/>
    <s v="Cash on Delivery"/>
    <s v="P008"/>
    <x v="2"/>
    <x v="2"/>
    <n v="1"/>
    <n v="1799"/>
    <n v="0.15"/>
    <n v="1529.15"/>
    <n v="850"/>
    <n v="850"/>
    <n v="0"/>
    <n v="679.15"/>
  </r>
  <r>
    <s v="ORD00341"/>
    <x v="346"/>
    <s v="C0252"/>
    <s v="Corporate"/>
    <s v="Indore"/>
    <x v="1"/>
    <x v="0"/>
    <s v="Net Banking"/>
    <s v="P009"/>
    <x v="9"/>
    <x v="2"/>
    <n v="2"/>
    <n v="599"/>
    <n v="0.1"/>
    <n v="1078.2"/>
    <n v="240"/>
    <n v="480"/>
    <n v="80"/>
    <n v="518.20000000000005"/>
  </r>
  <r>
    <s v="ORD01449"/>
    <x v="346"/>
    <s v="C0375"/>
    <s v="Consumer"/>
    <s v="Ahmedabad"/>
    <x v="6"/>
    <x v="1"/>
    <s v="Cash on Delivery"/>
    <s v="P006"/>
    <x v="8"/>
    <x v="3"/>
    <n v="3"/>
    <n v="2999"/>
    <n v="0"/>
    <n v="8997"/>
    <n v="1750"/>
    <n v="5250"/>
    <n v="0"/>
    <n v="3747"/>
  </r>
  <r>
    <s v="ORD01232"/>
    <x v="347"/>
    <s v="C0197"/>
    <s v="Small Business"/>
    <s v="Indore"/>
    <x v="1"/>
    <x v="0"/>
    <s v="UPI"/>
    <s v="P003"/>
    <x v="10"/>
    <x v="0"/>
    <n v="1"/>
    <n v="1599"/>
    <n v="0.05"/>
    <n v="1519.05"/>
    <n v="900"/>
    <n v="900"/>
    <n v="40"/>
    <n v="579.04999999999995"/>
  </r>
  <r>
    <s v="ORD01131"/>
    <x v="347"/>
    <s v="C0449"/>
    <s v="Small Business"/>
    <s v="Lucknow"/>
    <x v="8"/>
    <x v="0"/>
    <s v="Cash on Delivery"/>
    <s v="P005"/>
    <x v="1"/>
    <x v="1"/>
    <n v="2"/>
    <n v="1299"/>
    <n v="0.2"/>
    <n v="2078.4"/>
    <n v="700"/>
    <n v="1400"/>
    <n v="40"/>
    <n v="638.4"/>
  </r>
  <r>
    <s v="ORD00214"/>
    <x v="348"/>
    <s v="C0314"/>
    <s v="Corporate"/>
    <s v="Bengaluru"/>
    <x v="2"/>
    <x v="0"/>
    <s v="Net Banking"/>
    <s v="P009"/>
    <x v="9"/>
    <x v="2"/>
    <n v="1"/>
    <n v="599"/>
    <n v="0.05"/>
    <n v="569.04999999999995"/>
    <n v="240"/>
    <n v="240"/>
    <n v="80"/>
    <n v="249.05"/>
  </r>
  <r>
    <s v="ORD01418"/>
    <x v="349"/>
    <s v="C0218"/>
    <s v="Small Business"/>
    <s v="Jaipur"/>
    <x v="4"/>
    <x v="0"/>
    <s v="Cash on Delivery"/>
    <s v="P012"/>
    <x v="6"/>
    <x v="0"/>
    <n v="4"/>
    <n v="2199"/>
    <n v="0.05"/>
    <n v="8356.2000000000007"/>
    <n v="1250"/>
    <n v="5000"/>
    <n v="100"/>
    <n v="3256.2"/>
  </r>
  <r>
    <s v="ORD01140"/>
    <x v="349"/>
    <s v="C0340"/>
    <s v="Small Business"/>
    <s v="Lucknow"/>
    <x v="8"/>
    <x v="0"/>
    <s v="Credit Card"/>
    <s v="P007"/>
    <x v="4"/>
    <x v="3"/>
    <n v="1"/>
    <n v="999"/>
    <n v="0.05"/>
    <n v="949.05"/>
    <n v="520"/>
    <n v="520"/>
    <n v="40"/>
    <n v="389.05"/>
  </r>
  <r>
    <s v="ORD00899"/>
    <x v="349"/>
    <s v="C0047"/>
    <s v="Consumer"/>
    <s v="Hyderabad"/>
    <x v="0"/>
    <x v="1"/>
    <s v="Credit Card"/>
    <s v="P001"/>
    <x v="0"/>
    <x v="0"/>
    <n v="4"/>
    <n v="799"/>
    <n v="0.1"/>
    <n v="2876.4"/>
    <n v="420"/>
    <n v="1680"/>
    <n v="60"/>
    <n v="1136.4000000000001"/>
  </r>
  <r>
    <s v="ORD00310"/>
    <x v="350"/>
    <s v="C0228"/>
    <s v="Corporate"/>
    <s v="Hyderabad"/>
    <x v="0"/>
    <x v="1"/>
    <s v="UPI"/>
    <s v="P006"/>
    <x v="8"/>
    <x v="3"/>
    <n v="1"/>
    <n v="2999"/>
    <n v="0"/>
    <n v="2999"/>
    <n v="1750"/>
    <n v="1750"/>
    <n v="0"/>
    <n v="1249"/>
  </r>
  <r>
    <s v="ORD00894"/>
    <x v="351"/>
    <s v="C0055"/>
    <s v="Consumer"/>
    <s v="Delhi"/>
    <x v="5"/>
    <x v="2"/>
    <s v="Debit Card"/>
    <s v="P012"/>
    <x v="6"/>
    <x v="0"/>
    <n v="3"/>
    <n v="2199"/>
    <n v="0.1"/>
    <n v="5937.3"/>
    <n v="1250"/>
    <n v="3750"/>
    <n v="40"/>
    <n v="2147.3000000000002"/>
  </r>
  <r>
    <s v="ORD00878"/>
    <x v="351"/>
    <s v="C0346"/>
    <s v="Consumer"/>
    <s v="Ahmedabad"/>
    <x v="6"/>
    <x v="1"/>
    <s v="Net Banking"/>
    <s v="P006"/>
    <x v="8"/>
    <x v="3"/>
    <n v="2"/>
    <n v="2999"/>
    <n v="0.1"/>
    <n v="5398.2"/>
    <n v="1750"/>
    <n v="3500"/>
    <n v="0"/>
    <n v="1898.2"/>
  </r>
  <r>
    <s v="ORD01086"/>
    <x v="351"/>
    <s v="C0025"/>
    <s v="Corporate"/>
    <s v="Mumbai"/>
    <x v="3"/>
    <x v="2"/>
    <s v="Credit Card"/>
    <s v="P012"/>
    <x v="6"/>
    <x v="0"/>
    <n v="1"/>
    <n v="2199"/>
    <n v="0"/>
    <n v="2199"/>
    <n v="1250"/>
    <n v="1250"/>
    <n v="100"/>
    <n v="849"/>
  </r>
  <r>
    <s v="ORD01214"/>
    <x v="351"/>
    <s v="C0082"/>
    <s v="Small Business"/>
    <s v="Mumbai"/>
    <x v="3"/>
    <x v="2"/>
    <s v="Cash on Delivery"/>
    <s v="P007"/>
    <x v="4"/>
    <x v="3"/>
    <n v="2"/>
    <n v="999"/>
    <n v="0"/>
    <n v="1998"/>
    <n v="520"/>
    <n v="1040"/>
    <n v="40"/>
    <n v="918"/>
  </r>
  <r>
    <s v="ORD00758"/>
    <x v="352"/>
    <s v="C0345"/>
    <s v="Small Business"/>
    <s v="Ahmedabad"/>
    <x v="6"/>
    <x v="2"/>
    <s v="Cash on Delivery"/>
    <s v="P008"/>
    <x v="2"/>
    <x v="2"/>
    <n v="3"/>
    <n v="1799"/>
    <n v="0.2"/>
    <n v="4317.6000000000004"/>
    <n v="850"/>
    <n v="2550"/>
    <n v="40"/>
    <n v="1727.6"/>
  </r>
  <r>
    <s v="ORD00367"/>
    <x v="353"/>
    <s v="C0058"/>
    <s v="Consumer"/>
    <s v="Kolkata"/>
    <x v="7"/>
    <x v="1"/>
    <s v="Cash on Delivery"/>
    <s v="P005"/>
    <x v="1"/>
    <x v="1"/>
    <n v="2"/>
    <n v="1299"/>
    <n v="0"/>
    <n v="2598"/>
    <n v="700"/>
    <n v="1400"/>
    <n v="80"/>
    <n v="1118"/>
  </r>
  <r>
    <s v="ORD01311"/>
    <x v="354"/>
    <s v="C0407"/>
    <s v="Consumer"/>
    <s v="Delhi"/>
    <x v="5"/>
    <x v="0"/>
    <s v="Net Banking"/>
    <s v="P002"/>
    <x v="5"/>
    <x v="0"/>
    <n v="2"/>
    <n v="2499"/>
    <n v="0.15"/>
    <n v="4248.3"/>
    <n v="1450"/>
    <n v="2900"/>
    <n v="60"/>
    <n v="1288.3"/>
  </r>
  <r>
    <s v="ORD00239"/>
    <x v="354"/>
    <s v="C0260"/>
    <s v="Small Business"/>
    <s v="Chennai"/>
    <x v="9"/>
    <x v="0"/>
    <s v="Net Banking"/>
    <s v="P010"/>
    <x v="11"/>
    <x v="4"/>
    <n v="3"/>
    <n v="299"/>
    <n v="0.05"/>
    <n v="852.15"/>
    <n v="110"/>
    <n v="330"/>
    <n v="100"/>
    <n v="422.15"/>
  </r>
  <r>
    <s v="ORD01011"/>
    <x v="354"/>
    <s v="C0016"/>
    <s v="Small Business"/>
    <s v="Lucknow"/>
    <x v="8"/>
    <x v="1"/>
    <s v="UPI"/>
    <s v="P009"/>
    <x v="9"/>
    <x v="2"/>
    <n v="1"/>
    <n v="599"/>
    <n v="0.2"/>
    <n v="479.2"/>
    <n v="240"/>
    <n v="240"/>
    <n v="0"/>
    <n v="239.2"/>
  </r>
  <r>
    <s v="ORD00907"/>
    <x v="354"/>
    <s v="C0012"/>
    <s v="Small Business"/>
    <s v="Mumbai"/>
    <x v="3"/>
    <x v="0"/>
    <s v="Cash on Delivery"/>
    <s v="P007"/>
    <x v="4"/>
    <x v="3"/>
    <n v="4"/>
    <n v="999"/>
    <n v="0.15"/>
    <n v="3396.6"/>
    <n v="520"/>
    <n v="2080"/>
    <n v="40"/>
    <n v="1276.5999999999999"/>
  </r>
  <r>
    <s v="ORD00585"/>
    <x v="355"/>
    <s v="C0266"/>
    <s v="Corporate"/>
    <s v="Ahmedabad"/>
    <x v="6"/>
    <x v="1"/>
    <s v="UPI"/>
    <s v="P011"/>
    <x v="7"/>
    <x v="1"/>
    <n v="3"/>
    <n v="6999"/>
    <n v="0.1"/>
    <n v="18897.3"/>
    <n v="4900"/>
    <n v="14700"/>
    <n v="0"/>
    <n v="4197.3"/>
  </r>
  <r>
    <s v="ORD01193"/>
    <x v="356"/>
    <s v="C0102"/>
    <s v="Corporate"/>
    <s v="Indore"/>
    <x v="1"/>
    <x v="0"/>
    <s v="Debit Card"/>
    <s v="P007"/>
    <x v="4"/>
    <x v="3"/>
    <n v="3"/>
    <n v="999"/>
    <n v="0"/>
    <n v="2997"/>
    <n v="520"/>
    <n v="1560"/>
    <n v="40"/>
    <n v="1397"/>
  </r>
  <r>
    <s v="ORD00358"/>
    <x v="357"/>
    <s v="C0336"/>
    <s v="Consumer"/>
    <s v="Kolkata"/>
    <x v="7"/>
    <x v="0"/>
    <s v="UPI"/>
    <s v="P011"/>
    <x v="7"/>
    <x v="1"/>
    <n v="1"/>
    <n v="6999"/>
    <n v="0.2"/>
    <n v="5599.2"/>
    <n v="4900"/>
    <n v="4900"/>
    <n v="40"/>
    <n v="659.2"/>
  </r>
  <r>
    <s v="ORD00621"/>
    <x v="357"/>
    <s v="C0244"/>
    <s v="Small Business"/>
    <s v="Ahmedabad"/>
    <x v="6"/>
    <x v="0"/>
    <s v="Credit Card"/>
    <s v="P004"/>
    <x v="3"/>
    <x v="1"/>
    <n v="1"/>
    <n v="499"/>
    <n v="0"/>
    <n v="499"/>
    <n v="180"/>
    <n v="180"/>
    <n v="100"/>
    <n v="219"/>
  </r>
  <r>
    <s v="ORD00333"/>
    <x v="357"/>
    <s v="C0220"/>
    <s v="Corporate"/>
    <s v="Bhopal"/>
    <x v="1"/>
    <x v="2"/>
    <s v="Credit Card"/>
    <s v="P001"/>
    <x v="0"/>
    <x v="0"/>
    <n v="3"/>
    <n v="799"/>
    <n v="0"/>
    <n v="2397"/>
    <n v="420"/>
    <n v="1260"/>
    <n v="80"/>
    <n v="1057"/>
  </r>
  <r>
    <s v="ORD01052"/>
    <x v="357"/>
    <s v="C0432"/>
    <s v="Corporate"/>
    <s v="Delhi"/>
    <x v="5"/>
    <x v="1"/>
    <s v="Cash on Delivery"/>
    <s v="P004"/>
    <x v="3"/>
    <x v="1"/>
    <n v="1"/>
    <n v="499"/>
    <n v="0.1"/>
    <n v="449.1"/>
    <n v="180"/>
    <n v="180"/>
    <n v="100"/>
    <n v="169.1"/>
  </r>
  <r>
    <s v="ORD01081"/>
    <x v="358"/>
    <s v="C0344"/>
    <s v="Small Business"/>
    <s v="Chennai"/>
    <x v="9"/>
    <x v="1"/>
    <s v="Net Banking"/>
    <s v="P001"/>
    <x v="0"/>
    <x v="0"/>
    <n v="1"/>
    <n v="799"/>
    <n v="0"/>
    <n v="799"/>
    <n v="420"/>
    <n v="420"/>
    <n v="40"/>
    <n v="339"/>
  </r>
  <r>
    <s v="ORD00213"/>
    <x v="359"/>
    <s v="C0377"/>
    <s v="Consumer"/>
    <s v="Mumbai"/>
    <x v="3"/>
    <x v="1"/>
    <s v="Cash on Delivery"/>
    <s v="P006"/>
    <x v="8"/>
    <x v="3"/>
    <n v="2"/>
    <n v="2999"/>
    <n v="0"/>
    <n v="5998"/>
    <n v="1750"/>
    <n v="3500"/>
    <n v="0"/>
    <n v="2498"/>
  </r>
  <r>
    <s v="ORD01213"/>
    <x v="359"/>
    <s v="C0225"/>
    <s v="Small Business"/>
    <s v="Delhi"/>
    <x v="5"/>
    <x v="1"/>
    <s v="Cash on Delivery"/>
    <s v="P008"/>
    <x v="2"/>
    <x v="2"/>
    <n v="2"/>
    <n v="1799"/>
    <n v="0.15"/>
    <n v="3058.3"/>
    <n v="850"/>
    <n v="1700"/>
    <n v="0"/>
    <n v="1358.3"/>
  </r>
  <r>
    <s v="ORD01115"/>
    <x v="359"/>
    <s v="C0449"/>
    <s v="Corporate"/>
    <s v="Bengaluru"/>
    <x v="2"/>
    <x v="2"/>
    <s v="Net Banking"/>
    <s v="P012"/>
    <x v="6"/>
    <x v="0"/>
    <n v="2"/>
    <n v="2199"/>
    <n v="0"/>
    <n v="4398"/>
    <n v="1250"/>
    <n v="2500"/>
    <n v="100"/>
    <n v="1798"/>
  </r>
  <r>
    <s v="ORD01335"/>
    <x v="360"/>
    <s v="C0158"/>
    <s v="Small Business"/>
    <s v="Indore"/>
    <x v="1"/>
    <x v="0"/>
    <s v="UPI"/>
    <s v="P004"/>
    <x v="3"/>
    <x v="1"/>
    <n v="1"/>
    <n v="499"/>
    <n v="0.1"/>
    <n v="449.1"/>
    <n v="180"/>
    <n v="180"/>
    <n v="40"/>
    <n v="229.1"/>
  </r>
  <r>
    <s v="ORD01130"/>
    <x v="360"/>
    <s v="C0244"/>
    <s v="Small Business"/>
    <s v="Kolkata"/>
    <x v="7"/>
    <x v="0"/>
    <s v="UPI"/>
    <s v="P012"/>
    <x v="6"/>
    <x v="0"/>
    <n v="2"/>
    <n v="2199"/>
    <n v="0"/>
    <n v="4398"/>
    <n v="1250"/>
    <n v="2500"/>
    <n v="60"/>
    <n v="1838"/>
  </r>
  <r>
    <s v="ORD01051"/>
    <x v="361"/>
    <s v="C0113"/>
    <s v="Consumer"/>
    <s v="Bengaluru"/>
    <x v="2"/>
    <x v="1"/>
    <s v="Credit Card"/>
    <s v="P011"/>
    <x v="7"/>
    <x v="1"/>
    <n v="4"/>
    <n v="6999"/>
    <n v="0.15"/>
    <n v="23796.6"/>
    <n v="4900"/>
    <n v="19600"/>
    <n v="0"/>
    <n v="4196.6000000000004"/>
  </r>
  <r>
    <s v="ORD00396"/>
    <x v="361"/>
    <s v="C0301"/>
    <s v="Corporate"/>
    <s v="Bhopal"/>
    <x v="1"/>
    <x v="2"/>
    <s v="UPI"/>
    <s v="P006"/>
    <x v="8"/>
    <x v="3"/>
    <n v="2"/>
    <n v="2999"/>
    <n v="0.2"/>
    <n v="4798.3999999999996"/>
    <n v="1750"/>
    <n v="3500"/>
    <n v="0"/>
    <n v="1298.4000000000001"/>
  </r>
  <r>
    <s v="ORD01252"/>
    <x v="361"/>
    <s v="C0287"/>
    <s v="Small Business"/>
    <s v="Ahmedabad"/>
    <x v="6"/>
    <x v="2"/>
    <s v="Net Banking"/>
    <s v="P010"/>
    <x v="11"/>
    <x v="4"/>
    <n v="1"/>
    <n v="299"/>
    <n v="0.1"/>
    <n v="269.10000000000002"/>
    <n v="110"/>
    <n v="110"/>
    <n v="40"/>
    <n v="119.1"/>
  </r>
  <r>
    <s v="ORD00569"/>
    <x v="361"/>
    <s v="C0397"/>
    <s v="Consumer"/>
    <s v="Mumbai"/>
    <x v="3"/>
    <x v="0"/>
    <s v="Net Banking"/>
    <s v="P010"/>
    <x v="11"/>
    <x v="4"/>
    <n v="2"/>
    <n v="299"/>
    <n v="0.05"/>
    <n v="568.1"/>
    <n v="110"/>
    <n v="220"/>
    <n v="100"/>
    <n v="248.1"/>
  </r>
  <r>
    <s v="ORD00995"/>
    <x v="362"/>
    <s v="C0093"/>
    <s v="Corporate"/>
    <s v="Kolkata"/>
    <x v="7"/>
    <x v="2"/>
    <s v="Cash on Delivery"/>
    <s v="P010"/>
    <x v="11"/>
    <x v="4"/>
    <n v="1"/>
    <n v="299"/>
    <n v="0"/>
    <n v="299"/>
    <n v="110"/>
    <n v="110"/>
    <n v="60"/>
    <n v="129"/>
  </r>
  <r>
    <s v="ORD00352"/>
    <x v="363"/>
    <s v="C0250"/>
    <s v="Corporate"/>
    <s v="Jaipur"/>
    <x v="4"/>
    <x v="0"/>
    <s v="UPI"/>
    <s v="P009"/>
    <x v="9"/>
    <x v="2"/>
    <n v="3"/>
    <n v="599"/>
    <n v="0.2"/>
    <n v="1437.6"/>
    <n v="240"/>
    <n v="720"/>
    <n v="60"/>
    <n v="657.6"/>
  </r>
  <r>
    <s v="ORD00981"/>
    <x v="363"/>
    <s v="C0256"/>
    <s v="Small Business"/>
    <s v="Bhopal"/>
    <x v="1"/>
    <x v="1"/>
    <s v="Net Banking"/>
    <s v="P010"/>
    <x v="11"/>
    <x v="4"/>
    <n v="2"/>
    <n v="299"/>
    <n v="0.1"/>
    <n v="538.20000000000005"/>
    <n v="110"/>
    <n v="220"/>
    <n v="60"/>
    <n v="258.2"/>
  </r>
  <r>
    <s v="ORD01296"/>
    <x v="363"/>
    <s v="C0364"/>
    <s v="Consumer"/>
    <s v="Pune"/>
    <x v="3"/>
    <x v="0"/>
    <s v="UPI"/>
    <s v="P006"/>
    <x v="8"/>
    <x v="3"/>
    <n v="2"/>
    <n v="2999"/>
    <n v="0.1"/>
    <n v="5398.2"/>
    <n v="1750"/>
    <n v="3500"/>
    <n v="40"/>
    <n v="1858.2"/>
  </r>
  <r>
    <s v="ORD00467"/>
    <x v="364"/>
    <s v="C0376"/>
    <s v="Consumer"/>
    <s v="Bengaluru"/>
    <x v="2"/>
    <x v="0"/>
    <s v="Cash on Delivery"/>
    <s v="P001"/>
    <x v="0"/>
    <x v="0"/>
    <n v="1"/>
    <n v="799"/>
    <n v="0.2"/>
    <n v="639.20000000000005"/>
    <n v="420"/>
    <n v="420"/>
    <n v="40"/>
    <n v="179.2"/>
  </r>
  <r>
    <s v="ORD00864"/>
    <x v="365"/>
    <s v="C0063"/>
    <s v="Corporate"/>
    <s v="Pune"/>
    <x v="3"/>
    <x v="1"/>
    <s v="Net Banking"/>
    <s v="P008"/>
    <x v="2"/>
    <x v="2"/>
    <n v="2"/>
    <n v="1799"/>
    <n v="0"/>
    <n v="3598"/>
    <n v="850"/>
    <n v="1700"/>
    <n v="80"/>
    <n v="1818"/>
  </r>
  <r>
    <s v="ORD00575"/>
    <x v="366"/>
    <s v="C0175"/>
    <s v="Consumer"/>
    <s v="Hyderabad"/>
    <x v="0"/>
    <x v="0"/>
    <s v="Debit Card"/>
    <s v="P009"/>
    <x v="9"/>
    <x v="2"/>
    <n v="1"/>
    <n v="599"/>
    <n v="0"/>
    <n v="599"/>
    <n v="240"/>
    <n v="240"/>
    <n v="100"/>
    <n v="259"/>
  </r>
  <r>
    <s v="ORD01259"/>
    <x v="367"/>
    <s v="C0301"/>
    <s v="Corporate"/>
    <s v="Mumbai"/>
    <x v="3"/>
    <x v="1"/>
    <s v="Cash on Delivery"/>
    <s v="P012"/>
    <x v="6"/>
    <x v="0"/>
    <n v="2"/>
    <n v="2199"/>
    <n v="0.15"/>
    <n v="3738.3"/>
    <n v="1250"/>
    <n v="2500"/>
    <n v="40"/>
    <n v="1198.3"/>
  </r>
  <r>
    <s v="ORD01391"/>
    <x v="367"/>
    <s v="C0350"/>
    <s v="Small Business"/>
    <s v="Delhi"/>
    <x v="5"/>
    <x v="0"/>
    <s v="Cash on Delivery"/>
    <s v="P010"/>
    <x v="11"/>
    <x v="4"/>
    <n v="2"/>
    <n v="299"/>
    <n v="0"/>
    <n v="598"/>
    <n v="110"/>
    <n v="220"/>
    <n v="60"/>
    <n v="318"/>
  </r>
  <r>
    <s v="ORD00272"/>
    <x v="368"/>
    <s v="C0196"/>
    <s v="Corporate"/>
    <s v="Chennai"/>
    <x v="9"/>
    <x v="1"/>
    <s v="Net Banking"/>
    <s v="P003"/>
    <x v="10"/>
    <x v="0"/>
    <n v="3"/>
    <n v="1599"/>
    <n v="0.2"/>
    <n v="3837.6"/>
    <n v="900"/>
    <n v="2700"/>
    <n v="80"/>
    <n v="1057.5999999999999"/>
  </r>
  <r>
    <s v="ORD00554"/>
    <x v="369"/>
    <s v="C0338"/>
    <s v="Small Business"/>
    <s v="Bhopal"/>
    <x v="1"/>
    <x v="1"/>
    <s v="Credit Card"/>
    <s v="P010"/>
    <x v="11"/>
    <x v="4"/>
    <n v="1"/>
    <n v="299"/>
    <n v="0.15"/>
    <n v="254.15"/>
    <n v="110"/>
    <n v="110"/>
    <n v="40"/>
    <n v="104.15"/>
  </r>
  <r>
    <s v="ORD00115"/>
    <x v="369"/>
    <s v="C0340"/>
    <s v="Small Business"/>
    <s v="Kolkata"/>
    <x v="7"/>
    <x v="2"/>
    <s v="Net Banking"/>
    <s v="P001"/>
    <x v="0"/>
    <x v="0"/>
    <n v="1"/>
    <n v="799"/>
    <n v="0.1"/>
    <n v="719.1"/>
    <n v="420"/>
    <n v="420"/>
    <n v="80"/>
    <n v="219.1"/>
  </r>
  <r>
    <s v="ORD00844"/>
    <x v="370"/>
    <s v="C0080"/>
    <s v="Small Business"/>
    <s v="Bengaluru"/>
    <x v="2"/>
    <x v="2"/>
    <s v="Credit Card"/>
    <s v="P006"/>
    <x v="8"/>
    <x v="3"/>
    <n v="4"/>
    <n v="2999"/>
    <n v="0"/>
    <n v="11996"/>
    <n v="1750"/>
    <n v="7000"/>
    <n v="0"/>
    <n v="4996"/>
  </r>
  <r>
    <s v="ORD01289"/>
    <x v="370"/>
    <s v="C0325"/>
    <s v="Corporate"/>
    <s v="Pune"/>
    <x v="3"/>
    <x v="0"/>
    <s v="Cash on Delivery"/>
    <s v="P002"/>
    <x v="5"/>
    <x v="0"/>
    <n v="2"/>
    <n v="2499"/>
    <n v="0.15"/>
    <n v="4248.3"/>
    <n v="1450"/>
    <n v="2900"/>
    <n v="100"/>
    <n v="1248.3"/>
  </r>
  <r>
    <s v="ORD01468"/>
    <x v="370"/>
    <s v="C0028"/>
    <s v="Corporate"/>
    <s v="Hyderabad"/>
    <x v="0"/>
    <x v="1"/>
    <s v="Credit Card"/>
    <s v="P007"/>
    <x v="4"/>
    <x v="3"/>
    <n v="3"/>
    <n v="999"/>
    <n v="0.1"/>
    <n v="2697.3"/>
    <n v="520"/>
    <n v="1560"/>
    <n v="80"/>
    <n v="1057.3"/>
  </r>
  <r>
    <s v="ORD00490"/>
    <x v="371"/>
    <s v="C0317"/>
    <s v="Small Business"/>
    <s v="Bhopal"/>
    <x v="1"/>
    <x v="1"/>
    <s v="Cash on Delivery"/>
    <s v="P001"/>
    <x v="0"/>
    <x v="0"/>
    <n v="2"/>
    <n v="799"/>
    <n v="0"/>
    <n v="1598"/>
    <n v="420"/>
    <n v="840"/>
    <n v="0"/>
    <n v="758"/>
  </r>
  <r>
    <s v="ORD00640"/>
    <x v="371"/>
    <s v="C0124"/>
    <s v="Small Business"/>
    <s v="Bhopal"/>
    <x v="1"/>
    <x v="0"/>
    <s v="Credit Card"/>
    <s v="P011"/>
    <x v="7"/>
    <x v="1"/>
    <n v="2"/>
    <n v="6999"/>
    <n v="0.2"/>
    <n v="11198.4"/>
    <n v="4900"/>
    <n v="9800"/>
    <n v="60"/>
    <n v="1338.4"/>
  </r>
  <r>
    <s v="ORD00901"/>
    <x v="371"/>
    <s v="C0134"/>
    <s v="Small Business"/>
    <s v="Ahmedabad"/>
    <x v="6"/>
    <x v="2"/>
    <s v="Debit Card"/>
    <s v="P006"/>
    <x v="8"/>
    <x v="3"/>
    <n v="2"/>
    <n v="2999"/>
    <n v="0"/>
    <n v="5998"/>
    <n v="1750"/>
    <n v="3500"/>
    <n v="40"/>
    <n v="2458"/>
  </r>
  <r>
    <s v="ORD00611"/>
    <x v="371"/>
    <s v="C0057"/>
    <s v="Small Business"/>
    <s v="Hyderabad"/>
    <x v="0"/>
    <x v="1"/>
    <s v="Cash on Delivery"/>
    <s v="P004"/>
    <x v="3"/>
    <x v="1"/>
    <n v="3"/>
    <n v="499"/>
    <n v="0"/>
    <n v="1497"/>
    <n v="180"/>
    <n v="540"/>
    <n v="40"/>
    <n v="917"/>
  </r>
  <r>
    <s v="ORD00253"/>
    <x v="372"/>
    <s v="C0282"/>
    <s v="Consumer"/>
    <s v="Mumbai"/>
    <x v="3"/>
    <x v="1"/>
    <s v="Net Banking"/>
    <s v="P006"/>
    <x v="8"/>
    <x v="3"/>
    <n v="2"/>
    <n v="2999"/>
    <n v="0"/>
    <n v="5998"/>
    <n v="1750"/>
    <n v="3500"/>
    <n v="40"/>
    <n v="2458"/>
  </r>
  <r>
    <s v="ORD00313"/>
    <x v="372"/>
    <s v="C0293"/>
    <s v="Small Business"/>
    <s v="Bengaluru"/>
    <x v="2"/>
    <x v="2"/>
    <s v="Net Banking"/>
    <s v="P007"/>
    <x v="4"/>
    <x v="3"/>
    <n v="3"/>
    <n v="999"/>
    <n v="0.2"/>
    <n v="2397.6"/>
    <n v="520"/>
    <n v="1560"/>
    <n v="100"/>
    <n v="737.6"/>
  </r>
  <r>
    <s v="ORD00550"/>
    <x v="373"/>
    <s v="C0108"/>
    <s v="Small Business"/>
    <s v="Jaipur"/>
    <x v="4"/>
    <x v="2"/>
    <s v="Net Banking"/>
    <s v="P006"/>
    <x v="8"/>
    <x v="3"/>
    <n v="2"/>
    <n v="2999"/>
    <n v="0.1"/>
    <n v="5398.2"/>
    <n v="1750"/>
    <n v="3500"/>
    <n v="80"/>
    <n v="1818.2"/>
  </r>
  <r>
    <s v="ORD00192"/>
    <x v="373"/>
    <s v="C0042"/>
    <s v="Corporate"/>
    <s v="Kolkata"/>
    <x v="7"/>
    <x v="2"/>
    <s v="UPI"/>
    <s v="P001"/>
    <x v="0"/>
    <x v="0"/>
    <n v="1"/>
    <n v="799"/>
    <n v="0.05"/>
    <n v="759.05"/>
    <n v="420"/>
    <n v="420"/>
    <n v="40"/>
    <n v="299.05"/>
  </r>
  <r>
    <s v="ORD00067"/>
    <x v="374"/>
    <s v="C0357"/>
    <s v="Consumer"/>
    <s v="Bhopal"/>
    <x v="1"/>
    <x v="0"/>
    <s v="Net Banking"/>
    <s v="P001"/>
    <x v="0"/>
    <x v="0"/>
    <n v="1"/>
    <n v="799"/>
    <n v="0.1"/>
    <n v="719.1"/>
    <n v="420"/>
    <n v="420"/>
    <n v="80"/>
    <n v="219.1"/>
  </r>
  <r>
    <s v="ORD00439"/>
    <x v="375"/>
    <s v="C0422"/>
    <s v="Corporate"/>
    <s v="Bengaluru"/>
    <x v="2"/>
    <x v="0"/>
    <s v="Net Banking"/>
    <s v="P010"/>
    <x v="11"/>
    <x v="4"/>
    <n v="2"/>
    <n v="299"/>
    <n v="0"/>
    <n v="598"/>
    <n v="110"/>
    <n v="220"/>
    <n v="80"/>
    <n v="298"/>
  </r>
  <r>
    <s v="ORD00094"/>
    <x v="375"/>
    <s v="C0195"/>
    <s v="Corporate"/>
    <s v="Lucknow"/>
    <x v="8"/>
    <x v="1"/>
    <s v="Debit Card"/>
    <s v="P010"/>
    <x v="11"/>
    <x v="4"/>
    <n v="2"/>
    <n v="299"/>
    <n v="0.15"/>
    <n v="508.3"/>
    <n v="110"/>
    <n v="220"/>
    <n v="40"/>
    <n v="248.3"/>
  </r>
  <r>
    <s v="ORD00470"/>
    <x v="375"/>
    <s v="C0360"/>
    <s v="Consumer"/>
    <s v="Jaipur"/>
    <x v="4"/>
    <x v="2"/>
    <s v="UPI"/>
    <s v="P008"/>
    <x v="2"/>
    <x v="2"/>
    <n v="1"/>
    <n v="1799"/>
    <n v="0.15"/>
    <n v="1529.15"/>
    <n v="850"/>
    <n v="850"/>
    <n v="60"/>
    <n v="619.15"/>
  </r>
  <r>
    <s v="ORD00472"/>
    <x v="376"/>
    <s v="C0059"/>
    <s v="Consumer"/>
    <s v="Hyderabad"/>
    <x v="0"/>
    <x v="1"/>
    <s v="Credit Card"/>
    <s v="P002"/>
    <x v="5"/>
    <x v="0"/>
    <n v="2"/>
    <n v="2499"/>
    <n v="0.15"/>
    <n v="4248.3"/>
    <n v="1450"/>
    <n v="2900"/>
    <n v="0"/>
    <n v="1348.3"/>
  </r>
  <r>
    <s v="ORD00137"/>
    <x v="377"/>
    <s v="C0051"/>
    <s v="Corporate"/>
    <s v="Indore"/>
    <x v="1"/>
    <x v="0"/>
    <s v="Net Banking"/>
    <s v="P010"/>
    <x v="11"/>
    <x v="4"/>
    <n v="3"/>
    <n v="299"/>
    <n v="0"/>
    <n v="897"/>
    <n v="110"/>
    <n v="330"/>
    <n v="80"/>
    <n v="487"/>
  </r>
  <r>
    <s v="ORD00055"/>
    <x v="378"/>
    <s v="C0292"/>
    <s v="Corporate"/>
    <s v="Bhopal"/>
    <x v="1"/>
    <x v="1"/>
    <s v="Cash on Delivery"/>
    <s v="P011"/>
    <x v="7"/>
    <x v="1"/>
    <n v="4"/>
    <n v="6999"/>
    <n v="0.2"/>
    <n v="22396.799999999999"/>
    <n v="4900"/>
    <n v="19600"/>
    <n v="40"/>
    <n v="2756.8"/>
  </r>
  <r>
    <s v="ORD00902"/>
    <x v="378"/>
    <s v="C0356"/>
    <s v="Consumer"/>
    <s v="Jaipur"/>
    <x v="4"/>
    <x v="2"/>
    <s v="Credit Card"/>
    <s v="P010"/>
    <x v="11"/>
    <x v="4"/>
    <n v="2"/>
    <n v="299"/>
    <n v="0.15"/>
    <n v="508.3"/>
    <n v="110"/>
    <n v="220"/>
    <n v="60"/>
    <n v="228.3"/>
  </r>
  <r>
    <s v="ORD00315"/>
    <x v="379"/>
    <s v="C0127"/>
    <s v="Small Business"/>
    <s v="Hyderabad"/>
    <x v="0"/>
    <x v="0"/>
    <s v="Net Banking"/>
    <s v="P005"/>
    <x v="1"/>
    <x v="1"/>
    <n v="2"/>
    <n v="1299"/>
    <n v="0"/>
    <n v="2598"/>
    <n v="700"/>
    <n v="1400"/>
    <n v="60"/>
    <n v="1138"/>
  </r>
  <r>
    <s v="ORD00480"/>
    <x v="379"/>
    <s v="C0357"/>
    <s v="Small Business"/>
    <s v="Delhi"/>
    <x v="5"/>
    <x v="2"/>
    <s v="Credit Card"/>
    <s v="P011"/>
    <x v="7"/>
    <x v="1"/>
    <n v="4"/>
    <n v="6999"/>
    <n v="0"/>
    <n v="27996"/>
    <n v="4900"/>
    <n v="19600"/>
    <n v="0"/>
    <n v="8396"/>
  </r>
  <r>
    <s v="ORD00952"/>
    <x v="380"/>
    <s v="C0214"/>
    <s v="Corporate"/>
    <s v="Indore"/>
    <x v="1"/>
    <x v="2"/>
    <s v="Net Banking"/>
    <s v="P010"/>
    <x v="11"/>
    <x v="4"/>
    <n v="1"/>
    <n v="299"/>
    <n v="0"/>
    <n v="299"/>
    <n v="110"/>
    <n v="110"/>
    <n v="60"/>
    <n v="129"/>
  </r>
  <r>
    <s v="ORD01443"/>
    <x v="380"/>
    <s v="C0365"/>
    <s v="Corporate"/>
    <s v="Bengaluru"/>
    <x v="2"/>
    <x v="2"/>
    <s v="Debit Card"/>
    <s v="P006"/>
    <x v="8"/>
    <x v="3"/>
    <n v="1"/>
    <n v="2999"/>
    <n v="0.2"/>
    <n v="2399.1999999999998"/>
    <n v="1750"/>
    <n v="1750"/>
    <n v="100"/>
    <n v="549.20000000000005"/>
  </r>
  <r>
    <s v="ORD01166"/>
    <x v="380"/>
    <s v="C0084"/>
    <s v="Corporate"/>
    <s v="Indore"/>
    <x v="1"/>
    <x v="1"/>
    <s v="UPI"/>
    <s v="P002"/>
    <x v="5"/>
    <x v="0"/>
    <n v="2"/>
    <n v="2499"/>
    <n v="0.05"/>
    <n v="4748.1000000000004"/>
    <n v="1450"/>
    <n v="2900"/>
    <n v="80"/>
    <n v="1768.1"/>
  </r>
  <r>
    <s v="ORD00655"/>
    <x v="381"/>
    <s v="C0336"/>
    <s v="Consumer"/>
    <s v="Bhopal"/>
    <x v="1"/>
    <x v="1"/>
    <s v="Credit Card"/>
    <s v="P006"/>
    <x v="8"/>
    <x v="3"/>
    <n v="1"/>
    <n v="2999"/>
    <n v="0.05"/>
    <n v="2849.05"/>
    <n v="1750"/>
    <n v="1750"/>
    <n v="60"/>
    <n v="1039.05"/>
  </r>
  <r>
    <s v="ORD00371"/>
    <x v="381"/>
    <s v="C0316"/>
    <s v="Consumer"/>
    <s v="Lucknow"/>
    <x v="8"/>
    <x v="1"/>
    <s v="UPI"/>
    <s v="P012"/>
    <x v="6"/>
    <x v="0"/>
    <n v="1"/>
    <n v="2199"/>
    <n v="0.2"/>
    <n v="1759.2"/>
    <n v="1250"/>
    <n v="1250"/>
    <n v="100"/>
    <n v="409.2"/>
  </r>
  <r>
    <s v="ORD00431"/>
    <x v="381"/>
    <s v="C0076"/>
    <s v="Small Business"/>
    <s v="Indore"/>
    <x v="1"/>
    <x v="1"/>
    <s v="Debit Card"/>
    <s v="P002"/>
    <x v="5"/>
    <x v="0"/>
    <n v="5"/>
    <n v="2499"/>
    <n v="0.1"/>
    <n v="11245.5"/>
    <n v="1450"/>
    <n v="7250"/>
    <n v="40"/>
    <n v="3955.5"/>
  </r>
  <r>
    <s v="ORD01104"/>
    <x v="382"/>
    <s v="C0230"/>
    <s v="Small Business"/>
    <s v="Bhopal"/>
    <x v="1"/>
    <x v="2"/>
    <s v="Debit Card"/>
    <s v="P003"/>
    <x v="10"/>
    <x v="0"/>
    <n v="2"/>
    <n v="1599"/>
    <n v="0.05"/>
    <n v="3038.1"/>
    <n v="900"/>
    <n v="1800"/>
    <n v="60"/>
    <n v="1178.0999999999999"/>
  </r>
  <r>
    <s v="ORD00087"/>
    <x v="383"/>
    <s v="C0157"/>
    <s v="Corporate"/>
    <s v="Hyderabad"/>
    <x v="0"/>
    <x v="2"/>
    <s v="UPI"/>
    <s v="P012"/>
    <x v="6"/>
    <x v="0"/>
    <n v="2"/>
    <n v="2199"/>
    <n v="0.05"/>
    <n v="4178.1000000000004"/>
    <n v="1250"/>
    <n v="2500"/>
    <n v="80"/>
    <n v="1598.1"/>
  </r>
  <r>
    <s v="ORD01378"/>
    <x v="383"/>
    <s v="C0200"/>
    <s v="Consumer"/>
    <s v="Bhopal"/>
    <x v="1"/>
    <x v="0"/>
    <s v="Debit Card"/>
    <s v="P003"/>
    <x v="10"/>
    <x v="0"/>
    <n v="1"/>
    <n v="1599"/>
    <n v="0.1"/>
    <n v="1439.1"/>
    <n v="900"/>
    <n v="900"/>
    <n v="0"/>
    <n v="539.1"/>
  </r>
  <r>
    <s v="ORD01496"/>
    <x v="384"/>
    <s v="C0131"/>
    <s v="Small Business"/>
    <s v="Kolkata"/>
    <x v="7"/>
    <x v="0"/>
    <s v="Credit Card"/>
    <s v="P010"/>
    <x v="11"/>
    <x v="4"/>
    <n v="2"/>
    <n v="299"/>
    <n v="0.05"/>
    <n v="568.1"/>
    <n v="110"/>
    <n v="220"/>
    <n v="100"/>
    <n v="248.1"/>
  </r>
  <r>
    <s v="ORD00764"/>
    <x v="385"/>
    <s v="C0400"/>
    <s v="Consumer"/>
    <s v="Delhi"/>
    <x v="5"/>
    <x v="1"/>
    <s v="UPI"/>
    <s v="P012"/>
    <x v="6"/>
    <x v="0"/>
    <n v="4"/>
    <n v="2199"/>
    <n v="0.05"/>
    <n v="8356.2000000000007"/>
    <n v="1250"/>
    <n v="5000"/>
    <n v="60"/>
    <n v="3296.2"/>
  </r>
  <r>
    <s v="ORD00678"/>
    <x v="385"/>
    <s v="C0161"/>
    <s v="Corporate"/>
    <s v="Ahmedabad"/>
    <x v="6"/>
    <x v="0"/>
    <s v="Cash on Delivery"/>
    <s v="P007"/>
    <x v="4"/>
    <x v="3"/>
    <n v="3"/>
    <n v="999"/>
    <n v="0.15"/>
    <n v="2547.4499999999998"/>
    <n v="520"/>
    <n v="1560"/>
    <n v="80"/>
    <n v="907.45"/>
  </r>
  <r>
    <s v="ORD01346"/>
    <x v="386"/>
    <s v="C0348"/>
    <s v="Consumer"/>
    <s v="Delhi"/>
    <x v="5"/>
    <x v="0"/>
    <s v="Debit Card"/>
    <s v="P006"/>
    <x v="8"/>
    <x v="3"/>
    <n v="1"/>
    <n v="2999"/>
    <n v="0.05"/>
    <n v="2849.05"/>
    <n v="1750"/>
    <n v="1750"/>
    <n v="0"/>
    <n v="1099.05"/>
  </r>
  <r>
    <s v="ORD00535"/>
    <x v="386"/>
    <s v="C0379"/>
    <s v="Small Business"/>
    <s v="Ahmedabad"/>
    <x v="6"/>
    <x v="1"/>
    <s v="Debit Card"/>
    <s v="P003"/>
    <x v="10"/>
    <x v="0"/>
    <n v="1"/>
    <n v="1599"/>
    <n v="0"/>
    <n v="1599"/>
    <n v="900"/>
    <n v="900"/>
    <n v="40"/>
    <n v="659"/>
  </r>
  <r>
    <s v="ORD00156"/>
    <x v="387"/>
    <s v="C0330"/>
    <s v="Small Business"/>
    <s v="Indore"/>
    <x v="1"/>
    <x v="2"/>
    <s v="Cash on Delivery"/>
    <s v="P009"/>
    <x v="9"/>
    <x v="2"/>
    <n v="5"/>
    <n v="599"/>
    <n v="0.15"/>
    <n v="2545.75"/>
    <n v="240"/>
    <n v="1200"/>
    <n v="100"/>
    <n v="1245.75"/>
  </r>
  <r>
    <s v="ORD01313"/>
    <x v="387"/>
    <s v="C0086"/>
    <s v="Consumer"/>
    <s v="Jaipur"/>
    <x v="4"/>
    <x v="0"/>
    <s v="Debit Card"/>
    <s v="P004"/>
    <x v="3"/>
    <x v="1"/>
    <n v="2"/>
    <n v="499"/>
    <n v="0.05"/>
    <n v="948.1"/>
    <n v="180"/>
    <n v="360"/>
    <n v="0"/>
    <n v="588.1"/>
  </r>
  <r>
    <s v="ORD00559"/>
    <x v="387"/>
    <s v="C0302"/>
    <s v="Small Business"/>
    <s v="Chennai"/>
    <x v="9"/>
    <x v="0"/>
    <s v="Cash on Delivery"/>
    <s v="P004"/>
    <x v="3"/>
    <x v="1"/>
    <n v="4"/>
    <n v="499"/>
    <n v="0.1"/>
    <n v="1796.4"/>
    <n v="180"/>
    <n v="720"/>
    <n v="80"/>
    <n v="996.4"/>
  </r>
  <r>
    <s v="ORD00354"/>
    <x v="387"/>
    <s v="C0281"/>
    <s v="Small Business"/>
    <s v="Chennai"/>
    <x v="9"/>
    <x v="2"/>
    <s v="Cash on Delivery"/>
    <s v="P004"/>
    <x v="3"/>
    <x v="1"/>
    <n v="2"/>
    <n v="499"/>
    <n v="0.05"/>
    <n v="948.1"/>
    <n v="180"/>
    <n v="360"/>
    <n v="60"/>
    <n v="528.1"/>
  </r>
  <r>
    <s v="ORD00920"/>
    <x v="388"/>
    <s v="C0265"/>
    <s v="Corporate"/>
    <s v="Hyderabad"/>
    <x v="0"/>
    <x v="1"/>
    <s v="Credit Card"/>
    <s v="P005"/>
    <x v="1"/>
    <x v="1"/>
    <n v="4"/>
    <n v="1299"/>
    <n v="0.05"/>
    <n v="4936.2"/>
    <n v="700"/>
    <n v="2800"/>
    <n v="100"/>
    <n v="2036.2"/>
  </r>
  <r>
    <s v="ORD00150"/>
    <x v="388"/>
    <s v="C0205"/>
    <s v="Corporate"/>
    <s v="Jaipur"/>
    <x v="4"/>
    <x v="0"/>
    <s v="UPI"/>
    <s v="P008"/>
    <x v="2"/>
    <x v="2"/>
    <n v="4"/>
    <n v="1799"/>
    <n v="0.1"/>
    <n v="6476.4"/>
    <n v="850"/>
    <n v="3400"/>
    <n v="60"/>
    <n v="3016.4"/>
  </r>
  <r>
    <s v="ORD01205"/>
    <x v="389"/>
    <s v="C0156"/>
    <s v="Consumer"/>
    <s v="Chennai"/>
    <x v="9"/>
    <x v="2"/>
    <s v="UPI"/>
    <s v="P003"/>
    <x v="10"/>
    <x v="0"/>
    <n v="1"/>
    <n v="1599"/>
    <n v="0.1"/>
    <n v="1439.1"/>
    <n v="900"/>
    <n v="900"/>
    <n v="60"/>
    <n v="479.1"/>
  </r>
  <r>
    <s v="ORD01338"/>
    <x v="389"/>
    <s v="C0171"/>
    <s v="Consumer"/>
    <s v="Lucknow"/>
    <x v="8"/>
    <x v="1"/>
    <s v="Debit Card"/>
    <s v="P004"/>
    <x v="3"/>
    <x v="1"/>
    <n v="1"/>
    <n v="499"/>
    <n v="0.15"/>
    <n v="424.15"/>
    <n v="180"/>
    <n v="180"/>
    <n v="80"/>
    <n v="164.15"/>
  </r>
  <r>
    <s v="ORD00728"/>
    <x v="389"/>
    <s v="C0121"/>
    <s v="Consumer"/>
    <s v="Ahmedabad"/>
    <x v="6"/>
    <x v="0"/>
    <s v="UPI"/>
    <s v="P007"/>
    <x v="4"/>
    <x v="3"/>
    <n v="2"/>
    <n v="999"/>
    <n v="0.05"/>
    <n v="1898.1"/>
    <n v="520"/>
    <n v="1040"/>
    <n v="100"/>
    <n v="758.1"/>
  </r>
  <r>
    <s v="ORD00651"/>
    <x v="390"/>
    <s v="C0043"/>
    <s v="Corporate"/>
    <s v="Chennai"/>
    <x v="9"/>
    <x v="0"/>
    <s v="UPI"/>
    <s v="P005"/>
    <x v="1"/>
    <x v="1"/>
    <n v="3"/>
    <n v="1299"/>
    <n v="0"/>
    <n v="3897"/>
    <n v="700"/>
    <n v="2100"/>
    <n v="40"/>
    <n v="1757"/>
  </r>
  <r>
    <s v="ORD00736"/>
    <x v="390"/>
    <s v="C0196"/>
    <s v="Corporate"/>
    <s v="Ahmedabad"/>
    <x v="6"/>
    <x v="1"/>
    <s v="Net Banking"/>
    <s v="P012"/>
    <x v="6"/>
    <x v="0"/>
    <n v="2"/>
    <n v="2199"/>
    <n v="0.2"/>
    <n v="3518.4"/>
    <n v="1250"/>
    <n v="2500"/>
    <n v="60"/>
    <n v="958.4"/>
  </r>
  <r>
    <s v="ORD01312"/>
    <x v="391"/>
    <s v="C0319"/>
    <s v="Consumer"/>
    <s v="Chennai"/>
    <x v="9"/>
    <x v="0"/>
    <s v="Net Banking"/>
    <s v="P008"/>
    <x v="2"/>
    <x v="2"/>
    <n v="1"/>
    <n v="1799"/>
    <n v="0.2"/>
    <n v="1439.2"/>
    <n v="850"/>
    <n v="850"/>
    <n v="60"/>
    <n v="529.20000000000005"/>
  </r>
  <r>
    <s v="ORD00221"/>
    <x v="391"/>
    <s v="C0079"/>
    <s v="Corporate"/>
    <s v="Lucknow"/>
    <x v="8"/>
    <x v="2"/>
    <s v="Credit Card"/>
    <s v="P009"/>
    <x v="9"/>
    <x v="2"/>
    <n v="4"/>
    <n v="599"/>
    <n v="0"/>
    <n v="2396"/>
    <n v="240"/>
    <n v="960"/>
    <n v="0"/>
    <n v="1436"/>
  </r>
  <r>
    <s v="ORD00051"/>
    <x v="392"/>
    <s v="C0262"/>
    <s v="Consumer"/>
    <s v="Bhopal"/>
    <x v="1"/>
    <x v="1"/>
    <s v="Cash on Delivery"/>
    <s v="P006"/>
    <x v="8"/>
    <x v="3"/>
    <n v="2"/>
    <n v="2999"/>
    <n v="0.05"/>
    <n v="5698.1"/>
    <n v="1750"/>
    <n v="3500"/>
    <n v="80"/>
    <n v="2118.1"/>
  </r>
  <r>
    <s v="ORD00605"/>
    <x v="393"/>
    <s v="C0247"/>
    <s v="Small Business"/>
    <s v="Chennai"/>
    <x v="9"/>
    <x v="2"/>
    <s v="UPI"/>
    <s v="P009"/>
    <x v="9"/>
    <x v="2"/>
    <n v="2"/>
    <n v="599"/>
    <n v="0.15"/>
    <n v="1018.3"/>
    <n v="240"/>
    <n v="480"/>
    <n v="60"/>
    <n v="478.3"/>
  </r>
  <r>
    <s v="ORD00770"/>
    <x v="394"/>
    <s v="C0002"/>
    <s v="Corporate"/>
    <s v="Bengaluru"/>
    <x v="2"/>
    <x v="0"/>
    <s v="Net Banking"/>
    <s v="P007"/>
    <x v="4"/>
    <x v="3"/>
    <n v="3"/>
    <n v="999"/>
    <n v="0"/>
    <n v="2997"/>
    <n v="520"/>
    <n v="1560"/>
    <n v="100"/>
    <n v="1337"/>
  </r>
  <r>
    <s v="ORD00168"/>
    <x v="395"/>
    <s v="C0041"/>
    <s v="Corporate"/>
    <s v="Lucknow"/>
    <x v="8"/>
    <x v="1"/>
    <s v="Debit Card"/>
    <s v="P002"/>
    <x v="5"/>
    <x v="0"/>
    <n v="1"/>
    <n v="2499"/>
    <n v="0.15"/>
    <n v="2124.15"/>
    <n v="1450"/>
    <n v="1450"/>
    <n v="80"/>
    <n v="594.15"/>
  </r>
  <r>
    <s v="ORD00570"/>
    <x v="396"/>
    <s v="C0100"/>
    <s v="Consumer"/>
    <s v="Hyderabad"/>
    <x v="0"/>
    <x v="0"/>
    <s v="Cash on Delivery"/>
    <s v="P001"/>
    <x v="0"/>
    <x v="0"/>
    <n v="1"/>
    <n v="799"/>
    <n v="0.2"/>
    <n v="639.20000000000005"/>
    <n v="420"/>
    <n v="420"/>
    <n v="100"/>
    <n v="119.2"/>
  </r>
  <r>
    <s v="ORD00363"/>
    <x v="397"/>
    <s v="C0316"/>
    <s v="Small Business"/>
    <s v="Kolkata"/>
    <x v="7"/>
    <x v="1"/>
    <s v="Credit Card"/>
    <s v="P006"/>
    <x v="8"/>
    <x v="3"/>
    <n v="2"/>
    <n v="2999"/>
    <n v="0.2"/>
    <n v="4798.3999999999996"/>
    <n v="1750"/>
    <n v="3500"/>
    <n v="40"/>
    <n v="1258.4000000000001"/>
  </r>
  <r>
    <s v="ORD00173"/>
    <x v="397"/>
    <s v="C0303"/>
    <s v="Consumer"/>
    <s v="Hyderabad"/>
    <x v="0"/>
    <x v="1"/>
    <s v="Cash on Delivery"/>
    <s v="P002"/>
    <x v="5"/>
    <x v="0"/>
    <n v="2"/>
    <n v="2499"/>
    <n v="0.2"/>
    <n v="3998.4"/>
    <n v="1450"/>
    <n v="2900"/>
    <n v="60"/>
    <n v="1038.4000000000001"/>
  </r>
  <r>
    <s v="ORD00895"/>
    <x v="397"/>
    <s v="C0274"/>
    <s v="Corporate"/>
    <s v="Jaipur"/>
    <x v="4"/>
    <x v="0"/>
    <s v="UPI"/>
    <s v="P007"/>
    <x v="4"/>
    <x v="3"/>
    <n v="1"/>
    <n v="999"/>
    <n v="0.15"/>
    <n v="849.15"/>
    <n v="520"/>
    <n v="520"/>
    <n v="0"/>
    <n v="329.15"/>
  </r>
  <r>
    <s v="ORD00244"/>
    <x v="398"/>
    <s v="C0257"/>
    <s v="Small Business"/>
    <s v="Kolkata"/>
    <x v="7"/>
    <x v="1"/>
    <s v="UPI"/>
    <s v="P006"/>
    <x v="8"/>
    <x v="3"/>
    <n v="1"/>
    <n v="2999"/>
    <n v="0.1"/>
    <n v="2699.1"/>
    <n v="1750"/>
    <n v="1750"/>
    <n v="40"/>
    <n v="909.1"/>
  </r>
  <r>
    <s v="ORD01268"/>
    <x v="398"/>
    <s v="C0043"/>
    <s v="Small Business"/>
    <s v="Chennai"/>
    <x v="9"/>
    <x v="1"/>
    <s v="Cash on Delivery"/>
    <s v="P006"/>
    <x v="8"/>
    <x v="3"/>
    <n v="2"/>
    <n v="2999"/>
    <n v="0.15"/>
    <n v="5098.3"/>
    <n v="1750"/>
    <n v="3500"/>
    <n v="60"/>
    <n v="1538.3"/>
  </r>
  <r>
    <s v="ORD00606"/>
    <x v="399"/>
    <s v="C0006"/>
    <s v="Consumer"/>
    <s v="Hyderabad"/>
    <x v="0"/>
    <x v="0"/>
    <s v="Credit Card"/>
    <s v="P005"/>
    <x v="1"/>
    <x v="1"/>
    <n v="1"/>
    <n v="1299"/>
    <n v="0.05"/>
    <n v="1234.05"/>
    <n v="700"/>
    <n v="700"/>
    <n v="40"/>
    <n v="494.05"/>
  </r>
  <r>
    <s v="ORD00057"/>
    <x v="399"/>
    <s v="C0044"/>
    <s v="Corporate"/>
    <s v="Indore"/>
    <x v="1"/>
    <x v="0"/>
    <s v="Cash on Delivery"/>
    <s v="P011"/>
    <x v="7"/>
    <x v="1"/>
    <n v="1"/>
    <n v="6999"/>
    <n v="0.1"/>
    <n v="6299.1"/>
    <n v="4900"/>
    <n v="4900"/>
    <n v="40"/>
    <n v="1359.1"/>
  </r>
  <r>
    <s v="ORD01222"/>
    <x v="399"/>
    <s v="C0414"/>
    <s v="Corporate"/>
    <s v="Indore"/>
    <x v="1"/>
    <x v="2"/>
    <s v="Net Banking"/>
    <s v="P004"/>
    <x v="3"/>
    <x v="1"/>
    <n v="1"/>
    <n v="499"/>
    <n v="0"/>
    <n v="499"/>
    <n v="180"/>
    <n v="180"/>
    <n v="100"/>
    <n v="219"/>
  </r>
  <r>
    <s v="ORD00029"/>
    <x v="400"/>
    <s v="C0048"/>
    <s v="Consumer"/>
    <s v="Mumbai"/>
    <x v="3"/>
    <x v="2"/>
    <s v="Net Banking"/>
    <s v="P009"/>
    <x v="9"/>
    <x v="2"/>
    <n v="1"/>
    <n v="599"/>
    <n v="0.2"/>
    <n v="479.2"/>
    <n v="240"/>
    <n v="240"/>
    <n v="100"/>
    <n v="139.19999999999999"/>
  </r>
  <r>
    <s v="ORD00617"/>
    <x v="400"/>
    <s v="C0377"/>
    <s v="Consumer"/>
    <s v="Jaipur"/>
    <x v="4"/>
    <x v="0"/>
    <s v="Credit Card"/>
    <s v="P004"/>
    <x v="3"/>
    <x v="1"/>
    <n v="3"/>
    <n v="499"/>
    <n v="0"/>
    <n v="1497"/>
    <n v="180"/>
    <n v="540"/>
    <n v="40"/>
    <n v="917"/>
  </r>
  <r>
    <s v="ORD00831"/>
    <x v="401"/>
    <s v="C0413"/>
    <s v="Small Business"/>
    <s v="Delhi"/>
    <x v="5"/>
    <x v="1"/>
    <s v="Net Banking"/>
    <s v="P012"/>
    <x v="6"/>
    <x v="0"/>
    <n v="5"/>
    <n v="2199"/>
    <n v="0.1"/>
    <n v="9895.5"/>
    <n v="1250"/>
    <n v="6250"/>
    <n v="60"/>
    <n v="3585.5"/>
  </r>
  <r>
    <s v="ORD00711"/>
    <x v="401"/>
    <s v="C0098"/>
    <s v="Corporate"/>
    <s v="Delhi"/>
    <x v="5"/>
    <x v="1"/>
    <s v="Cash on Delivery"/>
    <s v="P009"/>
    <x v="9"/>
    <x v="2"/>
    <n v="1"/>
    <n v="599"/>
    <n v="0.1"/>
    <n v="539.1"/>
    <n v="240"/>
    <n v="240"/>
    <n v="100"/>
    <n v="199.1"/>
  </r>
  <r>
    <s v="ORD00187"/>
    <x v="401"/>
    <s v="C0274"/>
    <s v="Consumer"/>
    <s v="Bengaluru"/>
    <x v="2"/>
    <x v="1"/>
    <s v="Net Banking"/>
    <s v="P010"/>
    <x v="11"/>
    <x v="4"/>
    <n v="1"/>
    <n v="299"/>
    <n v="0.2"/>
    <n v="239.2"/>
    <n v="110"/>
    <n v="110"/>
    <n v="80"/>
    <n v="49.2"/>
  </r>
  <r>
    <s v="ORD00604"/>
    <x v="402"/>
    <s v="C0303"/>
    <s v="Small Business"/>
    <s v="Delhi"/>
    <x v="5"/>
    <x v="1"/>
    <s v="Cash on Delivery"/>
    <s v="P003"/>
    <x v="10"/>
    <x v="0"/>
    <n v="5"/>
    <n v="1599"/>
    <n v="0.2"/>
    <n v="6396"/>
    <n v="900"/>
    <n v="4500"/>
    <n v="100"/>
    <n v="1796"/>
  </r>
  <r>
    <s v="ORD01033"/>
    <x v="402"/>
    <s v="C0160"/>
    <s v="Small Business"/>
    <s v="Delhi"/>
    <x v="5"/>
    <x v="1"/>
    <s v="Cash on Delivery"/>
    <s v="P003"/>
    <x v="10"/>
    <x v="0"/>
    <n v="1"/>
    <n v="1599"/>
    <n v="0"/>
    <n v="1599"/>
    <n v="900"/>
    <n v="900"/>
    <n v="0"/>
    <n v="699"/>
  </r>
  <r>
    <s v="ORD00730"/>
    <x v="402"/>
    <s v="C0056"/>
    <s v="Small Business"/>
    <s v="Bhopal"/>
    <x v="1"/>
    <x v="0"/>
    <s v="Net Banking"/>
    <s v="P003"/>
    <x v="10"/>
    <x v="0"/>
    <n v="1"/>
    <n v="1599"/>
    <n v="0.1"/>
    <n v="1439.1"/>
    <n v="900"/>
    <n v="900"/>
    <n v="0"/>
    <n v="539.1"/>
  </r>
  <r>
    <s v="ORD01437"/>
    <x v="402"/>
    <s v="C0181"/>
    <s v="Small Business"/>
    <s v="Pune"/>
    <x v="3"/>
    <x v="0"/>
    <s v="UPI"/>
    <s v="P012"/>
    <x v="6"/>
    <x v="0"/>
    <n v="4"/>
    <n v="2199"/>
    <n v="0.1"/>
    <n v="7916.4"/>
    <n v="1250"/>
    <n v="5000"/>
    <n v="60"/>
    <n v="2856.4"/>
  </r>
  <r>
    <s v="ORD00327"/>
    <x v="403"/>
    <s v="C0257"/>
    <s v="Consumer"/>
    <s v="Ahmedabad"/>
    <x v="6"/>
    <x v="1"/>
    <s v="UPI"/>
    <s v="P006"/>
    <x v="8"/>
    <x v="3"/>
    <n v="1"/>
    <n v="2999"/>
    <n v="0.2"/>
    <n v="2399.1999999999998"/>
    <n v="1750"/>
    <n v="1750"/>
    <n v="100"/>
    <n v="549.20000000000005"/>
  </r>
  <r>
    <s v="ORD00208"/>
    <x v="403"/>
    <s v="C0229"/>
    <s v="Consumer"/>
    <s v="Chennai"/>
    <x v="9"/>
    <x v="0"/>
    <s v="Debit Card"/>
    <s v="P010"/>
    <x v="11"/>
    <x v="4"/>
    <n v="2"/>
    <n v="299"/>
    <n v="0"/>
    <n v="598"/>
    <n v="110"/>
    <n v="220"/>
    <n v="80"/>
    <n v="298"/>
  </r>
  <r>
    <s v="ORD00519"/>
    <x v="403"/>
    <s v="C0264"/>
    <s v="Consumer"/>
    <s v="Chennai"/>
    <x v="9"/>
    <x v="2"/>
    <s v="Credit Card"/>
    <s v="P008"/>
    <x v="2"/>
    <x v="2"/>
    <n v="1"/>
    <n v="1799"/>
    <n v="0.2"/>
    <n v="1439.2"/>
    <n v="850"/>
    <n v="850"/>
    <n v="40"/>
    <n v="549.20000000000005"/>
  </r>
  <r>
    <s v="ORD00269"/>
    <x v="403"/>
    <s v="C0289"/>
    <s v="Consumer"/>
    <s v="Jaipur"/>
    <x v="4"/>
    <x v="0"/>
    <s v="Net Banking"/>
    <s v="P001"/>
    <x v="0"/>
    <x v="0"/>
    <n v="2"/>
    <n v="799"/>
    <n v="0.15"/>
    <n v="1358.3"/>
    <n v="420"/>
    <n v="840"/>
    <n v="80"/>
    <n v="438.3"/>
  </r>
  <r>
    <s v="ORD00566"/>
    <x v="404"/>
    <s v="C0206"/>
    <s v="Corporate"/>
    <s v="Lucknow"/>
    <x v="8"/>
    <x v="0"/>
    <s v="Cash on Delivery"/>
    <s v="P012"/>
    <x v="6"/>
    <x v="0"/>
    <n v="4"/>
    <n v="2199"/>
    <n v="0"/>
    <n v="8796"/>
    <n v="1250"/>
    <n v="5000"/>
    <n v="40"/>
    <n v="3756"/>
  </r>
  <r>
    <s v="ORD00416"/>
    <x v="404"/>
    <s v="C0132"/>
    <s v="Consumer"/>
    <s v="Chennai"/>
    <x v="9"/>
    <x v="0"/>
    <s v="UPI"/>
    <s v="P001"/>
    <x v="0"/>
    <x v="0"/>
    <n v="1"/>
    <n v="799"/>
    <n v="0"/>
    <n v="799"/>
    <n v="420"/>
    <n v="420"/>
    <n v="0"/>
    <n v="379"/>
  </r>
  <r>
    <s v="ORD01211"/>
    <x v="405"/>
    <s v="C0215"/>
    <s v="Small Business"/>
    <s v="Jaipur"/>
    <x v="4"/>
    <x v="0"/>
    <s v="UPI"/>
    <s v="P011"/>
    <x v="7"/>
    <x v="1"/>
    <n v="2"/>
    <n v="6999"/>
    <n v="0.1"/>
    <n v="12598.2"/>
    <n v="4900"/>
    <n v="9800"/>
    <n v="0"/>
    <n v="2798.2"/>
  </r>
  <r>
    <s v="ORD00756"/>
    <x v="405"/>
    <s v="C0273"/>
    <s v="Small Business"/>
    <s v="Pune"/>
    <x v="3"/>
    <x v="1"/>
    <s v="Net Banking"/>
    <s v="P007"/>
    <x v="4"/>
    <x v="3"/>
    <n v="2"/>
    <n v="999"/>
    <n v="0.15"/>
    <n v="1698.3"/>
    <n v="520"/>
    <n v="1040"/>
    <n v="0"/>
    <n v="658.3"/>
  </r>
  <r>
    <s v="ORD01269"/>
    <x v="406"/>
    <s v="C0330"/>
    <s v="Consumer"/>
    <s v="Bhopal"/>
    <x v="1"/>
    <x v="0"/>
    <s v="Credit Card"/>
    <s v="P005"/>
    <x v="1"/>
    <x v="1"/>
    <n v="3"/>
    <n v="1299"/>
    <n v="0.2"/>
    <n v="3117.6"/>
    <n v="700"/>
    <n v="2100"/>
    <n v="0"/>
    <n v="1017.6"/>
  </r>
  <r>
    <s v="ORD00191"/>
    <x v="406"/>
    <s v="C0419"/>
    <s v="Corporate"/>
    <s v="Bengaluru"/>
    <x v="2"/>
    <x v="1"/>
    <s v="UPI"/>
    <s v="P009"/>
    <x v="9"/>
    <x v="2"/>
    <n v="1"/>
    <n v="599"/>
    <n v="0.1"/>
    <n v="539.1"/>
    <n v="240"/>
    <n v="240"/>
    <n v="0"/>
    <n v="299.10000000000002"/>
  </r>
  <r>
    <s v="ORD00391"/>
    <x v="406"/>
    <s v="C0395"/>
    <s v="Consumer"/>
    <s v="Chennai"/>
    <x v="9"/>
    <x v="1"/>
    <s v="Debit Card"/>
    <s v="P008"/>
    <x v="2"/>
    <x v="2"/>
    <n v="1"/>
    <n v="1799"/>
    <n v="0"/>
    <n v="1799"/>
    <n v="850"/>
    <n v="850"/>
    <n v="100"/>
    <n v="849"/>
  </r>
  <r>
    <s v="ORD00220"/>
    <x v="406"/>
    <s v="C0328"/>
    <s v="Small Business"/>
    <s v="Lucknow"/>
    <x v="8"/>
    <x v="2"/>
    <s v="Credit Card"/>
    <s v="P008"/>
    <x v="2"/>
    <x v="2"/>
    <n v="2"/>
    <n v="1799"/>
    <n v="0.05"/>
    <n v="3418.1"/>
    <n v="850"/>
    <n v="1700"/>
    <n v="40"/>
    <n v="1678.1"/>
  </r>
  <r>
    <s v="ORD00741"/>
    <x v="406"/>
    <s v="C0004"/>
    <s v="Small Business"/>
    <s v="Bhopal"/>
    <x v="1"/>
    <x v="1"/>
    <s v="Credit Card"/>
    <s v="P007"/>
    <x v="4"/>
    <x v="3"/>
    <n v="1"/>
    <n v="999"/>
    <n v="0"/>
    <n v="999"/>
    <n v="520"/>
    <n v="520"/>
    <n v="80"/>
    <n v="399"/>
  </r>
  <r>
    <s v="ORD00786"/>
    <x v="407"/>
    <s v="C0020"/>
    <s v="Small Business"/>
    <s v="Ahmedabad"/>
    <x v="6"/>
    <x v="2"/>
    <s v="Net Banking"/>
    <s v="P007"/>
    <x v="4"/>
    <x v="3"/>
    <n v="1"/>
    <n v="999"/>
    <n v="0"/>
    <n v="999"/>
    <n v="520"/>
    <n v="520"/>
    <n v="100"/>
    <n v="379"/>
  </r>
  <r>
    <s v="ORD00534"/>
    <x v="407"/>
    <s v="C0290"/>
    <s v="Small Business"/>
    <s v="Delhi"/>
    <x v="5"/>
    <x v="1"/>
    <s v="Debit Card"/>
    <s v="P006"/>
    <x v="8"/>
    <x v="3"/>
    <n v="2"/>
    <n v="2999"/>
    <n v="0.05"/>
    <n v="5698.1"/>
    <n v="1750"/>
    <n v="3500"/>
    <n v="100"/>
    <n v="2098.1"/>
  </r>
  <r>
    <s v="ORD00097"/>
    <x v="407"/>
    <s v="C0148"/>
    <s v="Small Business"/>
    <s v="Bengaluru"/>
    <x v="2"/>
    <x v="1"/>
    <s v="Net Banking"/>
    <s v="P012"/>
    <x v="6"/>
    <x v="0"/>
    <n v="2"/>
    <n v="2199"/>
    <n v="0.05"/>
    <n v="4178.1000000000004"/>
    <n v="1250"/>
    <n v="2500"/>
    <n v="0"/>
    <n v="1678.1"/>
  </r>
  <r>
    <s v="ORD00082"/>
    <x v="407"/>
    <s v="C0195"/>
    <s v="Corporate"/>
    <s v="Indore"/>
    <x v="1"/>
    <x v="2"/>
    <s v="Net Banking"/>
    <s v="P004"/>
    <x v="3"/>
    <x v="1"/>
    <n v="3"/>
    <n v="499"/>
    <n v="0.15"/>
    <n v="1272.45"/>
    <n v="180"/>
    <n v="540"/>
    <n v="100"/>
    <n v="632.45000000000005"/>
  </r>
  <r>
    <s v="ORD00390"/>
    <x v="408"/>
    <s v="C0056"/>
    <s v="Consumer"/>
    <s v="Bhopal"/>
    <x v="1"/>
    <x v="2"/>
    <s v="Credit Card"/>
    <s v="P005"/>
    <x v="1"/>
    <x v="1"/>
    <n v="1"/>
    <n v="1299"/>
    <n v="0"/>
    <n v="1299"/>
    <n v="700"/>
    <n v="700"/>
    <n v="40"/>
    <n v="559"/>
  </r>
  <r>
    <s v="ORD00612"/>
    <x v="408"/>
    <s v="C0010"/>
    <s v="Consumer"/>
    <s v="Chennai"/>
    <x v="9"/>
    <x v="2"/>
    <s v="Cash on Delivery"/>
    <s v="P005"/>
    <x v="1"/>
    <x v="1"/>
    <n v="2"/>
    <n v="1299"/>
    <n v="0.1"/>
    <n v="2338.1999999999998"/>
    <n v="700"/>
    <n v="1400"/>
    <n v="40"/>
    <n v="898.2"/>
  </r>
  <r>
    <s v="ORD00802"/>
    <x v="408"/>
    <s v="C0375"/>
    <s v="Corporate"/>
    <s v="Ahmedabad"/>
    <x v="6"/>
    <x v="2"/>
    <s v="Credit Card"/>
    <s v="P008"/>
    <x v="2"/>
    <x v="2"/>
    <n v="1"/>
    <n v="1799"/>
    <n v="0.15"/>
    <n v="1529.15"/>
    <n v="850"/>
    <n v="850"/>
    <n v="0"/>
    <n v="679.15"/>
  </r>
  <r>
    <s v="ORD01441"/>
    <x v="409"/>
    <s v="C0365"/>
    <s v="Corporate"/>
    <s v="Lucknow"/>
    <x v="8"/>
    <x v="0"/>
    <s v="UPI"/>
    <s v="P001"/>
    <x v="0"/>
    <x v="0"/>
    <n v="1"/>
    <n v="799"/>
    <n v="0.1"/>
    <n v="719.1"/>
    <n v="420"/>
    <n v="420"/>
    <n v="60"/>
    <n v="239.1"/>
  </r>
  <r>
    <s v="ORD00928"/>
    <x v="409"/>
    <s v="C0023"/>
    <s v="Small Business"/>
    <s v="Chennai"/>
    <x v="9"/>
    <x v="0"/>
    <s v="Net Banking"/>
    <s v="P011"/>
    <x v="7"/>
    <x v="1"/>
    <n v="4"/>
    <n v="6999"/>
    <n v="0.15"/>
    <n v="23796.6"/>
    <n v="4900"/>
    <n v="19600"/>
    <n v="0"/>
    <n v="4196.6000000000004"/>
  </r>
  <r>
    <s v="ORD00690"/>
    <x v="409"/>
    <s v="C0126"/>
    <s v="Small Business"/>
    <s v="Mumbai"/>
    <x v="3"/>
    <x v="1"/>
    <s v="Cash on Delivery"/>
    <s v="P007"/>
    <x v="4"/>
    <x v="3"/>
    <n v="2"/>
    <n v="999"/>
    <n v="0.15"/>
    <n v="1698.3"/>
    <n v="520"/>
    <n v="1040"/>
    <n v="100"/>
    <n v="558.29999999999995"/>
  </r>
  <r>
    <s v="ORD00072"/>
    <x v="410"/>
    <s v="C0130"/>
    <s v="Consumer"/>
    <s v="Kolkata"/>
    <x v="7"/>
    <x v="1"/>
    <s v="UPI"/>
    <s v="P006"/>
    <x v="8"/>
    <x v="3"/>
    <n v="1"/>
    <n v="2999"/>
    <n v="0.1"/>
    <n v="2699.1"/>
    <n v="1750"/>
    <n v="1750"/>
    <n v="60"/>
    <n v="889.1"/>
  </r>
  <r>
    <s v="ORD00031"/>
    <x v="410"/>
    <s v="C0368"/>
    <s v="Corporate"/>
    <s v="Indore"/>
    <x v="1"/>
    <x v="2"/>
    <s v="Credit Card"/>
    <s v="P005"/>
    <x v="1"/>
    <x v="1"/>
    <n v="1"/>
    <n v="1299"/>
    <n v="0.2"/>
    <n v="1039.2"/>
    <n v="700"/>
    <n v="700"/>
    <n v="100"/>
    <n v="239.2"/>
  </r>
  <r>
    <s v="ORD00545"/>
    <x v="410"/>
    <s v="C0361"/>
    <s v="Small Business"/>
    <s v="Pune"/>
    <x v="3"/>
    <x v="0"/>
    <s v="Debit Card"/>
    <s v="P001"/>
    <x v="0"/>
    <x v="0"/>
    <n v="1"/>
    <n v="799"/>
    <n v="0.2"/>
    <n v="639.20000000000005"/>
    <n v="420"/>
    <n v="420"/>
    <n v="60"/>
    <n v="159.19999999999999"/>
  </r>
  <r>
    <s v="ORD00329"/>
    <x v="411"/>
    <s v="C0225"/>
    <s v="Small Business"/>
    <s v="Pune"/>
    <x v="3"/>
    <x v="0"/>
    <s v="Net Banking"/>
    <s v="P004"/>
    <x v="3"/>
    <x v="1"/>
    <n v="2"/>
    <n v="499"/>
    <n v="0.05"/>
    <n v="948.1"/>
    <n v="180"/>
    <n v="360"/>
    <n v="80"/>
    <n v="508.1"/>
  </r>
  <r>
    <s v="ORD00740"/>
    <x v="411"/>
    <s v="C0233"/>
    <s v="Small Business"/>
    <s v="Delhi"/>
    <x v="5"/>
    <x v="1"/>
    <s v="Cash on Delivery"/>
    <s v="P012"/>
    <x v="6"/>
    <x v="0"/>
    <n v="2"/>
    <n v="2199"/>
    <n v="0.1"/>
    <n v="3958.2"/>
    <n v="1250"/>
    <n v="2500"/>
    <n v="100"/>
    <n v="1358.2"/>
  </r>
  <r>
    <s v="ORD00125"/>
    <x v="412"/>
    <s v="C0122"/>
    <s v="Corporate"/>
    <s v="Pune"/>
    <x v="3"/>
    <x v="0"/>
    <s v="Debit Card"/>
    <s v="P005"/>
    <x v="1"/>
    <x v="1"/>
    <n v="1"/>
    <n v="1299"/>
    <n v="0.1"/>
    <n v="1169.0999999999999"/>
    <n v="700"/>
    <n v="700"/>
    <n v="80"/>
    <n v="389.1"/>
  </r>
  <r>
    <s v="ORD00117"/>
    <x v="412"/>
    <s v="C0241"/>
    <s v="Corporate"/>
    <s v="Pune"/>
    <x v="3"/>
    <x v="1"/>
    <s v="Cash on Delivery"/>
    <s v="P001"/>
    <x v="0"/>
    <x v="0"/>
    <n v="2"/>
    <n v="799"/>
    <n v="0.1"/>
    <n v="1438.2"/>
    <n v="420"/>
    <n v="840"/>
    <n v="40"/>
    <n v="558.20000000000005"/>
  </r>
  <r>
    <s v="ORD00062"/>
    <x v="412"/>
    <s v="C0305"/>
    <s v="Corporate"/>
    <s v="Lucknow"/>
    <x v="8"/>
    <x v="1"/>
    <s v="Cash on Delivery"/>
    <s v="P003"/>
    <x v="10"/>
    <x v="0"/>
    <n v="3"/>
    <n v="1599"/>
    <n v="0.2"/>
    <n v="3837.6"/>
    <n v="900"/>
    <n v="2700"/>
    <n v="100"/>
    <n v="1037.5999999999999"/>
  </r>
  <r>
    <s v="ORD00818"/>
    <x v="413"/>
    <s v="C0117"/>
    <s v="Corporate"/>
    <s v="Hyderabad"/>
    <x v="0"/>
    <x v="1"/>
    <s v="Debit Card"/>
    <s v="P005"/>
    <x v="1"/>
    <x v="1"/>
    <n v="2"/>
    <n v="1299"/>
    <n v="0.05"/>
    <n v="2468.1"/>
    <n v="700"/>
    <n v="1400"/>
    <n v="40"/>
    <n v="1028.0999999999999"/>
  </r>
  <r>
    <s v="ORD00777"/>
    <x v="414"/>
    <s v="C0297"/>
    <s v="Consumer"/>
    <s v="Ahmedabad"/>
    <x v="6"/>
    <x v="2"/>
    <s v="UPI"/>
    <s v="P011"/>
    <x v="7"/>
    <x v="1"/>
    <n v="3"/>
    <n v="6999"/>
    <n v="0.15"/>
    <n v="17847.45"/>
    <n v="4900"/>
    <n v="14700"/>
    <n v="40"/>
    <n v="3107.45"/>
  </r>
  <r>
    <s v="ORD00797"/>
    <x v="414"/>
    <s v="C0310"/>
    <s v="Consumer"/>
    <s v="Hyderabad"/>
    <x v="0"/>
    <x v="0"/>
    <s v="Cash on Delivery"/>
    <s v="P007"/>
    <x v="4"/>
    <x v="3"/>
    <n v="1"/>
    <n v="999"/>
    <n v="0.05"/>
    <n v="949.05"/>
    <n v="520"/>
    <n v="520"/>
    <n v="40"/>
    <n v="389.05"/>
  </r>
  <r>
    <s v="ORD01380"/>
    <x v="414"/>
    <s v="C0439"/>
    <s v="Small Business"/>
    <s v="Lucknow"/>
    <x v="8"/>
    <x v="2"/>
    <s v="Debit Card"/>
    <s v="P005"/>
    <x v="1"/>
    <x v="1"/>
    <n v="1"/>
    <n v="1299"/>
    <n v="0"/>
    <n v="1299"/>
    <n v="700"/>
    <n v="700"/>
    <n v="60"/>
    <n v="539"/>
  </r>
  <r>
    <s v="ORD00146"/>
    <x v="414"/>
    <s v="C0219"/>
    <s v="Small Business"/>
    <s v="Kolkata"/>
    <x v="7"/>
    <x v="2"/>
    <s v="Net Banking"/>
    <s v="P011"/>
    <x v="7"/>
    <x v="1"/>
    <n v="5"/>
    <n v="6999"/>
    <n v="0"/>
    <n v="34995"/>
    <n v="4900"/>
    <n v="24500"/>
    <n v="80"/>
    <n v="10415"/>
  </r>
  <r>
    <s v="ORD00713"/>
    <x v="415"/>
    <s v="C0160"/>
    <s v="Consumer"/>
    <s v="Mumbai"/>
    <x v="3"/>
    <x v="0"/>
    <s v="Cash on Delivery"/>
    <s v="P007"/>
    <x v="4"/>
    <x v="3"/>
    <n v="2"/>
    <n v="999"/>
    <n v="0.15"/>
    <n v="1698.3"/>
    <n v="520"/>
    <n v="1040"/>
    <n v="0"/>
    <n v="658.3"/>
  </r>
  <r>
    <s v="ORD00846"/>
    <x v="416"/>
    <s v="C0179"/>
    <s v="Corporate"/>
    <s v="Jaipur"/>
    <x v="4"/>
    <x v="0"/>
    <s v="Debit Card"/>
    <s v="P002"/>
    <x v="5"/>
    <x v="0"/>
    <n v="1"/>
    <n v="2499"/>
    <n v="0"/>
    <n v="2499"/>
    <n v="1450"/>
    <n v="1450"/>
    <n v="0"/>
    <n v="1049"/>
  </r>
  <r>
    <s v="ORD00048"/>
    <x v="416"/>
    <s v="C0338"/>
    <s v="Consumer"/>
    <s v="Mumbai"/>
    <x v="3"/>
    <x v="1"/>
    <s v="Debit Card"/>
    <s v="P006"/>
    <x v="8"/>
    <x v="3"/>
    <n v="1"/>
    <n v="2999"/>
    <n v="0"/>
    <n v="2999"/>
    <n v="1750"/>
    <n v="1750"/>
    <n v="40"/>
    <n v="1209"/>
  </r>
  <r>
    <s v="ORD00398"/>
    <x v="417"/>
    <s v="C0203"/>
    <s v="Corporate"/>
    <s v="Ahmedabad"/>
    <x v="6"/>
    <x v="2"/>
    <s v="Net Banking"/>
    <s v="P001"/>
    <x v="0"/>
    <x v="0"/>
    <n v="1"/>
    <n v="799"/>
    <n v="0.15"/>
    <n v="679.15"/>
    <n v="420"/>
    <n v="420"/>
    <n v="80"/>
    <n v="179.15"/>
  </r>
  <r>
    <s v="ORD01082"/>
    <x v="417"/>
    <s v="C0225"/>
    <s v="Consumer"/>
    <s v="Ahmedabad"/>
    <x v="6"/>
    <x v="1"/>
    <s v="Debit Card"/>
    <s v="P002"/>
    <x v="5"/>
    <x v="0"/>
    <n v="1"/>
    <n v="2499"/>
    <n v="0.2"/>
    <n v="1999.2"/>
    <n v="1450"/>
    <n v="1450"/>
    <n v="40"/>
    <n v="509.2"/>
  </r>
  <r>
    <s v="ORD01013"/>
    <x v="418"/>
    <s v="C0381"/>
    <s v="Consumer"/>
    <s v="Bengaluru"/>
    <x v="2"/>
    <x v="1"/>
    <s v="Debit Card"/>
    <s v="P006"/>
    <x v="8"/>
    <x v="3"/>
    <n v="4"/>
    <n v="2999"/>
    <n v="0.1"/>
    <n v="10796.4"/>
    <n v="1750"/>
    <n v="7000"/>
    <n v="0"/>
    <n v="3796.4"/>
  </r>
  <r>
    <s v="ORD01154"/>
    <x v="419"/>
    <s v="C0006"/>
    <s v="Consumer"/>
    <s v="Chennai"/>
    <x v="9"/>
    <x v="2"/>
    <s v="UPI"/>
    <s v="P011"/>
    <x v="7"/>
    <x v="1"/>
    <n v="1"/>
    <n v="6999"/>
    <n v="0.2"/>
    <n v="5599.2"/>
    <n v="4900"/>
    <n v="4900"/>
    <n v="80"/>
    <n v="619.20000000000005"/>
  </r>
  <r>
    <s v="ORD00615"/>
    <x v="419"/>
    <s v="C0029"/>
    <s v="Corporate"/>
    <s v="Delhi"/>
    <x v="5"/>
    <x v="1"/>
    <s v="UPI"/>
    <s v="P012"/>
    <x v="6"/>
    <x v="0"/>
    <n v="3"/>
    <n v="2199"/>
    <n v="0.05"/>
    <n v="6267.15"/>
    <n v="1250"/>
    <n v="3750"/>
    <n v="0"/>
    <n v="2517.15"/>
  </r>
  <r>
    <s v="ORD00392"/>
    <x v="419"/>
    <s v="C0156"/>
    <s v="Small Business"/>
    <s v="Indore"/>
    <x v="1"/>
    <x v="0"/>
    <s v="Cash on Delivery"/>
    <s v="P005"/>
    <x v="1"/>
    <x v="1"/>
    <n v="3"/>
    <n v="1299"/>
    <n v="0"/>
    <n v="3897"/>
    <n v="700"/>
    <n v="2100"/>
    <n v="40"/>
    <n v="1757"/>
  </r>
  <r>
    <s v="ORD01030"/>
    <x v="420"/>
    <s v="C0334"/>
    <s v="Small Business"/>
    <s v="Chennai"/>
    <x v="9"/>
    <x v="2"/>
    <s v="Net Banking"/>
    <s v="P007"/>
    <x v="4"/>
    <x v="3"/>
    <n v="3"/>
    <n v="999"/>
    <n v="0.15"/>
    <n v="2547.4499999999998"/>
    <n v="520"/>
    <n v="1560"/>
    <n v="0"/>
    <n v="987.45"/>
  </r>
  <r>
    <s v="ORD01272"/>
    <x v="421"/>
    <s v="C0394"/>
    <s v="Corporate"/>
    <s v="Kolkata"/>
    <x v="7"/>
    <x v="2"/>
    <s v="Net Banking"/>
    <s v="P002"/>
    <x v="5"/>
    <x v="0"/>
    <n v="1"/>
    <n v="2499"/>
    <n v="0.2"/>
    <n v="1999.2"/>
    <n v="1450"/>
    <n v="1450"/>
    <n v="0"/>
    <n v="549.20000000000005"/>
  </r>
  <r>
    <s v="ORD01054"/>
    <x v="421"/>
    <s v="C0222"/>
    <s v="Corporate"/>
    <s v="Jaipur"/>
    <x v="4"/>
    <x v="1"/>
    <s v="Net Banking"/>
    <s v="P009"/>
    <x v="9"/>
    <x v="2"/>
    <n v="2"/>
    <n v="599"/>
    <n v="0.1"/>
    <n v="1078.2"/>
    <n v="240"/>
    <n v="480"/>
    <n v="80"/>
    <n v="518.20000000000005"/>
  </r>
  <r>
    <s v="ORD00744"/>
    <x v="421"/>
    <s v="C0242"/>
    <s v="Small Business"/>
    <s v="Bengaluru"/>
    <x v="2"/>
    <x v="0"/>
    <s v="UPI"/>
    <s v="P009"/>
    <x v="9"/>
    <x v="2"/>
    <n v="1"/>
    <n v="599"/>
    <n v="0.15"/>
    <n v="509.15"/>
    <n v="240"/>
    <n v="240"/>
    <n v="0"/>
    <n v="269.14999999999998"/>
  </r>
  <r>
    <s v="ORD00081"/>
    <x v="421"/>
    <s v="C0437"/>
    <s v="Consumer"/>
    <s v="Chennai"/>
    <x v="9"/>
    <x v="2"/>
    <s v="Debit Card"/>
    <s v="P007"/>
    <x v="4"/>
    <x v="3"/>
    <n v="3"/>
    <n v="999"/>
    <n v="0.15"/>
    <n v="2547.4499999999998"/>
    <n v="520"/>
    <n v="1560"/>
    <n v="60"/>
    <n v="927.45"/>
  </r>
  <r>
    <s v="ORD01423"/>
    <x v="422"/>
    <s v="C0210"/>
    <s v="Consumer"/>
    <s v="Bengaluru"/>
    <x v="2"/>
    <x v="0"/>
    <s v="UPI"/>
    <s v="P001"/>
    <x v="0"/>
    <x v="0"/>
    <n v="5"/>
    <n v="799"/>
    <n v="0.1"/>
    <n v="3595.5"/>
    <n v="420"/>
    <n v="2100"/>
    <n v="100"/>
    <n v="1395.5"/>
  </r>
  <r>
    <s v="ORD00634"/>
    <x v="423"/>
    <s v="C0407"/>
    <s v="Small Business"/>
    <s v="Chennai"/>
    <x v="9"/>
    <x v="2"/>
    <s v="Cash on Delivery"/>
    <s v="P011"/>
    <x v="7"/>
    <x v="1"/>
    <n v="1"/>
    <n v="6999"/>
    <n v="0.15"/>
    <n v="5949.15"/>
    <n v="4900"/>
    <n v="4900"/>
    <n v="80"/>
    <n v="969.15"/>
  </r>
  <r>
    <s v="ORD00746"/>
    <x v="424"/>
    <s v="C0170"/>
    <s v="Corporate"/>
    <s v="Ahmedabad"/>
    <x v="6"/>
    <x v="1"/>
    <s v="Debit Card"/>
    <s v="P008"/>
    <x v="2"/>
    <x v="2"/>
    <n v="2"/>
    <n v="1799"/>
    <n v="0.1"/>
    <n v="3238.2"/>
    <n v="850"/>
    <n v="1700"/>
    <n v="100"/>
    <n v="1438.2"/>
  </r>
  <r>
    <s v="ORD00954"/>
    <x v="424"/>
    <s v="C0351"/>
    <s v="Corporate"/>
    <s v="Bhopal"/>
    <x v="1"/>
    <x v="0"/>
    <s v="Net Banking"/>
    <s v="P006"/>
    <x v="8"/>
    <x v="3"/>
    <n v="2"/>
    <n v="2999"/>
    <n v="0.15"/>
    <n v="5098.3"/>
    <n v="1750"/>
    <n v="3500"/>
    <n v="40"/>
    <n v="1558.3"/>
  </r>
  <r>
    <s v="ORD00801"/>
    <x v="425"/>
    <s v="C0202"/>
    <s v="Corporate"/>
    <s v="Lucknow"/>
    <x v="8"/>
    <x v="0"/>
    <s v="UPI"/>
    <s v="P012"/>
    <x v="6"/>
    <x v="0"/>
    <n v="3"/>
    <n v="2199"/>
    <n v="0"/>
    <n v="6597"/>
    <n v="1250"/>
    <n v="3750"/>
    <n v="80"/>
    <n v="2767"/>
  </r>
  <r>
    <s v="ORD01479"/>
    <x v="426"/>
    <s v="C0288"/>
    <s v="Corporate"/>
    <s v="Kolkata"/>
    <x v="7"/>
    <x v="1"/>
    <s v="Debit Card"/>
    <s v="P007"/>
    <x v="4"/>
    <x v="3"/>
    <n v="1"/>
    <n v="999"/>
    <n v="0"/>
    <n v="999"/>
    <n v="520"/>
    <n v="520"/>
    <n v="40"/>
    <n v="439"/>
  </r>
  <r>
    <s v="ORD00134"/>
    <x v="426"/>
    <s v="C0114"/>
    <s v="Small Business"/>
    <s v="Bhopal"/>
    <x v="1"/>
    <x v="2"/>
    <s v="Net Banking"/>
    <s v="P001"/>
    <x v="0"/>
    <x v="0"/>
    <n v="2"/>
    <n v="799"/>
    <n v="0.15"/>
    <n v="1358.3"/>
    <n v="420"/>
    <n v="840"/>
    <n v="60"/>
    <n v="458.3"/>
  </r>
  <r>
    <s v="ORD00540"/>
    <x v="427"/>
    <s v="C0396"/>
    <s v="Small Business"/>
    <s v="Bengaluru"/>
    <x v="2"/>
    <x v="0"/>
    <s v="Debit Card"/>
    <s v="P011"/>
    <x v="7"/>
    <x v="1"/>
    <n v="3"/>
    <n v="6999"/>
    <n v="0.05"/>
    <n v="19947.150000000001"/>
    <n v="4900"/>
    <n v="14700"/>
    <n v="80"/>
    <n v="5167.1499999999996"/>
  </r>
  <r>
    <s v="ORD00111"/>
    <x v="427"/>
    <s v="C0307"/>
    <s v="Small Business"/>
    <s v="Bengaluru"/>
    <x v="2"/>
    <x v="0"/>
    <s v="Credit Card"/>
    <s v="P004"/>
    <x v="3"/>
    <x v="1"/>
    <n v="2"/>
    <n v="499"/>
    <n v="0"/>
    <n v="998"/>
    <n v="180"/>
    <n v="360"/>
    <n v="80"/>
    <n v="558"/>
  </r>
  <r>
    <s v="ORD01060"/>
    <x v="427"/>
    <s v="C0117"/>
    <s v="Small Business"/>
    <s v="Bengaluru"/>
    <x v="2"/>
    <x v="0"/>
    <s v="Credit Card"/>
    <s v="P011"/>
    <x v="7"/>
    <x v="1"/>
    <n v="2"/>
    <n v="6999"/>
    <n v="0"/>
    <n v="13998"/>
    <n v="4900"/>
    <n v="9800"/>
    <n v="80"/>
    <n v="4118"/>
  </r>
  <r>
    <s v="ORD00618"/>
    <x v="428"/>
    <s v="C0323"/>
    <s v="Small Business"/>
    <s v="Delhi"/>
    <x v="5"/>
    <x v="2"/>
    <s v="Cash on Delivery"/>
    <s v="P007"/>
    <x v="4"/>
    <x v="3"/>
    <n v="2"/>
    <n v="999"/>
    <n v="0.05"/>
    <n v="1898.1"/>
    <n v="520"/>
    <n v="1040"/>
    <n v="60"/>
    <n v="798.1"/>
  </r>
  <r>
    <s v="ORD00204"/>
    <x v="428"/>
    <s v="C0183"/>
    <s v="Consumer"/>
    <s v="Hyderabad"/>
    <x v="0"/>
    <x v="0"/>
    <s v="Debit Card"/>
    <s v="P005"/>
    <x v="1"/>
    <x v="1"/>
    <n v="1"/>
    <n v="1299"/>
    <n v="0.2"/>
    <n v="1039.2"/>
    <n v="700"/>
    <n v="700"/>
    <n v="40"/>
    <n v="299.2"/>
  </r>
  <r>
    <s v="ORD01025"/>
    <x v="428"/>
    <s v="C0407"/>
    <s v="Consumer"/>
    <s v="Lucknow"/>
    <x v="8"/>
    <x v="2"/>
    <s v="Cash on Delivery"/>
    <s v="P004"/>
    <x v="3"/>
    <x v="1"/>
    <n v="4"/>
    <n v="499"/>
    <n v="0"/>
    <n v="1996"/>
    <n v="180"/>
    <n v="720"/>
    <n v="60"/>
    <n v="1216"/>
  </r>
  <r>
    <s v="ORD01347"/>
    <x v="429"/>
    <s v="C0024"/>
    <s v="Consumer"/>
    <s v="Pune"/>
    <x v="3"/>
    <x v="0"/>
    <s v="Debit Card"/>
    <s v="P010"/>
    <x v="11"/>
    <x v="4"/>
    <n v="1"/>
    <n v="299"/>
    <n v="0"/>
    <n v="299"/>
    <n v="110"/>
    <n v="110"/>
    <n v="80"/>
    <n v="109"/>
  </r>
  <r>
    <s v="ORD01061"/>
    <x v="429"/>
    <s v="C0417"/>
    <s v="Corporate"/>
    <s v="Ahmedabad"/>
    <x v="6"/>
    <x v="1"/>
    <s v="UPI"/>
    <s v="P004"/>
    <x v="3"/>
    <x v="1"/>
    <n v="2"/>
    <n v="499"/>
    <n v="0.15"/>
    <n v="848.3"/>
    <n v="180"/>
    <n v="360"/>
    <n v="80"/>
    <n v="408.3"/>
  </r>
  <r>
    <s v="ORD00238"/>
    <x v="429"/>
    <s v="C0168"/>
    <s v="Small Business"/>
    <s v="Delhi"/>
    <x v="5"/>
    <x v="1"/>
    <s v="Credit Card"/>
    <s v="P009"/>
    <x v="9"/>
    <x v="2"/>
    <n v="2"/>
    <n v="599"/>
    <n v="0.15"/>
    <n v="1018.3"/>
    <n v="240"/>
    <n v="480"/>
    <n v="100"/>
    <n v="438.3"/>
  </r>
  <r>
    <s v="ORD01253"/>
    <x v="430"/>
    <s v="C0028"/>
    <s v="Corporate"/>
    <s v="Delhi"/>
    <x v="5"/>
    <x v="0"/>
    <s v="Net Banking"/>
    <s v="P006"/>
    <x v="8"/>
    <x v="3"/>
    <n v="2"/>
    <n v="2999"/>
    <n v="0.1"/>
    <n v="5398.2"/>
    <n v="1750"/>
    <n v="3500"/>
    <n v="80"/>
    <n v="1818.2"/>
  </r>
  <r>
    <s v="ORD00068"/>
    <x v="430"/>
    <s v="C0276"/>
    <s v="Small Business"/>
    <s v="Kolkata"/>
    <x v="7"/>
    <x v="0"/>
    <s v="Cash on Delivery"/>
    <s v="P001"/>
    <x v="0"/>
    <x v="0"/>
    <n v="4"/>
    <n v="799"/>
    <n v="0.05"/>
    <n v="3036.2"/>
    <n v="420"/>
    <n v="1680"/>
    <n v="80"/>
    <n v="1276.2"/>
  </r>
  <r>
    <s v="ORD01246"/>
    <x v="430"/>
    <s v="C0073"/>
    <s v="Consumer"/>
    <s v="Chennai"/>
    <x v="9"/>
    <x v="2"/>
    <s v="UPI"/>
    <s v="P010"/>
    <x v="11"/>
    <x v="4"/>
    <n v="3"/>
    <n v="299"/>
    <n v="0"/>
    <n v="897"/>
    <n v="110"/>
    <n v="330"/>
    <n v="40"/>
    <n v="527"/>
  </r>
  <r>
    <s v="ORD00254"/>
    <x v="430"/>
    <s v="C0331"/>
    <s v="Consumer"/>
    <s v="Hyderabad"/>
    <x v="0"/>
    <x v="2"/>
    <s v="Cash on Delivery"/>
    <s v="P011"/>
    <x v="7"/>
    <x v="1"/>
    <n v="1"/>
    <n v="6999"/>
    <n v="0.05"/>
    <n v="6649.05"/>
    <n v="4900"/>
    <n v="4900"/>
    <n v="60"/>
    <n v="1689.05"/>
  </r>
  <r>
    <s v="ORD01071"/>
    <x v="431"/>
    <s v="C0159"/>
    <s v="Corporate"/>
    <s v="Bengaluru"/>
    <x v="2"/>
    <x v="0"/>
    <s v="Net Banking"/>
    <s v="P012"/>
    <x v="6"/>
    <x v="0"/>
    <n v="1"/>
    <n v="2199"/>
    <n v="0"/>
    <n v="2199"/>
    <n v="1250"/>
    <n v="1250"/>
    <n v="40"/>
    <n v="909"/>
  </r>
  <r>
    <s v="ORD00318"/>
    <x v="432"/>
    <s v="C0377"/>
    <s v="Small Business"/>
    <s v="Hyderabad"/>
    <x v="0"/>
    <x v="0"/>
    <s v="Net Banking"/>
    <s v="P006"/>
    <x v="8"/>
    <x v="3"/>
    <n v="1"/>
    <n v="2999"/>
    <n v="0.1"/>
    <n v="2699.1"/>
    <n v="1750"/>
    <n v="1750"/>
    <n v="60"/>
    <n v="889.1"/>
  </r>
  <r>
    <s v="ORD00219"/>
    <x v="432"/>
    <s v="C0065"/>
    <s v="Corporate"/>
    <s v="Pune"/>
    <x v="3"/>
    <x v="0"/>
    <s v="UPI"/>
    <s v="P009"/>
    <x v="9"/>
    <x v="2"/>
    <n v="1"/>
    <n v="599"/>
    <n v="0.1"/>
    <n v="539.1"/>
    <n v="240"/>
    <n v="240"/>
    <n v="100"/>
    <n v="199.1"/>
  </r>
  <r>
    <s v="ORD00424"/>
    <x v="433"/>
    <s v="C0150"/>
    <s v="Consumer"/>
    <s v="Indore"/>
    <x v="1"/>
    <x v="1"/>
    <s v="UPI"/>
    <s v="P004"/>
    <x v="3"/>
    <x v="1"/>
    <n v="1"/>
    <n v="499"/>
    <n v="0"/>
    <n v="499"/>
    <n v="180"/>
    <n v="180"/>
    <n v="40"/>
    <n v="279"/>
  </r>
  <r>
    <s v="ORD00653"/>
    <x v="434"/>
    <s v="C0288"/>
    <s v="Small Business"/>
    <s v="Bengaluru"/>
    <x v="2"/>
    <x v="0"/>
    <s v="Cash on Delivery"/>
    <s v="P009"/>
    <x v="9"/>
    <x v="2"/>
    <n v="1"/>
    <n v="599"/>
    <n v="0.1"/>
    <n v="539.1"/>
    <n v="240"/>
    <n v="240"/>
    <n v="100"/>
    <n v="199.1"/>
  </r>
  <r>
    <s v="ORD01105"/>
    <x v="434"/>
    <s v="C0086"/>
    <s v="Corporate"/>
    <s v="Kolkata"/>
    <x v="7"/>
    <x v="1"/>
    <s v="Net Banking"/>
    <s v="P002"/>
    <x v="5"/>
    <x v="0"/>
    <n v="4"/>
    <n v="2499"/>
    <n v="0.05"/>
    <n v="9496.2000000000007"/>
    <n v="1450"/>
    <n v="5800"/>
    <n v="80"/>
    <n v="3616.2"/>
  </r>
  <r>
    <s v="ORD00131"/>
    <x v="435"/>
    <s v="C0039"/>
    <s v="Consumer"/>
    <s v="Jaipur"/>
    <x v="4"/>
    <x v="2"/>
    <s v="Net Banking"/>
    <s v="P005"/>
    <x v="1"/>
    <x v="1"/>
    <n v="3"/>
    <n v="1299"/>
    <n v="0.05"/>
    <n v="3702.15"/>
    <n v="700"/>
    <n v="2100"/>
    <n v="0"/>
    <n v="1602.15"/>
  </r>
  <r>
    <s v="ORD00705"/>
    <x v="435"/>
    <s v="C0402"/>
    <s v="Corporate"/>
    <s v="Jaipur"/>
    <x v="4"/>
    <x v="0"/>
    <s v="UPI"/>
    <s v="P003"/>
    <x v="10"/>
    <x v="0"/>
    <n v="2"/>
    <n v="1599"/>
    <n v="0.15"/>
    <n v="2718.3"/>
    <n v="900"/>
    <n v="1800"/>
    <n v="60"/>
    <n v="858.3"/>
  </r>
  <r>
    <s v="ORD01279"/>
    <x v="435"/>
    <s v="C0355"/>
    <s v="Small Business"/>
    <s v="Chennai"/>
    <x v="9"/>
    <x v="1"/>
    <s v="UPI"/>
    <s v="P008"/>
    <x v="2"/>
    <x v="2"/>
    <n v="2"/>
    <n v="1799"/>
    <n v="0"/>
    <n v="3598"/>
    <n v="850"/>
    <n v="1700"/>
    <n v="80"/>
    <n v="1818"/>
  </r>
  <r>
    <s v="ORD01186"/>
    <x v="436"/>
    <s v="C0112"/>
    <s v="Corporate"/>
    <s v="Kolkata"/>
    <x v="7"/>
    <x v="0"/>
    <s v="Cash on Delivery"/>
    <s v="P005"/>
    <x v="1"/>
    <x v="1"/>
    <n v="1"/>
    <n v="1299"/>
    <n v="0"/>
    <n v="1299"/>
    <n v="700"/>
    <n v="700"/>
    <n v="100"/>
    <n v="499"/>
  </r>
  <r>
    <s v="ORD00328"/>
    <x v="436"/>
    <s v="C0073"/>
    <s v="Corporate"/>
    <s v="Ahmedabad"/>
    <x v="6"/>
    <x v="1"/>
    <s v="Debit Card"/>
    <s v="P002"/>
    <x v="5"/>
    <x v="0"/>
    <n v="1"/>
    <n v="2499"/>
    <n v="0"/>
    <n v="2499"/>
    <n v="1450"/>
    <n v="1450"/>
    <n v="0"/>
    <n v="1049"/>
  </r>
  <r>
    <s v="ORD00498"/>
    <x v="436"/>
    <s v="C0375"/>
    <s v="Consumer"/>
    <s v="Delhi"/>
    <x v="5"/>
    <x v="2"/>
    <s v="Net Banking"/>
    <s v="P009"/>
    <x v="9"/>
    <x v="2"/>
    <n v="3"/>
    <n v="599"/>
    <n v="0"/>
    <n v="1797"/>
    <n v="240"/>
    <n v="720"/>
    <n v="100"/>
    <n v="977"/>
  </r>
  <r>
    <s v="ORD01257"/>
    <x v="437"/>
    <s v="C0183"/>
    <s v="Corporate"/>
    <s v="Mumbai"/>
    <x v="3"/>
    <x v="1"/>
    <s v="Cash on Delivery"/>
    <s v="P001"/>
    <x v="0"/>
    <x v="0"/>
    <n v="1"/>
    <n v="799"/>
    <n v="0"/>
    <n v="799"/>
    <n v="420"/>
    <n v="420"/>
    <n v="60"/>
    <n v="319"/>
  </r>
  <r>
    <s v="ORD00355"/>
    <x v="438"/>
    <s v="C0321"/>
    <s v="Corporate"/>
    <s v="Pune"/>
    <x v="3"/>
    <x v="2"/>
    <s v="UPI"/>
    <s v="P006"/>
    <x v="8"/>
    <x v="3"/>
    <n v="4"/>
    <n v="2999"/>
    <n v="0"/>
    <n v="11996"/>
    <n v="1750"/>
    <n v="7000"/>
    <n v="0"/>
    <n v="4996"/>
  </r>
  <r>
    <s v="ORD01372"/>
    <x v="438"/>
    <s v="C0079"/>
    <s v="Small Business"/>
    <s v="Mumbai"/>
    <x v="3"/>
    <x v="2"/>
    <s v="Cash on Delivery"/>
    <s v="P010"/>
    <x v="11"/>
    <x v="4"/>
    <n v="2"/>
    <n v="299"/>
    <n v="0"/>
    <n v="598"/>
    <n v="110"/>
    <n v="220"/>
    <n v="0"/>
    <n v="378"/>
  </r>
  <r>
    <s v="ORD00030"/>
    <x v="439"/>
    <s v="C0195"/>
    <s v="Consumer"/>
    <s v="Delhi"/>
    <x v="5"/>
    <x v="1"/>
    <s v="Debit Card"/>
    <s v="P008"/>
    <x v="2"/>
    <x v="2"/>
    <n v="1"/>
    <n v="1799"/>
    <n v="0.1"/>
    <n v="1619.1"/>
    <n v="850"/>
    <n v="850"/>
    <n v="0"/>
    <n v="769.1"/>
  </r>
  <r>
    <s v="ORD00944"/>
    <x v="440"/>
    <s v="C0345"/>
    <s v="Small Business"/>
    <s v="Ahmedabad"/>
    <x v="6"/>
    <x v="0"/>
    <s v="Net Banking"/>
    <s v="P005"/>
    <x v="1"/>
    <x v="1"/>
    <n v="2"/>
    <n v="1299"/>
    <n v="0.15"/>
    <n v="2208.3000000000002"/>
    <n v="700"/>
    <n v="1400"/>
    <n v="60"/>
    <n v="748.3"/>
  </r>
  <r>
    <s v="ORD01304"/>
    <x v="440"/>
    <s v="C0161"/>
    <s v="Small Business"/>
    <s v="Kolkata"/>
    <x v="7"/>
    <x v="1"/>
    <s v="Credit Card"/>
    <s v="P011"/>
    <x v="7"/>
    <x v="1"/>
    <n v="1"/>
    <n v="6999"/>
    <n v="0.2"/>
    <n v="5599.2"/>
    <n v="4900"/>
    <n v="4900"/>
    <n v="80"/>
    <n v="619.20000000000005"/>
  </r>
  <r>
    <s v="ORD00774"/>
    <x v="440"/>
    <s v="C0019"/>
    <s v="Consumer"/>
    <s v="Delhi"/>
    <x v="5"/>
    <x v="2"/>
    <s v="Cash on Delivery"/>
    <s v="P002"/>
    <x v="5"/>
    <x v="0"/>
    <n v="4"/>
    <n v="2499"/>
    <n v="0.1"/>
    <n v="8996.4"/>
    <n v="1450"/>
    <n v="5800"/>
    <n v="40"/>
    <n v="3156.4"/>
  </r>
  <r>
    <s v="ORD01489"/>
    <x v="440"/>
    <s v="C0005"/>
    <s v="Corporate"/>
    <s v="Kolkata"/>
    <x v="7"/>
    <x v="2"/>
    <s v="Net Banking"/>
    <s v="P003"/>
    <x v="10"/>
    <x v="0"/>
    <n v="3"/>
    <n v="1599"/>
    <n v="0.15"/>
    <n v="4077.45"/>
    <n v="900"/>
    <n v="2700"/>
    <n v="80"/>
    <n v="1297.45"/>
  </r>
  <r>
    <s v="ORD01267"/>
    <x v="441"/>
    <s v="C0439"/>
    <s v="Small Business"/>
    <s v="Kolkata"/>
    <x v="7"/>
    <x v="0"/>
    <s v="Credit Card"/>
    <s v="P001"/>
    <x v="0"/>
    <x v="0"/>
    <n v="1"/>
    <n v="799"/>
    <n v="0.05"/>
    <n v="759.05"/>
    <n v="420"/>
    <n v="420"/>
    <n v="80"/>
    <n v="259.05"/>
  </r>
  <r>
    <s v="ORD00871"/>
    <x v="441"/>
    <s v="C0277"/>
    <s v="Small Business"/>
    <s v="Indore"/>
    <x v="1"/>
    <x v="1"/>
    <s v="Net Banking"/>
    <s v="P002"/>
    <x v="5"/>
    <x v="0"/>
    <n v="2"/>
    <n v="2499"/>
    <n v="0.1"/>
    <n v="4498.2"/>
    <n v="1450"/>
    <n v="2900"/>
    <n v="100"/>
    <n v="1498.2"/>
  </r>
  <r>
    <s v="ORD00293"/>
    <x v="442"/>
    <s v="C0376"/>
    <s v="Corporate"/>
    <s v="Delhi"/>
    <x v="5"/>
    <x v="2"/>
    <s v="Credit Card"/>
    <s v="P012"/>
    <x v="6"/>
    <x v="0"/>
    <n v="2"/>
    <n v="2199"/>
    <n v="0.1"/>
    <n v="3958.2"/>
    <n v="1250"/>
    <n v="2500"/>
    <n v="80"/>
    <n v="1378.2"/>
  </r>
  <r>
    <s v="ORD01153"/>
    <x v="442"/>
    <s v="C0408"/>
    <s v="Small Business"/>
    <s v="Ahmedabad"/>
    <x v="6"/>
    <x v="0"/>
    <s v="UPI"/>
    <s v="P005"/>
    <x v="1"/>
    <x v="1"/>
    <n v="2"/>
    <n v="1299"/>
    <n v="0"/>
    <n v="2598"/>
    <n v="700"/>
    <n v="1400"/>
    <n v="80"/>
    <n v="1118"/>
  </r>
  <r>
    <s v="ORD00342"/>
    <x v="442"/>
    <s v="C0017"/>
    <s v="Corporate"/>
    <s v="Hyderabad"/>
    <x v="0"/>
    <x v="2"/>
    <s v="Cash on Delivery"/>
    <s v="P003"/>
    <x v="10"/>
    <x v="0"/>
    <n v="1"/>
    <n v="1599"/>
    <n v="0"/>
    <n v="1599"/>
    <n v="900"/>
    <n v="900"/>
    <n v="40"/>
    <n v="659"/>
  </r>
  <r>
    <s v="ORD00987"/>
    <x v="442"/>
    <s v="C0214"/>
    <s v="Corporate"/>
    <s v="Mumbai"/>
    <x v="3"/>
    <x v="0"/>
    <s v="Debit Card"/>
    <s v="P001"/>
    <x v="0"/>
    <x v="0"/>
    <n v="1"/>
    <n v="799"/>
    <n v="0.05"/>
    <n v="759.05"/>
    <n v="420"/>
    <n v="420"/>
    <n v="0"/>
    <n v="339.05"/>
  </r>
  <r>
    <s v="ORD00351"/>
    <x v="443"/>
    <s v="C0232"/>
    <s v="Consumer"/>
    <s v="Kolkata"/>
    <x v="7"/>
    <x v="0"/>
    <s v="UPI"/>
    <s v="P003"/>
    <x v="10"/>
    <x v="0"/>
    <n v="2"/>
    <n v="1599"/>
    <n v="0.05"/>
    <n v="3038.1"/>
    <n v="900"/>
    <n v="1800"/>
    <n v="80"/>
    <n v="1158.0999999999999"/>
  </r>
  <r>
    <s v="ORD00423"/>
    <x v="444"/>
    <s v="C0151"/>
    <s v="Small Business"/>
    <s v="Pune"/>
    <x v="3"/>
    <x v="0"/>
    <s v="Cash on Delivery"/>
    <s v="P003"/>
    <x v="10"/>
    <x v="0"/>
    <n v="1"/>
    <n v="1599"/>
    <n v="0"/>
    <n v="1599"/>
    <n v="900"/>
    <n v="900"/>
    <n v="80"/>
    <n v="619"/>
  </r>
  <r>
    <s v="ORD01349"/>
    <x v="444"/>
    <s v="C0250"/>
    <s v="Corporate"/>
    <s v="Indore"/>
    <x v="1"/>
    <x v="1"/>
    <s v="Net Banking"/>
    <s v="P012"/>
    <x v="6"/>
    <x v="0"/>
    <n v="1"/>
    <n v="2199"/>
    <n v="0.15"/>
    <n v="1869.15"/>
    <n v="1250"/>
    <n v="1250"/>
    <n v="60"/>
    <n v="559.15"/>
  </r>
  <r>
    <s v="ORD00308"/>
    <x v="444"/>
    <s v="C0349"/>
    <s v="Small Business"/>
    <s v="Delhi"/>
    <x v="5"/>
    <x v="0"/>
    <s v="Net Banking"/>
    <s v="P004"/>
    <x v="3"/>
    <x v="1"/>
    <n v="1"/>
    <n v="499"/>
    <n v="0.1"/>
    <n v="449.1"/>
    <n v="180"/>
    <n v="180"/>
    <n v="80"/>
    <n v="189.1"/>
  </r>
  <r>
    <s v="ORD00837"/>
    <x v="445"/>
    <s v="C0253"/>
    <s v="Consumer"/>
    <s v="Hyderabad"/>
    <x v="0"/>
    <x v="0"/>
    <s v="Debit Card"/>
    <s v="P012"/>
    <x v="6"/>
    <x v="0"/>
    <n v="2"/>
    <n v="2199"/>
    <n v="0"/>
    <n v="4398"/>
    <n v="1250"/>
    <n v="2500"/>
    <n v="0"/>
    <n v="1898"/>
  </r>
  <r>
    <s v="ORD00438"/>
    <x v="445"/>
    <s v="C0381"/>
    <s v="Corporate"/>
    <s v="Hyderabad"/>
    <x v="0"/>
    <x v="1"/>
    <s v="Debit Card"/>
    <s v="P012"/>
    <x v="6"/>
    <x v="0"/>
    <n v="2"/>
    <n v="2199"/>
    <n v="0"/>
    <n v="4398"/>
    <n v="1250"/>
    <n v="2500"/>
    <n v="40"/>
    <n v="1858"/>
  </r>
  <r>
    <s v="ORD01233"/>
    <x v="445"/>
    <s v="C0183"/>
    <s v="Consumer"/>
    <s v="Hyderabad"/>
    <x v="0"/>
    <x v="0"/>
    <s v="Debit Card"/>
    <s v="P003"/>
    <x v="10"/>
    <x v="0"/>
    <n v="5"/>
    <n v="1599"/>
    <n v="0"/>
    <n v="7995"/>
    <n v="900"/>
    <n v="4500"/>
    <n v="0"/>
    <n v="3495"/>
  </r>
  <r>
    <s v="ORD01189"/>
    <x v="445"/>
    <s v="C0064"/>
    <s v="Corporate"/>
    <s v="Kolkata"/>
    <x v="7"/>
    <x v="2"/>
    <s v="Credit Card"/>
    <s v="P004"/>
    <x v="3"/>
    <x v="1"/>
    <n v="1"/>
    <n v="499"/>
    <n v="0.15"/>
    <n v="424.15"/>
    <n v="180"/>
    <n v="180"/>
    <n v="40"/>
    <n v="204.15"/>
  </r>
  <r>
    <s v="ORD00014"/>
    <x v="446"/>
    <s v="C0082"/>
    <s v="Small Business"/>
    <s v="Indore"/>
    <x v="1"/>
    <x v="1"/>
    <s v="Cash on Delivery"/>
    <s v="P002"/>
    <x v="5"/>
    <x v="0"/>
    <n v="3"/>
    <n v="2499"/>
    <n v="0"/>
    <n v="7497"/>
    <n v="1450"/>
    <n v="4350"/>
    <n v="40"/>
    <n v="3107"/>
  </r>
  <r>
    <s v="ORD00101"/>
    <x v="446"/>
    <s v="C0166"/>
    <s v="Small Business"/>
    <s v="Ahmedabad"/>
    <x v="6"/>
    <x v="1"/>
    <s v="UPI"/>
    <s v="P008"/>
    <x v="2"/>
    <x v="2"/>
    <n v="1"/>
    <n v="1799"/>
    <n v="0"/>
    <n v="1799"/>
    <n v="850"/>
    <n v="850"/>
    <n v="80"/>
    <n v="869"/>
  </r>
  <r>
    <s v="ORD01448"/>
    <x v="446"/>
    <s v="C0261"/>
    <s v="Corporate"/>
    <s v="Bhopal"/>
    <x v="1"/>
    <x v="1"/>
    <s v="Debit Card"/>
    <s v="P006"/>
    <x v="8"/>
    <x v="3"/>
    <n v="1"/>
    <n v="2999"/>
    <n v="0.15"/>
    <n v="2549.15"/>
    <n v="1750"/>
    <n v="1750"/>
    <n v="100"/>
    <n v="699.15"/>
  </r>
  <r>
    <s v="ORD01455"/>
    <x v="446"/>
    <s v="C0343"/>
    <s v="Consumer"/>
    <s v="Ahmedabad"/>
    <x v="6"/>
    <x v="1"/>
    <s v="UPI"/>
    <s v="P005"/>
    <x v="1"/>
    <x v="1"/>
    <n v="1"/>
    <n v="1299"/>
    <n v="0"/>
    <n v="1299"/>
    <n v="700"/>
    <n v="700"/>
    <n v="60"/>
    <n v="539"/>
  </r>
  <r>
    <s v="ORD00233"/>
    <x v="447"/>
    <s v="C0275"/>
    <s v="Consumer"/>
    <s v="Hyderabad"/>
    <x v="0"/>
    <x v="2"/>
    <s v="Net Banking"/>
    <s v="P010"/>
    <x v="11"/>
    <x v="4"/>
    <n v="4"/>
    <n v="299"/>
    <n v="0.2"/>
    <n v="956.8"/>
    <n v="110"/>
    <n v="440"/>
    <n v="80"/>
    <n v="436.8"/>
  </r>
  <r>
    <s v="ORD00487"/>
    <x v="448"/>
    <s v="C0170"/>
    <s v="Corporate"/>
    <s v="Bengaluru"/>
    <x v="2"/>
    <x v="2"/>
    <s v="Cash on Delivery"/>
    <s v="P003"/>
    <x v="10"/>
    <x v="0"/>
    <n v="1"/>
    <n v="1599"/>
    <n v="0.1"/>
    <n v="1439.1"/>
    <n v="900"/>
    <n v="900"/>
    <n v="60"/>
    <n v="479.1"/>
  </r>
  <r>
    <s v="ORD00256"/>
    <x v="448"/>
    <s v="C0153"/>
    <s v="Small Business"/>
    <s v="Mumbai"/>
    <x v="3"/>
    <x v="0"/>
    <s v="UPI"/>
    <s v="P003"/>
    <x v="10"/>
    <x v="0"/>
    <n v="4"/>
    <n v="1599"/>
    <n v="0.05"/>
    <n v="6076.2"/>
    <n v="900"/>
    <n v="3600"/>
    <n v="0"/>
    <n v="2476.1999999999998"/>
  </r>
  <r>
    <s v="ORD01310"/>
    <x v="448"/>
    <s v="C0089"/>
    <s v="Consumer"/>
    <s v="Hyderabad"/>
    <x v="0"/>
    <x v="0"/>
    <s v="Debit Card"/>
    <s v="P007"/>
    <x v="4"/>
    <x v="3"/>
    <n v="2"/>
    <n v="999"/>
    <n v="0.1"/>
    <n v="1798.2"/>
    <n v="520"/>
    <n v="1040"/>
    <n v="40"/>
    <n v="718.2"/>
  </r>
  <r>
    <s v="ORD01371"/>
    <x v="448"/>
    <s v="C0322"/>
    <s v="Corporate"/>
    <s v="Hyderabad"/>
    <x v="0"/>
    <x v="0"/>
    <s v="UPI"/>
    <s v="P003"/>
    <x v="10"/>
    <x v="0"/>
    <n v="1"/>
    <n v="1599"/>
    <n v="0.2"/>
    <n v="1279.2"/>
    <n v="900"/>
    <n v="900"/>
    <n v="40"/>
    <n v="339.2"/>
  </r>
  <r>
    <s v="ORD01343"/>
    <x v="448"/>
    <s v="C0148"/>
    <s v="Small Business"/>
    <s v="Indore"/>
    <x v="1"/>
    <x v="0"/>
    <s v="Debit Card"/>
    <s v="P004"/>
    <x v="3"/>
    <x v="1"/>
    <n v="1"/>
    <n v="499"/>
    <n v="0"/>
    <n v="499"/>
    <n v="180"/>
    <n v="180"/>
    <n v="60"/>
    <n v="259"/>
  </r>
  <r>
    <s v="ORD00950"/>
    <x v="448"/>
    <s v="C0019"/>
    <s v="Corporate"/>
    <s v="Hyderabad"/>
    <x v="0"/>
    <x v="1"/>
    <s v="Net Banking"/>
    <s v="P012"/>
    <x v="6"/>
    <x v="0"/>
    <n v="2"/>
    <n v="2199"/>
    <n v="0.2"/>
    <n v="3518.4"/>
    <n v="1250"/>
    <n v="2500"/>
    <n v="100"/>
    <n v="918.4"/>
  </r>
  <r>
    <s v="ORD00206"/>
    <x v="449"/>
    <s v="C0373"/>
    <s v="Corporate"/>
    <s v="Pune"/>
    <x v="3"/>
    <x v="2"/>
    <s v="Net Banking"/>
    <s v="P012"/>
    <x v="6"/>
    <x v="0"/>
    <n v="2"/>
    <n v="2199"/>
    <n v="0.15"/>
    <n v="3738.3"/>
    <n v="1250"/>
    <n v="2500"/>
    <n v="60"/>
    <n v="1178.3"/>
  </r>
  <r>
    <s v="ORD01392"/>
    <x v="449"/>
    <s v="C0181"/>
    <s v="Corporate"/>
    <s v="Lucknow"/>
    <x v="8"/>
    <x v="0"/>
    <s v="Cash on Delivery"/>
    <s v="P004"/>
    <x v="3"/>
    <x v="1"/>
    <n v="3"/>
    <n v="499"/>
    <n v="0.15"/>
    <n v="1272.45"/>
    <n v="180"/>
    <n v="540"/>
    <n v="80"/>
    <n v="652.45000000000005"/>
  </r>
  <r>
    <s v="ORD01460"/>
    <x v="449"/>
    <s v="C0439"/>
    <s v="Small Business"/>
    <s v="Lucknow"/>
    <x v="8"/>
    <x v="0"/>
    <s v="Credit Card"/>
    <s v="P005"/>
    <x v="1"/>
    <x v="1"/>
    <n v="1"/>
    <n v="1299"/>
    <n v="0.2"/>
    <n v="1039.2"/>
    <n v="700"/>
    <n v="700"/>
    <n v="0"/>
    <n v="339.2"/>
  </r>
  <r>
    <s v="ORD00689"/>
    <x v="450"/>
    <s v="C0122"/>
    <s v="Consumer"/>
    <s v="Jaipur"/>
    <x v="4"/>
    <x v="0"/>
    <s v="Net Banking"/>
    <s v="P008"/>
    <x v="2"/>
    <x v="2"/>
    <n v="2"/>
    <n v="1799"/>
    <n v="0"/>
    <n v="3598"/>
    <n v="850"/>
    <n v="1700"/>
    <n v="100"/>
    <n v="1798"/>
  </r>
  <r>
    <s v="ORD01181"/>
    <x v="450"/>
    <s v="C0064"/>
    <s v="Corporate"/>
    <s v="Ahmedabad"/>
    <x v="6"/>
    <x v="2"/>
    <s v="Cash on Delivery"/>
    <s v="P009"/>
    <x v="9"/>
    <x v="2"/>
    <n v="2"/>
    <n v="599"/>
    <n v="0.2"/>
    <n v="958.4"/>
    <n v="240"/>
    <n v="480"/>
    <n v="100"/>
    <n v="378.4"/>
  </r>
  <r>
    <s v="ORD00926"/>
    <x v="451"/>
    <s v="C0349"/>
    <s v="Small Business"/>
    <s v="Hyderabad"/>
    <x v="0"/>
    <x v="2"/>
    <s v="Net Banking"/>
    <s v="P011"/>
    <x v="7"/>
    <x v="1"/>
    <n v="1"/>
    <n v="6999"/>
    <n v="0.05"/>
    <n v="6649.05"/>
    <n v="4900"/>
    <n v="4900"/>
    <n v="0"/>
    <n v="1749.05"/>
  </r>
  <r>
    <s v="ORD00823"/>
    <x v="452"/>
    <s v="C0379"/>
    <s v="Small Business"/>
    <s v="Mumbai"/>
    <x v="3"/>
    <x v="0"/>
    <s v="Debit Card"/>
    <s v="P003"/>
    <x v="10"/>
    <x v="0"/>
    <n v="4"/>
    <n v="1599"/>
    <n v="0.05"/>
    <n v="6076.2"/>
    <n v="900"/>
    <n v="3600"/>
    <n v="40"/>
    <n v="2436.1999999999998"/>
  </r>
  <r>
    <s v="ORD00165"/>
    <x v="453"/>
    <s v="C0442"/>
    <s v="Small Business"/>
    <s v="Kolkata"/>
    <x v="7"/>
    <x v="2"/>
    <s v="Net Banking"/>
    <s v="P009"/>
    <x v="9"/>
    <x v="2"/>
    <n v="3"/>
    <n v="599"/>
    <n v="0.05"/>
    <n v="1707.15"/>
    <n v="240"/>
    <n v="720"/>
    <n v="0"/>
    <n v="987.15"/>
  </r>
  <r>
    <s v="ORD00675"/>
    <x v="454"/>
    <s v="C0437"/>
    <s v="Corporate"/>
    <s v="Delhi"/>
    <x v="5"/>
    <x v="1"/>
    <s v="Net Banking"/>
    <s v="P010"/>
    <x v="11"/>
    <x v="4"/>
    <n v="2"/>
    <n v="299"/>
    <n v="0.2"/>
    <n v="478.4"/>
    <n v="110"/>
    <n v="220"/>
    <n v="60"/>
    <n v="198.4"/>
  </r>
  <r>
    <s v="ORD00298"/>
    <x v="454"/>
    <s v="C0269"/>
    <s v="Consumer"/>
    <s v="Pune"/>
    <x v="3"/>
    <x v="2"/>
    <s v="Credit Card"/>
    <s v="P012"/>
    <x v="6"/>
    <x v="0"/>
    <n v="2"/>
    <n v="2199"/>
    <n v="0"/>
    <n v="4398"/>
    <n v="1250"/>
    <n v="2500"/>
    <n v="0"/>
    <n v="1898"/>
  </r>
  <r>
    <s v="ORD00879"/>
    <x v="454"/>
    <s v="C0224"/>
    <s v="Consumer"/>
    <s v="Chennai"/>
    <x v="9"/>
    <x v="1"/>
    <s v="UPI"/>
    <s v="P011"/>
    <x v="7"/>
    <x v="1"/>
    <n v="1"/>
    <n v="6999"/>
    <n v="0.15"/>
    <n v="5949.15"/>
    <n v="4900"/>
    <n v="4900"/>
    <n v="60"/>
    <n v="989.15"/>
  </r>
  <r>
    <s v="ORD00403"/>
    <x v="454"/>
    <s v="C0306"/>
    <s v="Consumer"/>
    <s v="Chennai"/>
    <x v="9"/>
    <x v="2"/>
    <s v="Debit Card"/>
    <s v="P006"/>
    <x v="8"/>
    <x v="3"/>
    <n v="1"/>
    <n v="2999"/>
    <n v="0"/>
    <n v="2999"/>
    <n v="1750"/>
    <n v="1750"/>
    <n v="0"/>
    <n v="1249"/>
  </r>
  <r>
    <s v="ORD00918"/>
    <x v="455"/>
    <s v="C0163"/>
    <s v="Small Business"/>
    <s v="Pune"/>
    <x v="3"/>
    <x v="0"/>
    <s v="Net Banking"/>
    <s v="P008"/>
    <x v="2"/>
    <x v="2"/>
    <n v="4"/>
    <n v="1799"/>
    <n v="0.1"/>
    <n v="6476.4"/>
    <n v="850"/>
    <n v="3400"/>
    <n v="40"/>
    <n v="3036.4"/>
  </r>
  <r>
    <s v="ORD01434"/>
    <x v="455"/>
    <s v="C0376"/>
    <s v="Consumer"/>
    <s v="Lucknow"/>
    <x v="8"/>
    <x v="0"/>
    <s v="UPI"/>
    <s v="P010"/>
    <x v="11"/>
    <x v="4"/>
    <n v="2"/>
    <n v="299"/>
    <n v="0.2"/>
    <n v="478.4"/>
    <n v="110"/>
    <n v="220"/>
    <n v="80"/>
    <n v="178.4"/>
  </r>
  <r>
    <s v="ORD01365"/>
    <x v="455"/>
    <s v="C0239"/>
    <s v="Corporate"/>
    <s v="Kolkata"/>
    <x v="7"/>
    <x v="1"/>
    <s v="Net Banking"/>
    <s v="P011"/>
    <x v="7"/>
    <x v="1"/>
    <n v="2"/>
    <n v="6999"/>
    <n v="0.1"/>
    <n v="12598.2"/>
    <n v="4900"/>
    <n v="9800"/>
    <n v="60"/>
    <n v="2738.2"/>
  </r>
  <r>
    <s v="ORD00063"/>
    <x v="456"/>
    <s v="C0381"/>
    <s v="Corporate"/>
    <s v="Delhi"/>
    <x v="5"/>
    <x v="1"/>
    <s v="Debit Card"/>
    <s v="P007"/>
    <x v="4"/>
    <x v="3"/>
    <n v="3"/>
    <n v="999"/>
    <n v="0.15"/>
    <n v="2547.4499999999998"/>
    <n v="520"/>
    <n v="1560"/>
    <n v="80"/>
    <n v="907.45"/>
  </r>
  <r>
    <s v="ORD00497"/>
    <x v="456"/>
    <s v="C0025"/>
    <s v="Small Business"/>
    <s v="Ahmedabad"/>
    <x v="6"/>
    <x v="1"/>
    <s v="Cash on Delivery"/>
    <s v="P003"/>
    <x v="10"/>
    <x v="0"/>
    <n v="5"/>
    <n v="1599"/>
    <n v="0"/>
    <n v="7995"/>
    <n v="900"/>
    <n v="4500"/>
    <n v="100"/>
    <n v="3395"/>
  </r>
  <r>
    <s v="ORD00989"/>
    <x v="456"/>
    <s v="C0444"/>
    <s v="Small Business"/>
    <s v="Delhi"/>
    <x v="5"/>
    <x v="1"/>
    <s v="UPI"/>
    <s v="P011"/>
    <x v="7"/>
    <x v="1"/>
    <n v="2"/>
    <n v="6999"/>
    <n v="0.1"/>
    <n v="12598.2"/>
    <n v="4900"/>
    <n v="9800"/>
    <n v="80"/>
    <n v="2718.2"/>
  </r>
  <r>
    <s v="ORD01008"/>
    <x v="456"/>
    <s v="C0232"/>
    <s v="Corporate"/>
    <s v="Ahmedabad"/>
    <x v="6"/>
    <x v="2"/>
    <s v="Debit Card"/>
    <s v="P006"/>
    <x v="8"/>
    <x v="3"/>
    <n v="4"/>
    <n v="2999"/>
    <n v="0.05"/>
    <n v="11396.2"/>
    <n v="1750"/>
    <n v="7000"/>
    <n v="60"/>
    <n v="4336.2"/>
  </r>
  <r>
    <s v="ORD01106"/>
    <x v="457"/>
    <s v="C0391"/>
    <s v="Corporate"/>
    <s v="Mumbai"/>
    <x v="3"/>
    <x v="1"/>
    <s v="UPI"/>
    <s v="P010"/>
    <x v="11"/>
    <x v="4"/>
    <n v="3"/>
    <n v="299"/>
    <n v="0"/>
    <n v="897"/>
    <n v="110"/>
    <n v="330"/>
    <n v="80"/>
    <n v="487"/>
  </r>
  <r>
    <s v="ORD00149"/>
    <x v="457"/>
    <s v="C0334"/>
    <s v="Small Business"/>
    <s v="Indore"/>
    <x v="1"/>
    <x v="0"/>
    <s v="Credit Card"/>
    <s v="P010"/>
    <x v="11"/>
    <x v="4"/>
    <n v="2"/>
    <n v="299"/>
    <n v="0.2"/>
    <n v="478.4"/>
    <n v="110"/>
    <n v="220"/>
    <n v="0"/>
    <n v="258.39999999999998"/>
  </r>
  <r>
    <s v="ORD00975"/>
    <x v="457"/>
    <s v="C0260"/>
    <s v="Corporate"/>
    <s v="Indore"/>
    <x v="1"/>
    <x v="2"/>
    <s v="UPI"/>
    <s v="P002"/>
    <x v="5"/>
    <x v="0"/>
    <n v="3"/>
    <n v="2499"/>
    <n v="0.05"/>
    <n v="7122.15"/>
    <n v="1450"/>
    <n v="4350"/>
    <n v="60"/>
    <n v="2712.15"/>
  </r>
  <r>
    <s v="ORD00296"/>
    <x v="457"/>
    <s v="C0338"/>
    <s v="Corporate"/>
    <s v="Jaipur"/>
    <x v="4"/>
    <x v="2"/>
    <s v="UPI"/>
    <s v="P008"/>
    <x v="2"/>
    <x v="2"/>
    <n v="1"/>
    <n v="1799"/>
    <n v="0.15"/>
    <n v="1529.15"/>
    <n v="850"/>
    <n v="850"/>
    <n v="100"/>
    <n v="579.15"/>
  </r>
  <r>
    <s v="ORD00965"/>
    <x v="457"/>
    <s v="C0323"/>
    <s v="Small Business"/>
    <s v="Chennai"/>
    <x v="9"/>
    <x v="2"/>
    <s v="Credit Card"/>
    <s v="P003"/>
    <x v="10"/>
    <x v="0"/>
    <n v="1"/>
    <n v="1599"/>
    <n v="0.05"/>
    <n v="1519.05"/>
    <n v="900"/>
    <n v="900"/>
    <n v="80"/>
    <n v="539.04999999999995"/>
  </r>
  <r>
    <s v="ORD01401"/>
    <x v="458"/>
    <s v="C0401"/>
    <s v="Consumer"/>
    <s v="Hyderabad"/>
    <x v="0"/>
    <x v="2"/>
    <s v="UPI"/>
    <s v="P004"/>
    <x v="3"/>
    <x v="1"/>
    <n v="2"/>
    <n v="499"/>
    <n v="0.1"/>
    <n v="898.2"/>
    <n v="180"/>
    <n v="360"/>
    <n v="80"/>
    <n v="458.2"/>
  </r>
  <r>
    <s v="ORD00054"/>
    <x v="458"/>
    <s v="C0152"/>
    <s v="Small Business"/>
    <s v="Ahmedabad"/>
    <x v="6"/>
    <x v="2"/>
    <s v="Credit Card"/>
    <s v="P005"/>
    <x v="1"/>
    <x v="1"/>
    <n v="2"/>
    <n v="1299"/>
    <n v="0.05"/>
    <n v="2468.1"/>
    <n v="700"/>
    <n v="1400"/>
    <n v="80"/>
    <n v="988.1"/>
  </r>
  <r>
    <s v="ORD01036"/>
    <x v="458"/>
    <s v="C0103"/>
    <s v="Small Business"/>
    <s v="Bengaluru"/>
    <x v="2"/>
    <x v="2"/>
    <s v="UPI"/>
    <s v="P009"/>
    <x v="9"/>
    <x v="2"/>
    <n v="3"/>
    <n v="599"/>
    <n v="0.1"/>
    <n v="1617.3"/>
    <n v="240"/>
    <n v="720"/>
    <n v="60"/>
    <n v="837.3"/>
  </r>
  <r>
    <s v="ORD01006"/>
    <x v="459"/>
    <s v="C0036"/>
    <s v="Corporate"/>
    <s v="Bhopal"/>
    <x v="1"/>
    <x v="2"/>
    <s v="Net Banking"/>
    <s v="P005"/>
    <x v="1"/>
    <x v="1"/>
    <n v="1"/>
    <n v="1299"/>
    <n v="0.2"/>
    <n v="1039.2"/>
    <n v="700"/>
    <n v="700"/>
    <n v="100"/>
    <n v="239.2"/>
  </r>
  <r>
    <s v="ORD00829"/>
    <x v="460"/>
    <s v="C0367"/>
    <s v="Corporate"/>
    <s v="Delhi"/>
    <x v="5"/>
    <x v="1"/>
    <s v="Net Banking"/>
    <s v="P001"/>
    <x v="0"/>
    <x v="0"/>
    <n v="4"/>
    <n v="799"/>
    <n v="0.05"/>
    <n v="3036.2"/>
    <n v="420"/>
    <n v="1680"/>
    <n v="80"/>
    <n v="1276.2"/>
  </r>
  <r>
    <s v="ORD01478"/>
    <x v="461"/>
    <s v="C0052"/>
    <s v="Corporate"/>
    <s v="Bengaluru"/>
    <x v="2"/>
    <x v="0"/>
    <s v="Cash on Delivery"/>
    <s v="P012"/>
    <x v="6"/>
    <x v="0"/>
    <n v="1"/>
    <n v="2199"/>
    <n v="0.05"/>
    <n v="2089.0500000000002"/>
    <n v="1250"/>
    <n v="1250"/>
    <n v="80"/>
    <n v="759.05"/>
  </r>
  <r>
    <s v="ORD01367"/>
    <x v="461"/>
    <s v="C0028"/>
    <s v="Corporate"/>
    <s v="Hyderabad"/>
    <x v="0"/>
    <x v="2"/>
    <s v="Net Banking"/>
    <s v="P006"/>
    <x v="8"/>
    <x v="3"/>
    <n v="1"/>
    <n v="2999"/>
    <n v="0.15"/>
    <n v="2549.15"/>
    <n v="1750"/>
    <n v="1750"/>
    <n v="100"/>
    <n v="699.15"/>
  </r>
  <r>
    <s v="ORD00951"/>
    <x v="462"/>
    <s v="C0366"/>
    <s v="Consumer"/>
    <s v="Bengaluru"/>
    <x v="2"/>
    <x v="0"/>
    <s v="UPI"/>
    <s v="P010"/>
    <x v="11"/>
    <x v="4"/>
    <n v="2"/>
    <n v="299"/>
    <n v="0.2"/>
    <n v="478.4"/>
    <n v="110"/>
    <n v="220"/>
    <n v="80"/>
    <n v="178.4"/>
  </r>
  <r>
    <s v="ORD00394"/>
    <x v="462"/>
    <s v="C0208"/>
    <s v="Corporate"/>
    <s v="Mumbai"/>
    <x v="3"/>
    <x v="0"/>
    <s v="Cash on Delivery"/>
    <s v="P001"/>
    <x v="0"/>
    <x v="0"/>
    <n v="2"/>
    <n v="799"/>
    <n v="0.05"/>
    <n v="1518.1"/>
    <n v="420"/>
    <n v="840"/>
    <n v="40"/>
    <n v="638.1"/>
  </r>
  <r>
    <s v="ORD00935"/>
    <x v="462"/>
    <s v="C0352"/>
    <s v="Small Business"/>
    <s v="Indore"/>
    <x v="1"/>
    <x v="2"/>
    <s v="Net Banking"/>
    <s v="P006"/>
    <x v="8"/>
    <x v="3"/>
    <n v="5"/>
    <n v="2999"/>
    <n v="0.2"/>
    <n v="11996"/>
    <n v="1750"/>
    <n v="8750"/>
    <n v="40"/>
    <n v="3206"/>
  </r>
  <r>
    <s v="ORD00877"/>
    <x v="463"/>
    <s v="C0012"/>
    <s v="Corporate"/>
    <s v="Bhopal"/>
    <x v="1"/>
    <x v="1"/>
    <s v="Cash on Delivery"/>
    <s v="P007"/>
    <x v="4"/>
    <x v="3"/>
    <n v="1"/>
    <n v="999"/>
    <n v="0.2"/>
    <n v="799.2"/>
    <n v="520"/>
    <n v="520"/>
    <n v="80"/>
    <n v="199.2"/>
  </r>
  <r>
    <s v="ORD00979"/>
    <x v="464"/>
    <s v="C0076"/>
    <s v="Small Business"/>
    <s v="Pune"/>
    <x v="3"/>
    <x v="1"/>
    <s v="Net Banking"/>
    <s v="P010"/>
    <x v="11"/>
    <x v="4"/>
    <n v="1"/>
    <n v="299"/>
    <n v="0.05"/>
    <n v="284.05"/>
    <n v="110"/>
    <n v="110"/>
    <n v="80"/>
    <n v="94.05"/>
  </r>
  <r>
    <s v="ORD00440"/>
    <x v="464"/>
    <s v="C0160"/>
    <s v="Small Business"/>
    <s v="Pune"/>
    <x v="3"/>
    <x v="0"/>
    <s v="Net Banking"/>
    <s v="P006"/>
    <x v="8"/>
    <x v="3"/>
    <n v="3"/>
    <n v="2999"/>
    <n v="0.15"/>
    <n v="7647.45"/>
    <n v="1750"/>
    <n v="5250"/>
    <n v="40"/>
    <n v="2357.4499999999998"/>
  </r>
  <r>
    <s v="ORD00571"/>
    <x v="464"/>
    <s v="C0123"/>
    <s v="Small Business"/>
    <s v="Chennai"/>
    <x v="9"/>
    <x v="2"/>
    <s v="Credit Card"/>
    <s v="P012"/>
    <x v="6"/>
    <x v="0"/>
    <n v="1"/>
    <n v="2199"/>
    <n v="0"/>
    <n v="2199"/>
    <n v="1250"/>
    <n v="1250"/>
    <n v="0"/>
    <n v="949"/>
  </r>
  <r>
    <s v="ORD00547"/>
    <x v="465"/>
    <s v="C0181"/>
    <s v="Corporate"/>
    <s v="Kolkata"/>
    <x v="7"/>
    <x v="1"/>
    <s v="Net Banking"/>
    <s v="P005"/>
    <x v="1"/>
    <x v="1"/>
    <n v="1"/>
    <n v="1299"/>
    <n v="0"/>
    <n v="1299"/>
    <n v="700"/>
    <n v="700"/>
    <n v="100"/>
    <n v="499"/>
  </r>
  <r>
    <s v="ORD01031"/>
    <x v="465"/>
    <s v="C0305"/>
    <s v="Small Business"/>
    <s v="Mumbai"/>
    <x v="3"/>
    <x v="2"/>
    <s v="Cash on Delivery"/>
    <s v="P006"/>
    <x v="8"/>
    <x v="3"/>
    <n v="2"/>
    <n v="2999"/>
    <n v="0"/>
    <n v="5998"/>
    <n v="1750"/>
    <n v="3500"/>
    <n v="0"/>
    <n v="2498"/>
  </r>
  <r>
    <s v="ORD01419"/>
    <x v="466"/>
    <s v="C0122"/>
    <s v="Consumer"/>
    <s v="Ahmedabad"/>
    <x v="6"/>
    <x v="2"/>
    <s v="Debit Card"/>
    <s v="P005"/>
    <x v="1"/>
    <x v="1"/>
    <n v="1"/>
    <n v="1299"/>
    <n v="0.1"/>
    <n v="1169.0999999999999"/>
    <n v="700"/>
    <n v="700"/>
    <n v="80"/>
    <n v="389.1"/>
  </r>
  <r>
    <s v="ORD01472"/>
    <x v="466"/>
    <s v="C0203"/>
    <s v="Small Business"/>
    <s v="Lucknow"/>
    <x v="8"/>
    <x v="2"/>
    <s v="Debit Card"/>
    <s v="P004"/>
    <x v="3"/>
    <x v="1"/>
    <n v="1"/>
    <n v="499"/>
    <n v="0"/>
    <n v="499"/>
    <n v="180"/>
    <n v="180"/>
    <n v="40"/>
    <n v="279"/>
  </r>
  <r>
    <s v="ORD01454"/>
    <x v="467"/>
    <s v="C0362"/>
    <s v="Consumer"/>
    <s v="Ahmedabad"/>
    <x v="6"/>
    <x v="1"/>
    <s v="Net Banking"/>
    <s v="P003"/>
    <x v="10"/>
    <x v="0"/>
    <n v="3"/>
    <n v="1599"/>
    <n v="0.05"/>
    <n v="4557.1499999999996"/>
    <n v="900"/>
    <n v="2700"/>
    <n v="0"/>
    <n v="1857.15"/>
  </r>
  <r>
    <s v="ORD00599"/>
    <x v="467"/>
    <s v="C0373"/>
    <s v="Consumer"/>
    <s v="Delhi"/>
    <x v="5"/>
    <x v="0"/>
    <s v="Debit Card"/>
    <s v="P008"/>
    <x v="2"/>
    <x v="2"/>
    <n v="1"/>
    <n v="1799"/>
    <n v="0"/>
    <n v="1799"/>
    <n v="850"/>
    <n v="850"/>
    <n v="0"/>
    <n v="949"/>
  </r>
  <r>
    <s v="ORD00668"/>
    <x v="467"/>
    <s v="C0124"/>
    <s v="Small Business"/>
    <s v="Kolkata"/>
    <x v="7"/>
    <x v="2"/>
    <s v="Net Banking"/>
    <s v="P011"/>
    <x v="7"/>
    <x v="1"/>
    <n v="2"/>
    <n v="6999"/>
    <n v="0.2"/>
    <n v="11198.4"/>
    <n v="4900"/>
    <n v="9800"/>
    <n v="40"/>
    <n v="1358.4"/>
  </r>
  <r>
    <s v="ORD00619"/>
    <x v="467"/>
    <s v="C0185"/>
    <s v="Consumer"/>
    <s v="Bengaluru"/>
    <x v="2"/>
    <x v="0"/>
    <s v="Credit Card"/>
    <s v="P002"/>
    <x v="5"/>
    <x v="0"/>
    <n v="1"/>
    <n v="2499"/>
    <n v="0.2"/>
    <n v="1999.2"/>
    <n v="1450"/>
    <n v="1450"/>
    <n v="60"/>
    <n v="489.2"/>
  </r>
  <r>
    <s v="ORD01099"/>
    <x v="467"/>
    <s v="C0434"/>
    <s v="Small Business"/>
    <s v="Bengaluru"/>
    <x v="2"/>
    <x v="1"/>
    <s v="Debit Card"/>
    <s v="P007"/>
    <x v="4"/>
    <x v="3"/>
    <n v="2"/>
    <n v="999"/>
    <n v="0.05"/>
    <n v="1898.1"/>
    <n v="520"/>
    <n v="1040"/>
    <n v="0"/>
    <n v="858.1"/>
  </r>
  <r>
    <s v="ORD01282"/>
    <x v="467"/>
    <s v="C0231"/>
    <s v="Small Business"/>
    <s v="Indore"/>
    <x v="1"/>
    <x v="0"/>
    <s v="UPI"/>
    <s v="P012"/>
    <x v="6"/>
    <x v="0"/>
    <n v="1"/>
    <n v="2199"/>
    <n v="0.1"/>
    <n v="1979.1"/>
    <n v="1250"/>
    <n v="1250"/>
    <n v="40"/>
    <n v="689.1"/>
  </r>
  <r>
    <s v="ORD00706"/>
    <x v="467"/>
    <s v="C0275"/>
    <s v="Consumer"/>
    <s v="Lucknow"/>
    <x v="8"/>
    <x v="2"/>
    <s v="Cash on Delivery"/>
    <s v="P005"/>
    <x v="1"/>
    <x v="1"/>
    <n v="2"/>
    <n v="1299"/>
    <n v="0.2"/>
    <n v="2078.4"/>
    <n v="700"/>
    <n v="1400"/>
    <n v="60"/>
    <n v="618.4"/>
  </r>
  <r>
    <s v="ORD00494"/>
    <x v="468"/>
    <s v="C0072"/>
    <s v="Small Business"/>
    <s v="Jaipur"/>
    <x v="4"/>
    <x v="0"/>
    <s v="Net Banking"/>
    <s v="P006"/>
    <x v="8"/>
    <x v="3"/>
    <n v="2"/>
    <n v="2999"/>
    <n v="0"/>
    <n v="5998"/>
    <n v="1750"/>
    <n v="3500"/>
    <n v="40"/>
    <n v="2458"/>
  </r>
  <r>
    <s v="ORD00993"/>
    <x v="468"/>
    <s v="C0338"/>
    <s v="Small Business"/>
    <s v="Pune"/>
    <x v="3"/>
    <x v="2"/>
    <s v="UPI"/>
    <s v="P004"/>
    <x v="3"/>
    <x v="1"/>
    <n v="3"/>
    <n v="499"/>
    <n v="0.15"/>
    <n v="1272.45"/>
    <n v="180"/>
    <n v="540"/>
    <n v="0"/>
    <n v="732.45"/>
  </r>
  <r>
    <s v="ORD00178"/>
    <x v="469"/>
    <s v="C0199"/>
    <s v="Corporate"/>
    <s v="Hyderabad"/>
    <x v="0"/>
    <x v="1"/>
    <s v="Cash on Delivery"/>
    <s v="P009"/>
    <x v="9"/>
    <x v="2"/>
    <n v="2"/>
    <n v="599"/>
    <n v="0.05"/>
    <n v="1138.0999999999999"/>
    <n v="240"/>
    <n v="480"/>
    <n v="60"/>
    <n v="598.1"/>
  </r>
  <r>
    <s v="ORD00466"/>
    <x v="469"/>
    <s v="C0251"/>
    <s v="Corporate"/>
    <s v="Chennai"/>
    <x v="9"/>
    <x v="2"/>
    <s v="Credit Card"/>
    <s v="P006"/>
    <x v="8"/>
    <x v="3"/>
    <n v="2"/>
    <n v="2999"/>
    <n v="0.2"/>
    <n v="4798.3999999999996"/>
    <n v="1750"/>
    <n v="3500"/>
    <n v="40"/>
    <n v="1258.4000000000001"/>
  </r>
  <r>
    <s v="ORD01119"/>
    <x v="470"/>
    <s v="C0091"/>
    <s v="Corporate"/>
    <s v="Delhi"/>
    <x v="5"/>
    <x v="2"/>
    <s v="Credit Card"/>
    <s v="P007"/>
    <x v="4"/>
    <x v="3"/>
    <n v="2"/>
    <n v="999"/>
    <n v="0.2"/>
    <n v="1598.4"/>
    <n v="520"/>
    <n v="1040"/>
    <n v="80"/>
    <n v="478.4"/>
  </r>
  <r>
    <s v="ORD00282"/>
    <x v="470"/>
    <s v="C0193"/>
    <s v="Consumer"/>
    <s v="Hyderabad"/>
    <x v="0"/>
    <x v="0"/>
    <s v="Net Banking"/>
    <s v="P006"/>
    <x v="8"/>
    <x v="3"/>
    <n v="2"/>
    <n v="2999"/>
    <n v="0.1"/>
    <n v="5398.2"/>
    <n v="1750"/>
    <n v="3500"/>
    <n v="40"/>
    <n v="1858.2"/>
  </r>
  <r>
    <s v="ORD00910"/>
    <x v="471"/>
    <s v="C0115"/>
    <s v="Small Business"/>
    <s v="Pune"/>
    <x v="3"/>
    <x v="2"/>
    <s v="Credit Card"/>
    <s v="P007"/>
    <x v="4"/>
    <x v="3"/>
    <n v="3"/>
    <n v="999"/>
    <n v="0.1"/>
    <n v="2697.3"/>
    <n v="520"/>
    <n v="1560"/>
    <n v="80"/>
    <n v="1057.3"/>
  </r>
  <r>
    <s v="ORD01074"/>
    <x v="471"/>
    <s v="C0295"/>
    <s v="Consumer"/>
    <s v="Jaipur"/>
    <x v="4"/>
    <x v="0"/>
    <s v="UPI"/>
    <s v="P006"/>
    <x v="8"/>
    <x v="3"/>
    <n v="4"/>
    <n v="2999"/>
    <n v="0.1"/>
    <n v="10796.4"/>
    <n v="1750"/>
    <n v="7000"/>
    <n v="80"/>
    <n v="3716.4"/>
  </r>
  <r>
    <s v="ORD00936"/>
    <x v="472"/>
    <s v="C0224"/>
    <s v="Consumer"/>
    <s v="Jaipur"/>
    <x v="4"/>
    <x v="1"/>
    <s v="Debit Card"/>
    <s v="P011"/>
    <x v="7"/>
    <x v="1"/>
    <n v="2"/>
    <n v="6999"/>
    <n v="0"/>
    <n v="13998"/>
    <n v="4900"/>
    <n v="9800"/>
    <n v="60"/>
    <n v="4138"/>
  </r>
  <r>
    <s v="ORD01045"/>
    <x v="472"/>
    <s v="C0074"/>
    <s v="Consumer"/>
    <s v="Pune"/>
    <x v="3"/>
    <x v="2"/>
    <s v="Credit Card"/>
    <s v="P010"/>
    <x v="11"/>
    <x v="4"/>
    <n v="4"/>
    <n v="299"/>
    <n v="0.2"/>
    <n v="956.8"/>
    <n v="110"/>
    <n v="440"/>
    <n v="0"/>
    <n v="516.79999999999995"/>
  </r>
  <r>
    <s v="ORD01474"/>
    <x v="472"/>
    <s v="C0145"/>
    <s v="Corporate"/>
    <s v="Delhi"/>
    <x v="5"/>
    <x v="2"/>
    <s v="Credit Card"/>
    <s v="P002"/>
    <x v="5"/>
    <x v="0"/>
    <n v="2"/>
    <n v="2499"/>
    <n v="0.1"/>
    <n v="4498.2"/>
    <n v="1450"/>
    <n v="2900"/>
    <n v="0"/>
    <n v="1598.2"/>
  </r>
  <r>
    <s v="ORD00185"/>
    <x v="472"/>
    <s v="C0193"/>
    <s v="Consumer"/>
    <s v="Bhopal"/>
    <x v="1"/>
    <x v="2"/>
    <s v="Credit Card"/>
    <s v="P001"/>
    <x v="0"/>
    <x v="0"/>
    <n v="2"/>
    <n v="799"/>
    <n v="0.15"/>
    <n v="1358.3"/>
    <n v="420"/>
    <n v="840"/>
    <n v="40"/>
    <n v="478.3"/>
  </r>
  <r>
    <s v="ORD01147"/>
    <x v="473"/>
    <s v="C0439"/>
    <s v="Small Business"/>
    <s v="Ahmedabad"/>
    <x v="6"/>
    <x v="1"/>
    <s v="UPI"/>
    <s v="P012"/>
    <x v="6"/>
    <x v="0"/>
    <n v="1"/>
    <n v="2199"/>
    <n v="0.2"/>
    <n v="1759.2"/>
    <n v="1250"/>
    <n v="1250"/>
    <n v="40"/>
    <n v="469.2"/>
  </r>
  <r>
    <s v="ORD00189"/>
    <x v="473"/>
    <s v="C0447"/>
    <s v="Corporate"/>
    <s v="Delhi"/>
    <x v="5"/>
    <x v="2"/>
    <s v="Net Banking"/>
    <s v="P007"/>
    <x v="4"/>
    <x v="3"/>
    <n v="5"/>
    <n v="999"/>
    <n v="0"/>
    <n v="4995"/>
    <n v="520"/>
    <n v="2600"/>
    <n v="100"/>
    <n v="2295"/>
  </r>
  <r>
    <s v="ORD01207"/>
    <x v="474"/>
    <s v="C0300"/>
    <s v="Corporate"/>
    <s v="Bengaluru"/>
    <x v="2"/>
    <x v="2"/>
    <s v="UPI"/>
    <s v="P010"/>
    <x v="11"/>
    <x v="4"/>
    <n v="1"/>
    <n v="299"/>
    <n v="0.2"/>
    <n v="239.2"/>
    <n v="110"/>
    <n v="110"/>
    <n v="60"/>
    <n v="69.2"/>
  </r>
  <r>
    <s v="ORD00966"/>
    <x v="475"/>
    <s v="C0210"/>
    <s v="Corporate"/>
    <s v="Kolkata"/>
    <x v="7"/>
    <x v="0"/>
    <s v="Debit Card"/>
    <s v="P007"/>
    <x v="4"/>
    <x v="3"/>
    <n v="3"/>
    <n v="999"/>
    <n v="0"/>
    <n v="2997"/>
    <n v="520"/>
    <n v="1560"/>
    <n v="80"/>
    <n v="1357"/>
  </r>
  <r>
    <s v="ORD00841"/>
    <x v="475"/>
    <s v="C0094"/>
    <s v="Consumer"/>
    <s v="Indore"/>
    <x v="1"/>
    <x v="0"/>
    <s v="Credit Card"/>
    <s v="P011"/>
    <x v="7"/>
    <x v="1"/>
    <n v="4"/>
    <n v="6999"/>
    <n v="0.15"/>
    <n v="23796.6"/>
    <n v="4900"/>
    <n v="19600"/>
    <n v="40"/>
    <n v="4156.6000000000004"/>
  </r>
  <r>
    <s v="ORD00806"/>
    <x v="476"/>
    <s v="C0295"/>
    <s v="Consumer"/>
    <s v="Lucknow"/>
    <x v="8"/>
    <x v="0"/>
    <s v="UPI"/>
    <s v="P001"/>
    <x v="0"/>
    <x v="0"/>
    <n v="1"/>
    <n v="799"/>
    <n v="0.05"/>
    <n v="759.05"/>
    <n v="420"/>
    <n v="420"/>
    <n v="100"/>
    <n v="239.05"/>
  </r>
  <r>
    <s v="ORD00297"/>
    <x v="477"/>
    <s v="C0141"/>
    <s v="Small Business"/>
    <s v="Ahmedabad"/>
    <x v="6"/>
    <x v="1"/>
    <s v="UPI"/>
    <s v="P009"/>
    <x v="9"/>
    <x v="2"/>
    <n v="1"/>
    <n v="599"/>
    <n v="0"/>
    <n v="599"/>
    <n v="240"/>
    <n v="240"/>
    <n v="100"/>
    <n v="259"/>
  </r>
  <r>
    <s v="ORD00716"/>
    <x v="478"/>
    <s v="C0077"/>
    <s v="Consumer"/>
    <s v="Hyderabad"/>
    <x v="0"/>
    <x v="1"/>
    <s v="UPI"/>
    <s v="P006"/>
    <x v="8"/>
    <x v="3"/>
    <n v="3"/>
    <n v="2999"/>
    <n v="0.2"/>
    <n v="7197.6"/>
    <n v="1750"/>
    <n v="5250"/>
    <n v="0"/>
    <n v="1947.6"/>
  </r>
  <r>
    <s v="ORD01046"/>
    <x v="478"/>
    <s v="C0326"/>
    <s v="Consumer"/>
    <s v="Kolkata"/>
    <x v="7"/>
    <x v="2"/>
    <s v="Cash on Delivery"/>
    <s v="P007"/>
    <x v="4"/>
    <x v="3"/>
    <n v="2"/>
    <n v="999"/>
    <n v="0.05"/>
    <n v="1898.1"/>
    <n v="520"/>
    <n v="1040"/>
    <n v="100"/>
    <n v="758.1"/>
  </r>
  <r>
    <s v="ORD00289"/>
    <x v="479"/>
    <s v="C0255"/>
    <s v="Corporate"/>
    <s v="Lucknow"/>
    <x v="8"/>
    <x v="2"/>
    <s v="Net Banking"/>
    <s v="P011"/>
    <x v="7"/>
    <x v="1"/>
    <n v="1"/>
    <n v="6999"/>
    <n v="0.05"/>
    <n v="6649.05"/>
    <n v="4900"/>
    <n v="4900"/>
    <n v="60"/>
    <n v="1689.05"/>
  </r>
  <r>
    <s v="ORD01322"/>
    <x v="479"/>
    <s v="C0241"/>
    <s v="Consumer"/>
    <s v="Pune"/>
    <x v="3"/>
    <x v="1"/>
    <s v="Debit Card"/>
    <s v="P009"/>
    <x v="9"/>
    <x v="2"/>
    <n v="1"/>
    <n v="599"/>
    <n v="0.2"/>
    <n v="479.2"/>
    <n v="240"/>
    <n v="240"/>
    <n v="0"/>
    <n v="239.2"/>
  </r>
  <r>
    <s v="ORD00591"/>
    <x v="479"/>
    <s v="C0288"/>
    <s v="Small Business"/>
    <s v="Hyderabad"/>
    <x v="0"/>
    <x v="2"/>
    <s v="Net Banking"/>
    <s v="P012"/>
    <x v="6"/>
    <x v="0"/>
    <n v="1"/>
    <n v="2199"/>
    <n v="0.1"/>
    <n v="1979.1"/>
    <n v="1250"/>
    <n v="1250"/>
    <n v="60"/>
    <n v="669.1"/>
  </r>
  <r>
    <s v="ORD00463"/>
    <x v="479"/>
    <s v="C0098"/>
    <s v="Consumer"/>
    <s v="Lucknow"/>
    <x v="8"/>
    <x v="0"/>
    <s v="UPI"/>
    <s v="P004"/>
    <x v="3"/>
    <x v="1"/>
    <n v="3"/>
    <n v="499"/>
    <n v="0"/>
    <n v="1497"/>
    <n v="180"/>
    <n v="540"/>
    <n v="60"/>
    <n v="897"/>
  </r>
  <r>
    <s v="ORD00323"/>
    <x v="480"/>
    <s v="C0019"/>
    <s v="Corporate"/>
    <s v="Lucknow"/>
    <x v="8"/>
    <x v="0"/>
    <s v="Cash on Delivery"/>
    <s v="P009"/>
    <x v="9"/>
    <x v="2"/>
    <n v="4"/>
    <n v="599"/>
    <n v="0.2"/>
    <n v="1916.8"/>
    <n v="240"/>
    <n v="960"/>
    <n v="80"/>
    <n v="876.8"/>
  </r>
  <r>
    <s v="ORD00197"/>
    <x v="481"/>
    <s v="C0074"/>
    <s v="Corporate"/>
    <s v="Ahmedabad"/>
    <x v="6"/>
    <x v="1"/>
    <s v="UPI"/>
    <s v="P001"/>
    <x v="0"/>
    <x v="0"/>
    <n v="2"/>
    <n v="799"/>
    <n v="0.15"/>
    <n v="1358.3"/>
    <n v="420"/>
    <n v="840"/>
    <n v="40"/>
    <n v="478.3"/>
  </r>
  <r>
    <s v="ORD00880"/>
    <x v="481"/>
    <s v="C0206"/>
    <s v="Consumer"/>
    <s v="Bhopal"/>
    <x v="1"/>
    <x v="0"/>
    <s v="UPI"/>
    <s v="P004"/>
    <x v="3"/>
    <x v="1"/>
    <n v="1"/>
    <n v="499"/>
    <n v="0"/>
    <n v="499"/>
    <n v="180"/>
    <n v="180"/>
    <n v="60"/>
    <n v="259"/>
  </r>
  <r>
    <s v="ORD00006"/>
    <x v="482"/>
    <s v="C0151"/>
    <s v="Small Business"/>
    <s v="Lucknow"/>
    <x v="8"/>
    <x v="0"/>
    <s v="Debit Card"/>
    <s v="P002"/>
    <x v="5"/>
    <x v="0"/>
    <n v="5"/>
    <n v="2499"/>
    <n v="0.1"/>
    <n v="11245.5"/>
    <n v="1450"/>
    <n v="7250"/>
    <n v="0"/>
    <n v="3995.5"/>
  </r>
  <r>
    <s v="ORD00274"/>
    <x v="483"/>
    <s v="C0388"/>
    <s v="Consumer"/>
    <s v="Mumbai"/>
    <x v="3"/>
    <x v="1"/>
    <s v="Net Banking"/>
    <s v="P007"/>
    <x v="4"/>
    <x v="3"/>
    <n v="2"/>
    <n v="999"/>
    <n v="0.2"/>
    <n v="1598.4"/>
    <n v="520"/>
    <n v="1040"/>
    <n v="40"/>
    <n v="518.4"/>
  </r>
  <r>
    <s v="ORD00576"/>
    <x v="483"/>
    <s v="C0248"/>
    <s v="Consumer"/>
    <s v="Bhopal"/>
    <x v="1"/>
    <x v="1"/>
    <s v="Net Banking"/>
    <s v="P010"/>
    <x v="11"/>
    <x v="4"/>
    <n v="1"/>
    <n v="299"/>
    <n v="0.1"/>
    <n v="269.10000000000002"/>
    <n v="110"/>
    <n v="110"/>
    <n v="80"/>
    <n v="79.099999999999994"/>
  </r>
  <r>
    <s v="ORD00520"/>
    <x v="483"/>
    <s v="C0323"/>
    <s v="Consumer"/>
    <s v="Indore"/>
    <x v="1"/>
    <x v="0"/>
    <s v="Net Banking"/>
    <s v="P009"/>
    <x v="9"/>
    <x v="2"/>
    <n v="1"/>
    <n v="599"/>
    <n v="0"/>
    <n v="599"/>
    <n v="240"/>
    <n v="240"/>
    <n v="40"/>
    <n v="319"/>
  </r>
  <r>
    <s v="ORD00013"/>
    <x v="484"/>
    <s v="C0186"/>
    <s v="Consumer"/>
    <s v="Kolkata"/>
    <x v="7"/>
    <x v="2"/>
    <s v="Cash on Delivery"/>
    <s v="P005"/>
    <x v="1"/>
    <x v="1"/>
    <n v="3"/>
    <n v="1299"/>
    <n v="0.1"/>
    <n v="3507.3"/>
    <n v="700"/>
    <n v="2100"/>
    <n v="100"/>
    <n v="1307.3"/>
  </r>
  <r>
    <s v="ORD01164"/>
    <x v="484"/>
    <s v="C0019"/>
    <s v="Consumer"/>
    <s v="Bengaluru"/>
    <x v="2"/>
    <x v="2"/>
    <s v="Debit Card"/>
    <s v="P009"/>
    <x v="9"/>
    <x v="2"/>
    <n v="1"/>
    <n v="599"/>
    <n v="0"/>
    <n v="599"/>
    <n v="240"/>
    <n v="240"/>
    <n v="0"/>
    <n v="359"/>
  </r>
  <r>
    <s v="ORD00073"/>
    <x v="485"/>
    <s v="C0036"/>
    <s v="Small Business"/>
    <s v="Indore"/>
    <x v="1"/>
    <x v="2"/>
    <s v="UPI"/>
    <s v="P001"/>
    <x v="0"/>
    <x v="0"/>
    <n v="5"/>
    <n v="799"/>
    <n v="0.05"/>
    <n v="3795.25"/>
    <n v="420"/>
    <n v="2100"/>
    <n v="40"/>
    <n v="1655.25"/>
  </r>
  <r>
    <s v="ORD00973"/>
    <x v="486"/>
    <s v="C0267"/>
    <s v="Corporate"/>
    <s v="Hyderabad"/>
    <x v="0"/>
    <x v="0"/>
    <s v="Credit Card"/>
    <s v="P005"/>
    <x v="1"/>
    <x v="1"/>
    <n v="1"/>
    <n v="1299"/>
    <n v="0.15"/>
    <n v="1104.1500000000001"/>
    <n v="700"/>
    <n v="700"/>
    <n v="100"/>
    <n v="304.14999999999998"/>
  </r>
  <r>
    <s v="ORD00719"/>
    <x v="486"/>
    <s v="C0026"/>
    <s v="Consumer"/>
    <s v="Indore"/>
    <x v="1"/>
    <x v="1"/>
    <s v="UPI"/>
    <s v="P008"/>
    <x v="2"/>
    <x v="2"/>
    <n v="1"/>
    <n v="1799"/>
    <n v="0"/>
    <n v="1799"/>
    <n v="850"/>
    <n v="850"/>
    <n v="80"/>
    <n v="869"/>
  </r>
  <r>
    <s v="ORD00422"/>
    <x v="486"/>
    <s v="C0026"/>
    <s v="Corporate"/>
    <s v="Pune"/>
    <x v="3"/>
    <x v="0"/>
    <s v="Cash on Delivery"/>
    <s v="P005"/>
    <x v="1"/>
    <x v="1"/>
    <n v="2"/>
    <n v="1299"/>
    <n v="0.05"/>
    <n v="2468.1"/>
    <n v="700"/>
    <n v="1400"/>
    <n v="40"/>
    <n v="1028.0999999999999"/>
  </r>
  <r>
    <s v="ORD01416"/>
    <x v="487"/>
    <s v="C0415"/>
    <s v="Small Business"/>
    <s v="Hyderabad"/>
    <x v="0"/>
    <x v="2"/>
    <s v="UPI"/>
    <s v="P006"/>
    <x v="8"/>
    <x v="3"/>
    <n v="4"/>
    <n v="2999"/>
    <n v="0.15"/>
    <n v="10196.6"/>
    <n v="1750"/>
    <n v="7000"/>
    <n v="60"/>
    <n v="3136.6"/>
  </r>
  <r>
    <s v="ORD00119"/>
    <x v="487"/>
    <s v="C0383"/>
    <s v="Consumer"/>
    <s v="Bengaluru"/>
    <x v="2"/>
    <x v="1"/>
    <s v="UPI"/>
    <s v="P001"/>
    <x v="0"/>
    <x v="0"/>
    <n v="2"/>
    <n v="799"/>
    <n v="0"/>
    <n v="1598"/>
    <n v="420"/>
    <n v="840"/>
    <n v="60"/>
    <n v="698"/>
  </r>
  <r>
    <s v="ORD00842"/>
    <x v="488"/>
    <s v="C0351"/>
    <s v="Small Business"/>
    <s v="Hyderabad"/>
    <x v="0"/>
    <x v="0"/>
    <s v="Debit Card"/>
    <s v="P006"/>
    <x v="8"/>
    <x v="3"/>
    <n v="3"/>
    <n v="2999"/>
    <n v="0.2"/>
    <n v="7197.6"/>
    <n v="1750"/>
    <n v="5250"/>
    <n v="60"/>
    <n v="1887.6"/>
  </r>
  <r>
    <s v="ORD00616"/>
    <x v="488"/>
    <s v="C0063"/>
    <s v="Small Business"/>
    <s v="Mumbai"/>
    <x v="3"/>
    <x v="2"/>
    <s v="Net Banking"/>
    <s v="P008"/>
    <x v="2"/>
    <x v="2"/>
    <n v="1"/>
    <n v="1799"/>
    <n v="0.05"/>
    <n v="1709.05"/>
    <n v="850"/>
    <n v="850"/>
    <n v="80"/>
    <n v="779.05"/>
  </r>
  <r>
    <s v="ORD00304"/>
    <x v="488"/>
    <s v="C0107"/>
    <s v="Small Business"/>
    <s v="Mumbai"/>
    <x v="3"/>
    <x v="2"/>
    <s v="Net Banking"/>
    <s v="P010"/>
    <x v="11"/>
    <x v="4"/>
    <n v="2"/>
    <n v="299"/>
    <n v="0"/>
    <n v="598"/>
    <n v="110"/>
    <n v="220"/>
    <n v="60"/>
    <n v="318"/>
  </r>
  <r>
    <s v="ORD00139"/>
    <x v="489"/>
    <s v="C0063"/>
    <s v="Corporate"/>
    <s v="Bengaluru"/>
    <x v="2"/>
    <x v="2"/>
    <s v="Credit Card"/>
    <s v="P011"/>
    <x v="7"/>
    <x v="1"/>
    <n v="1"/>
    <n v="6999"/>
    <n v="0.1"/>
    <n v="6299.1"/>
    <n v="4900"/>
    <n v="4900"/>
    <n v="60"/>
    <n v="1339.1"/>
  </r>
  <r>
    <s v="ORD00099"/>
    <x v="489"/>
    <s v="C0031"/>
    <s v="Consumer"/>
    <s v="Pune"/>
    <x v="3"/>
    <x v="1"/>
    <s v="Cash on Delivery"/>
    <s v="P004"/>
    <x v="3"/>
    <x v="1"/>
    <n v="2"/>
    <n v="499"/>
    <n v="0.05"/>
    <n v="948.1"/>
    <n v="180"/>
    <n v="360"/>
    <n v="40"/>
    <n v="548.1"/>
  </r>
  <r>
    <s v="ORD00971"/>
    <x v="489"/>
    <s v="C0177"/>
    <s v="Small Business"/>
    <s v="Ahmedabad"/>
    <x v="6"/>
    <x v="1"/>
    <s v="Credit Card"/>
    <s v="P010"/>
    <x v="11"/>
    <x v="4"/>
    <n v="3"/>
    <n v="299"/>
    <n v="0.2"/>
    <n v="717.6"/>
    <n v="110"/>
    <n v="330"/>
    <n v="80"/>
    <n v="307.60000000000002"/>
  </r>
  <r>
    <s v="ORD01364"/>
    <x v="490"/>
    <s v="C0270"/>
    <s v="Corporate"/>
    <s v="Delhi"/>
    <x v="5"/>
    <x v="0"/>
    <s v="Debit Card"/>
    <s v="P003"/>
    <x v="10"/>
    <x v="0"/>
    <n v="1"/>
    <n v="1599"/>
    <n v="0.1"/>
    <n v="1439.1"/>
    <n v="900"/>
    <n v="900"/>
    <n v="0"/>
    <n v="539.1"/>
  </r>
  <r>
    <s v="ORD00737"/>
    <x v="490"/>
    <s v="C0285"/>
    <s v="Corporate"/>
    <s v="Bengaluru"/>
    <x v="2"/>
    <x v="1"/>
    <s v="Net Banking"/>
    <s v="P004"/>
    <x v="3"/>
    <x v="1"/>
    <n v="2"/>
    <n v="499"/>
    <n v="0.1"/>
    <n v="898.2"/>
    <n v="180"/>
    <n v="360"/>
    <n v="40"/>
    <n v="498.2"/>
  </r>
  <r>
    <s v="ORD00320"/>
    <x v="490"/>
    <s v="C0237"/>
    <s v="Small Business"/>
    <s v="Ahmedabad"/>
    <x v="6"/>
    <x v="2"/>
    <s v="Net Banking"/>
    <s v="P003"/>
    <x v="10"/>
    <x v="0"/>
    <n v="2"/>
    <n v="1599"/>
    <n v="0.15"/>
    <n v="2718.3"/>
    <n v="900"/>
    <n v="1800"/>
    <n v="0"/>
    <n v="918.3"/>
  </r>
  <r>
    <s v="ORD00294"/>
    <x v="491"/>
    <s v="C0018"/>
    <s v="Consumer"/>
    <s v="Lucknow"/>
    <x v="8"/>
    <x v="0"/>
    <s v="UPI"/>
    <s v="P008"/>
    <x v="2"/>
    <x v="2"/>
    <n v="1"/>
    <n v="1799"/>
    <n v="0.15"/>
    <n v="1529.15"/>
    <n v="850"/>
    <n v="850"/>
    <n v="0"/>
    <n v="679.15"/>
  </r>
  <r>
    <s v="ORD00420"/>
    <x v="492"/>
    <s v="C0016"/>
    <s v="Corporate"/>
    <s v="Ahmedabad"/>
    <x v="6"/>
    <x v="0"/>
    <s v="Credit Card"/>
    <s v="P002"/>
    <x v="5"/>
    <x v="0"/>
    <n v="1"/>
    <n v="2499"/>
    <n v="0.15"/>
    <n v="2124.15"/>
    <n v="1450"/>
    <n v="1450"/>
    <n v="80"/>
    <n v="594.15"/>
  </r>
  <r>
    <s v="ORD00587"/>
    <x v="493"/>
    <s v="C0188"/>
    <s v="Consumer"/>
    <s v="Chennai"/>
    <x v="9"/>
    <x v="1"/>
    <s v="Net Banking"/>
    <s v="P005"/>
    <x v="1"/>
    <x v="1"/>
    <n v="1"/>
    <n v="1299"/>
    <n v="0.1"/>
    <n v="1169.0999999999999"/>
    <n v="700"/>
    <n v="700"/>
    <n v="100"/>
    <n v="369.1"/>
  </r>
  <r>
    <s v="ORD00652"/>
    <x v="493"/>
    <s v="C0397"/>
    <s v="Small Business"/>
    <s v="Kolkata"/>
    <x v="7"/>
    <x v="2"/>
    <s v="Credit Card"/>
    <s v="P007"/>
    <x v="4"/>
    <x v="3"/>
    <n v="1"/>
    <n v="999"/>
    <n v="0.1"/>
    <n v="899.1"/>
    <n v="520"/>
    <n v="520"/>
    <n v="100"/>
    <n v="279.10000000000002"/>
  </r>
  <r>
    <s v="ORD00108"/>
    <x v="494"/>
    <s v="C0015"/>
    <s v="Small Business"/>
    <s v="Pune"/>
    <x v="3"/>
    <x v="0"/>
    <s v="Credit Card"/>
    <s v="P003"/>
    <x v="10"/>
    <x v="0"/>
    <n v="4"/>
    <n v="1599"/>
    <n v="0.1"/>
    <n v="5756.4"/>
    <n v="900"/>
    <n v="3600"/>
    <n v="80"/>
    <n v="2076.4"/>
  </r>
  <r>
    <s v="ORD00735"/>
    <x v="494"/>
    <s v="C0441"/>
    <s v="Corporate"/>
    <s v="Pune"/>
    <x v="3"/>
    <x v="2"/>
    <s v="Credit Card"/>
    <s v="P001"/>
    <x v="0"/>
    <x v="0"/>
    <n v="1"/>
    <n v="799"/>
    <n v="0.15"/>
    <n v="679.15"/>
    <n v="420"/>
    <n v="420"/>
    <n v="60"/>
    <n v="199.15"/>
  </r>
  <r>
    <s v="ORD00537"/>
    <x v="495"/>
    <s v="C0440"/>
    <s v="Consumer"/>
    <s v="Hyderabad"/>
    <x v="0"/>
    <x v="0"/>
    <s v="Credit Card"/>
    <s v="P002"/>
    <x v="5"/>
    <x v="0"/>
    <n v="1"/>
    <n v="2499"/>
    <n v="0.15"/>
    <n v="2124.15"/>
    <n v="1450"/>
    <n v="1450"/>
    <n v="0"/>
    <n v="674.15"/>
  </r>
  <r>
    <s v="ORD01175"/>
    <x v="495"/>
    <s v="C0066"/>
    <s v="Corporate"/>
    <s v="Bhopal"/>
    <x v="1"/>
    <x v="2"/>
    <s v="Cash on Delivery"/>
    <s v="P010"/>
    <x v="11"/>
    <x v="4"/>
    <n v="4"/>
    <n v="299"/>
    <n v="0.1"/>
    <n v="1076.4000000000001"/>
    <n v="110"/>
    <n v="440"/>
    <n v="80"/>
    <n v="556.4"/>
  </r>
  <r>
    <s v="ORD00938"/>
    <x v="495"/>
    <s v="C0218"/>
    <s v="Corporate"/>
    <s v="Lucknow"/>
    <x v="8"/>
    <x v="2"/>
    <s v="Net Banking"/>
    <s v="P002"/>
    <x v="5"/>
    <x v="0"/>
    <n v="4"/>
    <n v="2499"/>
    <n v="0.15"/>
    <n v="8496.6"/>
    <n v="1450"/>
    <n v="5800"/>
    <n v="0"/>
    <n v="2696.6"/>
  </r>
  <r>
    <s v="ORD00114"/>
    <x v="496"/>
    <s v="C0123"/>
    <s v="Small Business"/>
    <s v="Ahmedabad"/>
    <x v="6"/>
    <x v="1"/>
    <s v="Credit Card"/>
    <s v="P009"/>
    <x v="9"/>
    <x v="2"/>
    <n v="1"/>
    <n v="599"/>
    <n v="0.05"/>
    <n v="569.04999999999995"/>
    <n v="240"/>
    <n v="240"/>
    <n v="40"/>
    <n v="289.05"/>
  </r>
  <r>
    <s v="ORD00783"/>
    <x v="497"/>
    <s v="C0052"/>
    <s v="Small Business"/>
    <s v="Delhi"/>
    <x v="5"/>
    <x v="0"/>
    <s v="Net Banking"/>
    <s v="P003"/>
    <x v="10"/>
    <x v="0"/>
    <n v="2"/>
    <n v="1599"/>
    <n v="0.15"/>
    <n v="2718.3"/>
    <n v="900"/>
    <n v="1800"/>
    <n v="0"/>
    <n v="918.3"/>
  </r>
  <r>
    <s v="ORD01287"/>
    <x v="497"/>
    <s v="C0433"/>
    <s v="Small Business"/>
    <s v="Hyderabad"/>
    <x v="0"/>
    <x v="0"/>
    <s v="Net Banking"/>
    <s v="P010"/>
    <x v="11"/>
    <x v="4"/>
    <n v="1"/>
    <n v="299"/>
    <n v="0.1"/>
    <n v="269.10000000000002"/>
    <n v="110"/>
    <n v="110"/>
    <n v="80"/>
    <n v="79.099999999999994"/>
  </r>
  <r>
    <s v="ORD00218"/>
    <x v="498"/>
    <s v="C0045"/>
    <s v="Consumer"/>
    <s v="Bhopal"/>
    <x v="1"/>
    <x v="1"/>
    <s v="Net Banking"/>
    <s v="P010"/>
    <x v="11"/>
    <x v="4"/>
    <n v="1"/>
    <n v="299"/>
    <n v="0.15"/>
    <n v="254.15"/>
    <n v="110"/>
    <n v="110"/>
    <n v="40"/>
    <n v="104.15"/>
  </r>
  <r>
    <s v="ORD01002"/>
    <x v="499"/>
    <s v="C0229"/>
    <s v="Consumer"/>
    <s v="Kolkata"/>
    <x v="7"/>
    <x v="0"/>
    <s v="Cash on Delivery"/>
    <s v="P011"/>
    <x v="7"/>
    <x v="1"/>
    <n v="3"/>
    <n v="6999"/>
    <n v="0.05"/>
    <n v="19947.150000000001"/>
    <n v="4900"/>
    <n v="14700"/>
    <n v="100"/>
    <n v="5147.1499999999996"/>
  </r>
  <r>
    <s v="ORD00667"/>
    <x v="499"/>
    <s v="C0071"/>
    <s v="Consumer"/>
    <s v="Indore"/>
    <x v="1"/>
    <x v="0"/>
    <s v="Net Banking"/>
    <s v="P005"/>
    <x v="1"/>
    <x v="1"/>
    <n v="1"/>
    <n v="1299"/>
    <n v="0.05"/>
    <n v="1234.05"/>
    <n v="700"/>
    <n v="700"/>
    <n v="80"/>
    <n v="454.05"/>
  </r>
  <r>
    <s v="ORD00084"/>
    <x v="500"/>
    <s v="C0369"/>
    <s v="Corporate"/>
    <s v="Bengaluru"/>
    <x v="2"/>
    <x v="1"/>
    <s v="Cash on Delivery"/>
    <s v="P001"/>
    <x v="0"/>
    <x v="0"/>
    <n v="2"/>
    <n v="799"/>
    <n v="0"/>
    <n v="1598"/>
    <n v="420"/>
    <n v="840"/>
    <n v="0"/>
    <n v="758"/>
  </r>
  <r>
    <s v="ORD00726"/>
    <x v="500"/>
    <s v="C0206"/>
    <s v="Small Business"/>
    <s v="Jaipur"/>
    <x v="4"/>
    <x v="1"/>
    <s v="Credit Card"/>
    <s v="P011"/>
    <x v="7"/>
    <x v="1"/>
    <n v="1"/>
    <n v="6999"/>
    <n v="0.05"/>
    <n v="6649.05"/>
    <n v="4900"/>
    <n v="4900"/>
    <n v="100"/>
    <n v="1649.05"/>
  </r>
  <r>
    <s v="ORD00284"/>
    <x v="501"/>
    <s v="C0170"/>
    <s v="Small Business"/>
    <s v="Bengaluru"/>
    <x v="2"/>
    <x v="2"/>
    <s v="Net Banking"/>
    <s v="P009"/>
    <x v="9"/>
    <x v="2"/>
    <n v="1"/>
    <n v="599"/>
    <n v="0"/>
    <n v="599"/>
    <n v="240"/>
    <n v="240"/>
    <n v="60"/>
    <n v="299"/>
  </r>
  <r>
    <s v="ORD00132"/>
    <x v="501"/>
    <s v="C0275"/>
    <s v="Consumer"/>
    <s v="Hyderabad"/>
    <x v="0"/>
    <x v="1"/>
    <s v="Debit Card"/>
    <s v="P006"/>
    <x v="8"/>
    <x v="3"/>
    <n v="1"/>
    <n v="2999"/>
    <n v="0.1"/>
    <n v="2699.1"/>
    <n v="1750"/>
    <n v="1750"/>
    <n v="0"/>
    <n v="949.1"/>
  </r>
  <r>
    <s v="ORD00281"/>
    <x v="501"/>
    <s v="C0254"/>
    <s v="Consumer"/>
    <s v="Lucknow"/>
    <x v="8"/>
    <x v="1"/>
    <s v="Net Banking"/>
    <s v="P010"/>
    <x v="11"/>
    <x v="4"/>
    <n v="3"/>
    <n v="299"/>
    <n v="0"/>
    <n v="897"/>
    <n v="110"/>
    <n v="330"/>
    <n v="80"/>
    <n v="487"/>
  </r>
  <r>
    <s v="ORD00637"/>
    <x v="502"/>
    <s v="C0296"/>
    <s v="Corporate"/>
    <s v="Indore"/>
    <x v="1"/>
    <x v="0"/>
    <s v="Net Banking"/>
    <s v="P012"/>
    <x v="6"/>
    <x v="0"/>
    <n v="2"/>
    <n v="2199"/>
    <n v="0.2"/>
    <n v="3518.4"/>
    <n v="1250"/>
    <n v="2500"/>
    <n v="0"/>
    <n v="1018.4"/>
  </r>
  <r>
    <s v="ORD00624"/>
    <x v="502"/>
    <s v="C0353"/>
    <s v="Corporate"/>
    <s v="Mumbai"/>
    <x v="3"/>
    <x v="1"/>
    <s v="Credit Card"/>
    <s v="P011"/>
    <x v="7"/>
    <x v="1"/>
    <n v="3"/>
    <n v="6999"/>
    <n v="0.1"/>
    <n v="18897.3"/>
    <n v="4900"/>
    <n v="14700"/>
    <n v="40"/>
    <n v="4157.3"/>
  </r>
  <r>
    <s v="ORD00182"/>
    <x v="503"/>
    <s v="C0360"/>
    <s v="Small Business"/>
    <s v="Indore"/>
    <x v="1"/>
    <x v="0"/>
    <s v="Cash on Delivery"/>
    <s v="P007"/>
    <x v="4"/>
    <x v="3"/>
    <n v="2"/>
    <n v="999"/>
    <n v="0.05"/>
    <n v="1898.1"/>
    <n v="520"/>
    <n v="1040"/>
    <n v="40"/>
    <n v="818.1"/>
  </r>
  <r>
    <s v="ORD00845"/>
    <x v="503"/>
    <s v="C0283"/>
    <s v="Small Business"/>
    <s v="Ahmedabad"/>
    <x v="6"/>
    <x v="2"/>
    <s v="Net Banking"/>
    <s v="P010"/>
    <x v="11"/>
    <x v="4"/>
    <n v="2"/>
    <n v="299"/>
    <n v="0.15"/>
    <n v="508.3"/>
    <n v="110"/>
    <n v="220"/>
    <n v="100"/>
    <n v="188.3"/>
  </r>
  <r>
    <s v="ORD00332"/>
    <x v="504"/>
    <s v="C0095"/>
    <s v="Consumer"/>
    <s v="Indore"/>
    <x v="1"/>
    <x v="0"/>
    <s v="Net Banking"/>
    <s v="P007"/>
    <x v="4"/>
    <x v="3"/>
    <n v="4"/>
    <n v="999"/>
    <n v="0"/>
    <n v="3996"/>
    <n v="520"/>
    <n v="2080"/>
    <n v="80"/>
    <n v="1836"/>
  </r>
  <r>
    <s v="ORD00889"/>
    <x v="504"/>
    <s v="C0140"/>
    <s v="Consumer"/>
    <s v="Delhi"/>
    <x v="5"/>
    <x v="2"/>
    <s v="Debit Card"/>
    <s v="P007"/>
    <x v="4"/>
    <x v="3"/>
    <n v="1"/>
    <n v="999"/>
    <n v="0"/>
    <n v="999"/>
    <n v="520"/>
    <n v="520"/>
    <n v="40"/>
    <n v="439"/>
  </r>
  <r>
    <s v="ORD01318"/>
    <x v="505"/>
    <s v="C0331"/>
    <s v="Corporate"/>
    <s v="Bhopal"/>
    <x v="1"/>
    <x v="0"/>
    <s v="Net Banking"/>
    <s v="P005"/>
    <x v="1"/>
    <x v="1"/>
    <n v="2"/>
    <n v="1299"/>
    <n v="0.2"/>
    <n v="2078.4"/>
    <n v="700"/>
    <n v="1400"/>
    <n v="0"/>
    <n v="678.4"/>
  </r>
  <r>
    <s v="ORD00809"/>
    <x v="505"/>
    <s v="C0277"/>
    <s v="Consumer"/>
    <s v="Bengaluru"/>
    <x v="2"/>
    <x v="0"/>
    <s v="Net Banking"/>
    <s v="P012"/>
    <x v="6"/>
    <x v="0"/>
    <n v="3"/>
    <n v="2199"/>
    <n v="0"/>
    <n v="6597"/>
    <n v="1250"/>
    <n v="3750"/>
    <n v="60"/>
    <n v="2787"/>
  </r>
  <r>
    <s v="ORD01280"/>
    <x v="505"/>
    <s v="C0075"/>
    <s v="Corporate"/>
    <s v="Bhopal"/>
    <x v="1"/>
    <x v="0"/>
    <s v="Debit Card"/>
    <s v="P010"/>
    <x v="11"/>
    <x v="4"/>
    <n v="1"/>
    <n v="299"/>
    <n v="0.2"/>
    <n v="239.2"/>
    <n v="110"/>
    <n v="110"/>
    <n v="100"/>
    <n v="29.2"/>
  </r>
  <r>
    <s v="ORD00003"/>
    <x v="505"/>
    <s v="C0113"/>
    <s v="Corporate"/>
    <s v="Kolkata"/>
    <x v="7"/>
    <x v="0"/>
    <s v="Debit Card"/>
    <s v="P004"/>
    <x v="3"/>
    <x v="1"/>
    <n v="2"/>
    <n v="499"/>
    <n v="0.2"/>
    <n v="798.4"/>
    <n v="180"/>
    <n v="360"/>
    <n v="100"/>
    <n v="338.4"/>
  </r>
  <r>
    <s v="ORD00043"/>
    <x v="505"/>
    <s v="C0019"/>
    <s v="Corporate"/>
    <s v="Lucknow"/>
    <x v="8"/>
    <x v="0"/>
    <s v="Cash on Delivery"/>
    <s v="P001"/>
    <x v="0"/>
    <x v="0"/>
    <n v="1"/>
    <n v="799"/>
    <n v="0.2"/>
    <n v="639.20000000000005"/>
    <n v="420"/>
    <n v="420"/>
    <n v="40"/>
    <n v="179.2"/>
  </r>
  <r>
    <s v="ORD00962"/>
    <x v="506"/>
    <s v="C0186"/>
    <s v="Consumer"/>
    <s v="Bengaluru"/>
    <x v="2"/>
    <x v="0"/>
    <s v="Debit Card"/>
    <s v="P001"/>
    <x v="0"/>
    <x v="0"/>
    <n v="2"/>
    <n v="799"/>
    <n v="0"/>
    <n v="1598"/>
    <n v="420"/>
    <n v="840"/>
    <n v="0"/>
    <n v="758"/>
  </r>
  <r>
    <s v="ORD00153"/>
    <x v="506"/>
    <s v="C0385"/>
    <s v="Corporate"/>
    <s v="Indore"/>
    <x v="1"/>
    <x v="0"/>
    <s v="UPI"/>
    <s v="P006"/>
    <x v="8"/>
    <x v="3"/>
    <n v="2"/>
    <n v="2999"/>
    <n v="0.1"/>
    <n v="5398.2"/>
    <n v="1750"/>
    <n v="3500"/>
    <n v="60"/>
    <n v="1838.2"/>
  </r>
  <r>
    <s v="ORD00872"/>
    <x v="506"/>
    <s v="C0303"/>
    <s v="Corporate"/>
    <s v="Jaipur"/>
    <x v="4"/>
    <x v="0"/>
    <s v="Debit Card"/>
    <s v="P003"/>
    <x v="10"/>
    <x v="0"/>
    <n v="2"/>
    <n v="1599"/>
    <n v="0.1"/>
    <n v="2878.2"/>
    <n v="900"/>
    <n v="1800"/>
    <n v="60"/>
    <n v="1018.2"/>
  </r>
  <r>
    <s v="ORD00491"/>
    <x v="506"/>
    <s v="C0423"/>
    <s v="Consumer"/>
    <s v="Chennai"/>
    <x v="9"/>
    <x v="2"/>
    <s v="Net Banking"/>
    <s v="P004"/>
    <x v="3"/>
    <x v="1"/>
    <n v="2"/>
    <n v="499"/>
    <n v="0.1"/>
    <n v="898.2"/>
    <n v="180"/>
    <n v="360"/>
    <n v="60"/>
    <n v="478.2"/>
  </r>
  <r>
    <s v="ORD00172"/>
    <x v="507"/>
    <s v="C0443"/>
    <s v="Small Business"/>
    <s v="Chennai"/>
    <x v="9"/>
    <x v="1"/>
    <s v="Credit Card"/>
    <s v="P010"/>
    <x v="11"/>
    <x v="4"/>
    <n v="2"/>
    <n v="299"/>
    <n v="0.15"/>
    <n v="508.3"/>
    <n v="110"/>
    <n v="220"/>
    <n v="100"/>
    <n v="188.3"/>
  </r>
  <r>
    <s v="ORD00075"/>
    <x v="507"/>
    <s v="C0311"/>
    <s v="Small Business"/>
    <s v="Delhi"/>
    <x v="5"/>
    <x v="0"/>
    <s v="UPI"/>
    <s v="P004"/>
    <x v="3"/>
    <x v="1"/>
    <n v="2"/>
    <n v="499"/>
    <n v="0.05"/>
    <n v="948.1"/>
    <n v="180"/>
    <n v="360"/>
    <n v="60"/>
    <n v="528.1"/>
  </r>
  <r>
    <s v="ORD00300"/>
    <x v="508"/>
    <s v="C0424"/>
    <s v="Consumer"/>
    <s v="Indore"/>
    <x v="1"/>
    <x v="0"/>
    <s v="UPI"/>
    <s v="P004"/>
    <x v="3"/>
    <x v="1"/>
    <n v="5"/>
    <n v="499"/>
    <n v="0"/>
    <n v="2495"/>
    <n v="180"/>
    <n v="900"/>
    <n v="60"/>
    <n v="1535"/>
  </r>
  <r>
    <s v="ORD00484"/>
    <x v="508"/>
    <s v="C0268"/>
    <s v="Small Business"/>
    <s v="Lucknow"/>
    <x v="8"/>
    <x v="0"/>
    <s v="Cash on Delivery"/>
    <s v="P004"/>
    <x v="3"/>
    <x v="1"/>
    <n v="5"/>
    <n v="499"/>
    <n v="0.2"/>
    <n v="1996"/>
    <n v="180"/>
    <n v="900"/>
    <n v="60"/>
    <n v="1036"/>
  </r>
  <r>
    <s v="ORD00988"/>
    <x v="509"/>
    <s v="C0427"/>
    <s v="Small Business"/>
    <s v="Ahmedabad"/>
    <x v="6"/>
    <x v="2"/>
    <s v="Credit Card"/>
    <s v="P008"/>
    <x v="2"/>
    <x v="2"/>
    <n v="4"/>
    <n v="1799"/>
    <n v="0.1"/>
    <n v="6476.4"/>
    <n v="850"/>
    <n v="3400"/>
    <n v="80"/>
    <n v="2996.4"/>
  </r>
  <r>
    <s v="ORD00977"/>
    <x v="509"/>
    <s v="C0120"/>
    <s v="Corporate"/>
    <s v="Bhopal"/>
    <x v="1"/>
    <x v="1"/>
    <s v="Debit Card"/>
    <s v="P012"/>
    <x v="6"/>
    <x v="0"/>
    <n v="4"/>
    <n v="2199"/>
    <n v="0.2"/>
    <n v="7036.8"/>
    <n v="1250"/>
    <n v="5000"/>
    <n v="100"/>
    <n v="1936.8"/>
  </r>
  <r>
    <s v="ORD00626"/>
    <x v="510"/>
    <s v="C0445"/>
    <s v="Small Business"/>
    <s v="Hyderabad"/>
    <x v="0"/>
    <x v="0"/>
    <s v="Credit Card"/>
    <s v="P003"/>
    <x v="10"/>
    <x v="0"/>
    <n v="2"/>
    <n v="1599"/>
    <n v="0.05"/>
    <n v="3038.1"/>
    <n v="900"/>
    <n v="1800"/>
    <n v="80"/>
    <n v="1158.0999999999999"/>
  </r>
  <r>
    <s v="ORD00414"/>
    <x v="511"/>
    <s v="C0328"/>
    <s v="Small Business"/>
    <s v="Bengaluru"/>
    <x v="2"/>
    <x v="2"/>
    <s v="Net Banking"/>
    <s v="P001"/>
    <x v="0"/>
    <x v="0"/>
    <n v="1"/>
    <n v="799"/>
    <n v="0.05"/>
    <n v="759.05"/>
    <n v="420"/>
    <n v="420"/>
    <n v="100"/>
    <n v="239.05"/>
  </r>
  <r>
    <s v="ORD00407"/>
    <x v="511"/>
    <s v="C0159"/>
    <s v="Consumer"/>
    <s v="Lucknow"/>
    <x v="8"/>
    <x v="1"/>
    <s v="UPI"/>
    <s v="P010"/>
    <x v="11"/>
    <x v="4"/>
    <n v="1"/>
    <n v="299"/>
    <n v="0"/>
    <n v="299"/>
    <n v="110"/>
    <n v="110"/>
    <n v="80"/>
    <n v="109"/>
  </r>
  <r>
    <s v="ORD00100"/>
    <x v="512"/>
    <s v="C0207"/>
    <s v="Corporate"/>
    <s v="Ahmedabad"/>
    <x v="6"/>
    <x v="0"/>
    <s v="Cash on Delivery"/>
    <s v="P005"/>
    <x v="1"/>
    <x v="1"/>
    <n v="2"/>
    <n v="1299"/>
    <n v="0.1"/>
    <n v="2338.1999999999998"/>
    <n v="700"/>
    <n v="1400"/>
    <n v="60"/>
    <n v="878.2"/>
  </r>
  <r>
    <s v="ORD00348"/>
    <x v="513"/>
    <s v="C0166"/>
    <s v="Small Business"/>
    <s v="Delhi"/>
    <x v="5"/>
    <x v="1"/>
    <s v="Debit Card"/>
    <s v="P006"/>
    <x v="8"/>
    <x v="3"/>
    <n v="2"/>
    <n v="2999"/>
    <n v="0.15"/>
    <n v="5098.3"/>
    <n v="1750"/>
    <n v="3500"/>
    <n v="100"/>
    <n v="1498.3"/>
  </r>
  <r>
    <s v="ORD00949"/>
    <x v="513"/>
    <s v="C0434"/>
    <s v="Small Business"/>
    <s v="Indore"/>
    <x v="1"/>
    <x v="1"/>
    <s v="Net Banking"/>
    <s v="P007"/>
    <x v="4"/>
    <x v="3"/>
    <n v="1"/>
    <n v="999"/>
    <n v="0"/>
    <n v="999"/>
    <n v="520"/>
    <n v="520"/>
    <n v="0"/>
    <n v="479"/>
  </r>
  <r>
    <s v="ORD00804"/>
    <x v="514"/>
    <s v="C0448"/>
    <s v="Small Business"/>
    <s v="Delhi"/>
    <x v="5"/>
    <x v="1"/>
    <s v="Credit Card"/>
    <s v="P012"/>
    <x v="6"/>
    <x v="0"/>
    <n v="2"/>
    <n v="2199"/>
    <n v="0.1"/>
    <n v="3958.2"/>
    <n v="1250"/>
    <n v="2500"/>
    <n v="80"/>
    <n v="1378.2"/>
  </r>
  <r>
    <s v="ORD00632"/>
    <x v="514"/>
    <s v="C0320"/>
    <s v="Small Business"/>
    <s v="Lucknow"/>
    <x v="8"/>
    <x v="0"/>
    <s v="Debit Card"/>
    <s v="P011"/>
    <x v="7"/>
    <x v="1"/>
    <n v="3"/>
    <n v="6999"/>
    <n v="0.2"/>
    <n v="16797.599999999999"/>
    <n v="4900"/>
    <n v="14700"/>
    <n v="80"/>
    <n v="2017.6"/>
  </r>
  <r>
    <s v="ORD00597"/>
    <x v="515"/>
    <s v="C0176"/>
    <s v="Consumer"/>
    <s v="Delhi"/>
    <x v="5"/>
    <x v="1"/>
    <s v="Debit Card"/>
    <s v="P007"/>
    <x v="4"/>
    <x v="3"/>
    <n v="3"/>
    <n v="999"/>
    <n v="0"/>
    <n v="2997"/>
    <n v="520"/>
    <n v="1560"/>
    <n v="0"/>
    <n v="1437"/>
  </r>
  <r>
    <s v="ORD00176"/>
    <x v="515"/>
    <s v="C0078"/>
    <s v="Consumer"/>
    <s v="Lucknow"/>
    <x v="8"/>
    <x v="1"/>
    <s v="UPI"/>
    <s v="P011"/>
    <x v="7"/>
    <x v="1"/>
    <n v="1"/>
    <n v="6999"/>
    <n v="0.15"/>
    <n v="5949.15"/>
    <n v="4900"/>
    <n v="4900"/>
    <n v="80"/>
    <n v="969.15"/>
  </r>
  <r>
    <s v="ORD00694"/>
    <x v="516"/>
    <s v="C0019"/>
    <s v="Consumer"/>
    <s v="Chennai"/>
    <x v="9"/>
    <x v="1"/>
    <s v="Debit Card"/>
    <s v="P009"/>
    <x v="9"/>
    <x v="2"/>
    <n v="1"/>
    <n v="599"/>
    <n v="0.1"/>
    <n v="539.1"/>
    <n v="240"/>
    <n v="240"/>
    <n v="100"/>
    <n v="199.1"/>
  </r>
  <r>
    <s v="ORD00552"/>
    <x v="516"/>
    <s v="C0208"/>
    <s v="Small Business"/>
    <s v="Lucknow"/>
    <x v="8"/>
    <x v="0"/>
    <s v="UPI"/>
    <s v="P003"/>
    <x v="10"/>
    <x v="0"/>
    <n v="1"/>
    <n v="1599"/>
    <n v="0.05"/>
    <n v="1519.05"/>
    <n v="900"/>
    <n v="900"/>
    <n v="40"/>
    <n v="579.04999999999995"/>
  </r>
  <r>
    <s v="ORD00529"/>
    <x v="516"/>
    <s v="C0108"/>
    <s v="Small Business"/>
    <s v="Hyderabad"/>
    <x v="0"/>
    <x v="0"/>
    <s v="Debit Card"/>
    <s v="P010"/>
    <x v="11"/>
    <x v="4"/>
    <n v="1"/>
    <n v="299"/>
    <n v="0.15"/>
    <n v="254.15"/>
    <n v="110"/>
    <n v="110"/>
    <n v="0"/>
    <n v="144.15"/>
  </r>
  <r>
    <s v="ORD00349"/>
    <x v="516"/>
    <s v="C0385"/>
    <s v="Corporate"/>
    <s v="Delhi"/>
    <x v="5"/>
    <x v="2"/>
    <s v="Debit Card"/>
    <s v="P005"/>
    <x v="1"/>
    <x v="1"/>
    <n v="4"/>
    <n v="1299"/>
    <n v="0.15"/>
    <n v="4416.6000000000004"/>
    <n v="700"/>
    <n v="2800"/>
    <n v="0"/>
    <n v="1616.6"/>
  </r>
  <r>
    <s v="ORD01066"/>
    <x v="517"/>
    <s v="C0274"/>
    <s v="Corporate"/>
    <s v="Pune"/>
    <x v="3"/>
    <x v="2"/>
    <s v="Net Banking"/>
    <s v="P007"/>
    <x v="4"/>
    <x v="3"/>
    <n v="5"/>
    <n v="999"/>
    <n v="0"/>
    <n v="4995"/>
    <n v="520"/>
    <n v="2600"/>
    <n v="80"/>
    <n v="2315"/>
  </r>
  <r>
    <s v="ORD00821"/>
    <x v="518"/>
    <s v="C0288"/>
    <s v="Small Business"/>
    <s v="Bengaluru"/>
    <x v="2"/>
    <x v="2"/>
    <s v="Debit Card"/>
    <s v="P003"/>
    <x v="10"/>
    <x v="0"/>
    <n v="2"/>
    <n v="1599"/>
    <n v="0.05"/>
    <n v="3038.1"/>
    <n v="900"/>
    <n v="1800"/>
    <n v="40"/>
    <n v="1198.0999999999999"/>
  </r>
  <r>
    <s v="ORD00126"/>
    <x v="518"/>
    <s v="C0203"/>
    <s v="Corporate"/>
    <s v="Indore"/>
    <x v="1"/>
    <x v="2"/>
    <s v="Cash on Delivery"/>
    <s v="P005"/>
    <x v="1"/>
    <x v="1"/>
    <n v="5"/>
    <n v="1299"/>
    <n v="0.05"/>
    <n v="6170.25"/>
    <n v="700"/>
    <n v="3500"/>
    <n v="0"/>
    <n v="2670.25"/>
  </r>
  <r>
    <s v="ORD00904"/>
    <x v="519"/>
    <s v="C0394"/>
    <s v="Small Business"/>
    <s v="Ahmedabad"/>
    <x v="6"/>
    <x v="2"/>
    <s v="Cash on Delivery"/>
    <s v="P002"/>
    <x v="5"/>
    <x v="0"/>
    <n v="1"/>
    <n v="2499"/>
    <n v="0"/>
    <n v="2499"/>
    <n v="1450"/>
    <n v="1450"/>
    <n v="100"/>
    <n v="949"/>
  </r>
  <r>
    <s v="ORD00839"/>
    <x v="519"/>
    <s v="C0075"/>
    <s v="Corporate"/>
    <s v="Mumbai"/>
    <x v="3"/>
    <x v="1"/>
    <s v="Credit Card"/>
    <s v="P001"/>
    <x v="0"/>
    <x v="0"/>
    <n v="3"/>
    <n v="799"/>
    <n v="0"/>
    <n v="2397"/>
    <n v="420"/>
    <n v="1260"/>
    <n v="100"/>
    <n v="1037"/>
  </r>
  <r>
    <s v="ORD00319"/>
    <x v="519"/>
    <s v="C0059"/>
    <s v="Small Business"/>
    <s v="Chennai"/>
    <x v="9"/>
    <x v="2"/>
    <s v="Cash on Delivery"/>
    <s v="P004"/>
    <x v="3"/>
    <x v="1"/>
    <n v="1"/>
    <n v="499"/>
    <n v="0.05"/>
    <n v="474.05"/>
    <n v="180"/>
    <n v="180"/>
    <n v="80"/>
    <n v="214.05"/>
  </r>
  <r>
    <s v="ORD00647"/>
    <x v="520"/>
    <s v="C0419"/>
    <s v="Corporate"/>
    <s v="Chennai"/>
    <x v="9"/>
    <x v="1"/>
    <s v="UPI"/>
    <s v="P007"/>
    <x v="4"/>
    <x v="3"/>
    <n v="1"/>
    <n v="999"/>
    <n v="0"/>
    <n v="999"/>
    <n v="520"/>
    <n v="520"/>
    <n v="60"/>
    <n v="419"/>
  </r>
  <r>
    <s v="ORD01149"/>
    <x v="521"/>
    <s v="C0108"/>
    <s v="Consumer"/>
    <s v="Delhi"/>
    <x v="5"/>
    <x v="0"/>
    <s v="Credit Card"/>
    <s v="P003"/>
    <x v="10"/>
    <x v="0"/>
    <n v="2"/>
    <n v="1599"/>
    <n v="0.1"/>
    <n v="2878.2"/>
    <n v="900"/>
    <n v="1800"/>
    <n v="60"/>
    <n v="1018.2"/>
  </r>
  <r>
    <s v="ORD00007"/>
    <x v="521"/>
    <s v="C0041"/>
    <s v="Consumer"/>
    <s v="Hyderabad"/>
    <x v="0"/>
    <x v="2"/>
    <s v="Net Banking"/>
    <s v="P004"/>
    <x v="3"/>
    <x v="1"/>
    <n v="2"/>
    <n v="499"/>
    <n v="0"/>
    <n v="998"/>
    <n v="180"/>
    <n v="360"/>
    <n v="40"/>
    <n v="598"/>
  </r>
  <r>
    <s v="ORD01238"/>
    <x v="521"/>
    <s v="C0166"/>
    <s v="Consumer"/>
    <s v="Pune"/>
    <x v="3"/>
    <x v="2"/>
    <s v="Net Banking"/>
    <s v="P007"/>
    <x v="4"/>
    <x v="3"/>
    <n v="4"/>
    <n v="999"/>
    <n v="0.05"/>
    <n v="3796.2"/>
    <n v="520"/>
    <n v="2080"/>
    <n v="40"/>
    <n v="1676.2"/>
  </r>
  <r>
    <s v="ORD00242"/>
    <x v="521"/>
    <s v="C0269"/>
    <s v="Small Business"/>
    <s v="Delhi"/>
    <x v="5"/>
    <x v="0"/>
    <s v="Cash on Delivery"/>
    <s v="P004"/>
    <x v="3"/>
    <x v="1"/>
    <n v="2"/>
    <n v="499"/>
    <n v="0.15"/>
    <n v="848.3"/>
    <n v="180"/>
    <n v="360"/>
    <n v="80"/>
    <n v="408.3"/>
  </r>
  <r>
    <s v="ORD00881"/>
    <x v="522"/>
    <s v="C0411"/>
    <s v="Small Business"/>
    <s v="Bhopal"/>
    <x v="1"/>
    <x v="1"/>
    <s v="Net Banking"/>
    <s v="P002"/>
    <x v="5"/>
    <x v="0"/>
    <n v="2"/>
    <n v="2499"/>
    <n v="0.05"/>
    <n v="4748.1000000000004"/>
    <n v="1450"/>
    <n v="2900"/>
    <n v="0"/>
    <n v="1848.1"/>
  </r>
  <r>
    <s v="ORD01355"/>
    <x v="523"/>
    <s v="C0408"/>
    <s v="Corporate"/>
    <s v="Kolkata"/>
    <x v="7"/>
    <x v="0"/>
    <s v="Debit Card"/>
    <s v="P009"/>
    <x v="9"/>
    <x v="2"/>
    <n v="2"/>
    <n v="599"/>
    <n v="0.15"/>
    <n v="1018.3"/>
    <n v="240"/>
    <n v="480"/>
    <n v="0"/>
    <n v="538.29999999999995"/>
  </r>
  <r>
    <s v="ORD00810"/>
    <x v="524"/>
    <s v="C0181"/>
    <s v="Corporate"/>
    <s v="Chennai"/>
    <x v="9"/>
    <x v="0"/>
    <s v="Net Banking"/>
    <s v="P012"/>
    <x v="6"/>
    <x v="0"/>
    <n v="1"/>
    <n v="2199"/>
    <n v="0.2"/>
    <n v="1759.2"/>
    <n v="1250"/>
    <n v="1250"/>
    <n v="40"/>
    <n v="469.2"/>
  </r>
  <r>
    <s v="ORD00388"/>
    <x v="524"/>
    <s v="C0304"/>
    <s v="Small Business"/>
    <s v="Pune"/>
    <x v="3"/>
    <x v="2"/>
    <s v="Net Banking"/>
    <s v="P002"/>
    <x v="5"/>
    <x v="0"/>
    <n v="2"/>
    <n v="2499"/>
    <n v="0.2"/>
    <n v="3998.4"/>
    <n v="1450"/>
    <n v="2900"/>
    <n v="80"/>
    <n v="1018.4"/>
  </r>
  <r>
    <s v="ORD00224"/>
    <x v="524"/>
    <s v="C0432"/>
    <s v="Small Business"/>
    <s v="Chennai"/>
    <x v="9"/>
    <x v="2"/>
    <s v="UPI"/>
    <s v="P003"/>
    <x v="10"/>
    <x v="0"/>
    <n v="1"/>
    <n v="1599"/>
    <n v="0.15"/>
    <n v="1359.15"/>
    <n v="900"/>
    <n v="900"/>
    <n v="100"/>
    <n v="359.15"/>
  </r>
  <r>
    <s v="ORD00539"/>
    <x v="525"/>
    <s v="C0283"/>
    <s v="Corporate"/>
    <s v="Mumbai"/>
    <x v="3"/>
    <x v="0"/>
    <s v="Cash on Delivery"/>
    <s v="P010"/>
    <x v="11"/>
    <x v="4"/>
    <n v="1"/>
    <n v="299"/>
    <n v="0.15"/>
    <n v="254.15"/>
    <n v="110"/>
    <n v="110"/>
    <n v="40"/>
    <n v="104.15"/>
  </r>
  <r>
    <s v="ORD00838"/>
    <x v="525"/>
    <s v="C0419"/>
    <s v="Consumer"/>
    <s v="Ahmedabad"/>
    <x v="6"/>
    <x v="1"/>
    <s v="Cash on Delivery"/>
    <s v="P008"/>
    <x v="2"/>
    <x v="2"/>
    <n v="2"/>
    <n v="1799"/>
    <n v="0.05"/>
    <n v="3418.1"/>
    <n v="850"/>
    <n v="1700"/>
    <n v="80"/>
    <n v="1638.1"/>
  </r>
  <r>
    <s v="ORD00201"/>
    <x v="525"/>
    <s v="C0280"/>
    <s v="Corporate"/>
    <s v="Chennai"/>
    <x v="9"/>
    <x v="0"/>
    <s v="Credit Card"/>
    <s v="P012"/>
    <x v="6"/>
    <x v="0"/>
    <n v="3"/>
    <n v="2199"/>
    <n v="0"/>
    <n v="6597"/>
    <n v="1250"/>
    <n v="3750"/>
    <n v="0"/>
    <n v="2847"/>
  </r>
  <r>
    <s v="ORD01433"/>
    <x v="526"/>
    <s v="C0041"/>
    <s v="Consumer"/>
    <s v="Indore"/>
    <x v="1"/>
    <x v="2"/>
    <s v="Cash on Delivery"/>
    <s v="P001"/>
    <x v="0"/>
    <x v="0"/>
    <n v="2"/>
    <n v="799"/>
    <n v="0"/>
    <n v="1598"/>
    <n v="420"/>
    <n v="840"/>
    <n v="80"/>
    <n v="678"/>
  </r>
  <r>
    <s v="ORD01397"/>
    <x v="526"/>
    <s v="C0174"/>
    <s v="Corporate"/>
    <s v="Mumbai"/>
    <x v="3"/>
    <x v="1"/>
    <s v="Credit Card"/>
    <s v="P008"/>
    <x v="2"/>
    <x v="2"/>
    <n v="4"/>
    <n v="1799"/>
    <n v="0.05"/>
    <n v="6836.2"/>
    <n v="850"/>
    <n v="3400"/>
    <n v="0"/>
    <n v="3436.2"/>
  </r>
  <r>
    <s v="ORD00453"/>
    <x v="527"/>
    <s v="C0366"/>
    <s v="Consumer"/>
    <s v="Ahmedabad"/>
    <x v="6"/>
    <x v="0"/>
    <s v="Cash on Delivery"/>
    <s v="P012"/>
    <x v="6"/>
    <x v="0"/>
    <n v="5"/>
    <n v="2199"/>
    <n v="0"/>
    <n v="10995"/>
    <n v="1250"/>
    <n v="6250"/>
    <n v="60"/>
    <n v="4685"/>
  </r>
  <r>
    <s v="ORD00033"/>
    <x v="528"/>
    <s v="C0261"/>
    <s v="Consumer"/>
    <s v="Mumbai"/>
    <x v="3"/>
    <x v="2"/>
    <s v="UPI"/>
    <s v="P008"/>
    <x v="2"/>
    <x v="2"/>
    <n v="2"/>
    <n v="1799"/>
    <n v="0.15"/>
    <n v="3058.3"/>
    <n v="850"/>
    <n v="1700"/>
    <n v="40"/>
    <n v="1318.3"/>
  </r>
  <r>
    <s v="ORD01329"/>
    <x v="528"/>
    <s v="C0271"/>
    <s v="Consumer"/>
    <s v="Lucknow"/>
    <x v="8"/>
    <x v="0"/>
    <s v="Net Banking"/>
    <s v="P007"/>
    <x v="4"/>
    <x v="3"/>
    <n v="2"/>
    <n v="999"/>
    <n v="0.2"/>
    <n v="1598.4"/>
    <n v="520"/>
    <n v="1040"/>
    <n v="0"/>
    <n v="558.4"/>
  </r>
  <r>
    <s v="ORD01370"/>
    <x v="528"/>
    <s v="C0105"/>
    <s v="Small Business"/>
    <s v="Ahmedabad"/>
    <x v="6"/>
    <x v="2"/>
    <s v="Cash on Delivery"/>
    <s v="P011"/>
    <x v="7"/>
    <x v="1"/>
    <n v="2"/>
    <n v="6999"/>
    <n v="0.2"/>
    <n v="11198.4"/>
    <n v="4900"/>
    <n v="9800"/>
    <n v="0"/>
    <n v="1398.4"/>
  </r>
  <r>
    <s v="ORD00525"/>
    <x v="529"/>
    <s v="C0055"/>
    <s v="Corporate"/>
    <s v="Lucknow"/>
    <x v="8"/>
    <x v="0"/>
    <s v="Debit Card"/>
    <s v="P001"/>
    <x v="0"/>
    <x v="0"/>
    <n v="2"/>
    <n v="799"/>
    <n v="0"/>
    <n v="1598"/>
    <n v="420"/>
    <n v="840"/>
    <n v="60"/>
    <n v="698"/>
  </r>
  <r>
    <s v="ORD01123"/>
    <x v="529"/>
    <s v="C0032"/>
    <s v="Corporate"/>
    <s v="Mumbai"/>
    <x v="3"/>
    <x v="2"/>
    <s v="Cash on Delivery"/>
    <s v="P004"/>
    <x v="3"/>
    <x v="1"/>
    <n v="2"/>
    <n v="499"/>
    <n v="0.2"/>
    <n v="798.4"/>
    <n v="180"/>
    <n v="360"/>
    <n v="0"/>
    <n v="438.4"/>
  </r>
  <r>
    <s v="ORD00457"/>
    <x v="529"/>
    <s v="C0444"/>
    <s v="Small Business"/>
    <s v="Mumbai"/>
    <x v="3"/>
    <x v="0"/>
    <s v="Cash on Delivery"/>
    <s v="P005"/>
    <x v="1"/>
    <x v="1"/>
    <n v="2"/>
    <n v="1299"/>
    <n v="0"/>
    <n v="2598"/>
    <n v="700"/>
    <n v="1400"/>
    <n v="80"/>
    <n v="1118"/>
  </r>
  <r>
    <s v="ORD00444"/>
    <x v="530"/>
    <s v="C0426"/>
    <s v="Small Business"/>
    <s v="Ahmedabad"/>
    <x v="6"/>
    <x v="2"/>
    <s v="Debit Card"/>
    <s v="P009"/>
    <x v="9"/>
    <x v="2"/>
    <n v="1"/>
    <n v="599"/>
    <n v="0"/>
    <n v="599"/>
    <n v="240"/>
    <n v="240"/>
    <n v="60"/>
    <n v="299"/>
  </r>
  <r>
    <s v="ORD01459"/>
    <x v="530"/>
    <s v="C0241"/>
    <s v="Consumer"/>
    <s v="Hyderabad"/>
    <x v="0"/>
    <x v="1"/>
    <s v="Credit Card"/>
    <s v="P007"/>
    <x v="4"/>
    <x v="3"/>
    <n v="3"/>
    <n v="999"/>
    <n v="0"/>
    <n v="2997"/>
    <n v="520"/>
    <n v="1560"/>
    <n v="40"/>
    <n v="1397"/>
  </r>
  <r>
    <s v="ORD01314"/>
    <x v="530"/>
    <s v="C0204"/>
    <s v="Consumer"/>
    <s v="Chennai"/>
    <x v="9"/>
    <x v="2"/>
    <s v="Credit Card"/>
    <s v="P007"/>
    <x v="4"/>
    <x v="3"/>
    <n v="1"/>
    <n v="999"/>
    <n v="0.2"/>
    <n v="799.2"/>
    <n v="520"/>
    <n v="520"/>
    <n v="100"/>
    <n v="179.2"/>
  </r>
  <r>
    <s v="ORD00252"/>
    <x v="530"/>
    <s v="C0327"/>
    <s v="Consumer"/>
    <s v="Bengaluru"/>
    <x v="2"/>
    <x v="2"/>
    <s v="UPI"/>
    <s v="P004"/>
    <x v="3"/>
    <x v="1"/>
    <n v="1"/>
    <n v="499"/>
    <n v="0.2"/>
    <n v="399.2"/>
    <n v="180"/>
    <n v="180"/>
    <n v="100"/>
    <n v="119.2"/>
  </r>
  <r>
    <s v="ORD01047"/>
    <x v="531"/>
    <s v="C0127"/>
    <s v="Consumer"/>
    <s v="Chennai"/>
    <x v="9"/>
    <x v="0"/>
    <s v="Debit Card"/>
    <s v="P004"/>
    <x v="3"/>
    <x v="1"/>
    <n v="3"/>
    <n v="499"/>
    <n v="0.05"/>
    <n v="1422.15"/>
    <n v="180"/>
    <n v="540"/>
    <n v="40"/>
    <n v="842.15"/>
  </r>
  <r>
    <s v="ORD00113"/>
    <x v="531"/>
    <s v="C0276"/>
    <s v="Corporate"/>
    <s v="Jaipur"/>
    <x v="4"/>
    <x v="1"/>
    <s v="Debit Card"/>
    <s v="P010"/>
    <x v="11"/>
    <x v="4"/>
    <n v="5"/>
    <n v="299"/>
    <n v="0.1"/>
    <n v="1345.5"/>
    <n v="110"/>
    <n v="550"/>
    <n v="40"/>
    <n v="755.5"/>
  </r>
  <r>
    <s v="ORD00510"/>
    <x v="532"/>
    <s v="C0230"/>
    <s v="Consumer"/>
    <s v="Hyderabad"/>
    <x v="0"/>
    <x v="0"/>
    <s v="UPI"/>
    <s v="P009"/>
    <x v="9"/>
    <x v="2"/>
    <n v="3"/>
    <n v="599"/>
    <n v="0"/>
    <n v="1797"/>
    <n v="240"/>
    <n v="720"/>
    <n v="40"/>
    <n v="1037"/>
  </r>
  <r>
    <s v="ORD00095"/>
    <x v="532"/>
    <s v="C0379"/>
    <s v="Consumer"/>
    <s v="Bhopal"/>
    <x v="1"/>
    <x v="2"/>
    <s v="Credit Card"/>
    <s v="P007"/>
    <x v="4"/>
    <x v="3"/>
    <n v="1"/>
    <n v="999"/>
    <n v="0.15"/>
    <n v="849.15"/>
    <n v="520"/>
    <n v="520"/>
    <n v="0"/>
    <n v="329.15"/>
  </r>
  <r>
    <s v="ORD01377"/>
    <x v="532"/>
    <s v="C0358"/>
    <s v="Consumer"/>
    <s v="Kolkata"/>
    <x v="7"/>
    <x v="1"/>
    <s v="Net Banking"/>
    <s v="P008"/>
    <x v="2"/>
    <x v="2"/>
    <n v="1"/>
    <n v="1799"/>
    <n v="0.05"/>
    <n v="1709.05"/>
    <n v="850"/>
    <n v="850"/>
    <n v="80"/>
    <n v="779.05"/>
  </r>
  <r>
    <s v="ORD00465"/>
    <x v="532"/>
    <s v="C0234"/>
    <s v="Small Business"/>
    <s v="Hyderabad"/>
    <x v="0"/>
    <x v="0"/>
    <s v="Cash on Delivery"/>
    <s v="P005"/>
    <x v="1"/>
    <x v="1"/>
    <n v="1"/>
    <n v="1299"/>
    <n v="0"/>
    <n v="1299"/>
    <n v="700"/>
    <n v="700"/>
    <n v="60"/>
    <n v="539"/>
  </r>
  <r>
    <s v="ORD00434"/>
    <x v="532"/>
    <s v="C0400"/>
    <s v="Consumer"/>
    <s v="Bhopal"/>
    <x v="1"/>
    <x v="1"/>
    <s v="Cash on Delivery"/>
    <s v="P010"/>
    <x v="11"/>
    <x v="4"/>
    <n v="3"/>
    <n v="299"/>
    <n v="0"/>
    <n v="897"/>
    <n v="110"/>
    <n v="330"/>
    <n v="0"/>
    <n v="567"/>
  </r>
  <r>
    <s v="ORD00428"/>
    <x v="533"/>
    <s v="C0275"/>
    <s v="Small Business"/>
    <s v="Kolkata"/>
    <x v="7"/>
    <x v="1"/>
    <s v="Cash on Delivery"/>
    <s v="P004"/>
    <x v="3"/>
    <x v="1"/>
    <n v="2"/>
    <n v="499"/>
    <n v="0.1"/>
    <n v="898.2"/>
    <n v="180"/>
    <n v="360"/>
    <n v="100"/>
    <n v="438.2"/>
  </r>
  <r>
    <s v="ORD00089"/>
    <x v="533"/>
    <s v="C0117"/>
    <s v="Corporate"/>
    <s v="Hyderabad"/>
    <x v="0"/>
    <x v="2"/>
    <s v="Debit Card"/>
    <s v="P009"/>
    <x v="9"/>
    <x v="2"/>
    <n v="2"/>
    <n v="599"/>
    <n v="0"/>
    <n v="1198"/>
    <n v="240"/>
    <n v="480"/>
    <n v="40"/>
    <n v="678"/>
  </r>
  <r>
    <s v="ORD01446"/>
    <x v="533"/>
    <s v="C0190"/>
    <s v="Small Business"/>
    <s v="Bhopal"/>
    <x v="1"/>
    <x v="0"/>
    <s v="Net Banking"/>
    <s v="P009"/>
    <x v="9"/>
    <x v="2"/>
    <n v="1"/>
    <n v="599"/>
    <n v="0"/>
    <n v="599"/>
    <n v="240"/>
    <n v="240"/>
    <n v="100"/>
    <n v="259"/>
  </r>
  <r>
    <s v="ORD01333"/>
    <x v="534"/>
    <s v="C0233"/>
    <s v="Small Business"/>
    <s v="Ahmedabad"/>
    <x v="6"/>
    <x v="2"/>
    <s v="Cash on Delivery"/>
    <s v="P009"/>
    <x v="9"/>
    <x v="2"/>
    <n v="2"/>
    <n v="599"/>
    <n v="0.05"/>
    <n v="1138.0999999999999"/>
    <n v="240"/>
    <n v="480"/>
    <n v="60"/>
    <n v="598.1"/>
  </r>
  <r>
    <s v="ORD00833"/>
    <x v="534"/>
    <s v="C0090"/>
    <s v="Small Business"/>
    <s v="Kolkata"/>
    <x v="7"/>
    <x v="1"/>
    <s v="Cash on Delivery"/>
    <s v="P007"/>
    <x v="4"/>
    <x v="3"/>
    <n v="1"/>
    <n v="999"/>
    <n v="0.1"/>
    <n v="899.1"/>
    <n v="520"/>
    <n v="520"/>
    <n v="60"/>
    <n v="319.10000000000002"/>
  </r>
  <r>
    <s v="ORD00384"/>
    <x v="535"/>
    <s v="C0078"/>
    <s v="Consumer"/>
    <s v="Bengaluru"/>
    <x v="2"/>
    <x v="1"/>
    <s v="UPI"/>
    <s v="P008"/>
    <x v="2"/>
    <x v="2"/>
    <n v="5"/>
    <n v="1799"/>
    <n v="0"/>
    <n v="8995"/>
    <n v="850"/>
    <n v="4250"/>
    <n v="100"/>
    <n v="4645"/>
  </r>
  <r>
    <s v="ORD00799"/>
    <x v="535"/>
    <s v="C0220"/>
    <s v="Small Business"/>
    <s v="Ahmedabad"/>
    <x v="6"/>
    <x v="2"/>
    <s v="Credit Card"/>
    <s v="P008"/>
    <x v="2"/>
    <x v="2"/>
    <n v="3"/>
    <n v="1799"/>
    <n v="0.05"/>
    <n v="5127.1499999999996"/>
    <n v="850"/>
    <n v="2550"/>
    <n v="0"/>
    <n v="2577.15"/>
  </r>
  <r>
    <s v="ORD00782"/>
    <x v="536"/>
    <s v="C0388"/>
    <s v="Corporate"/>
    <s v="Delhi"/>
    <x v="5"/>
    <x v="2"/>
    <s v="Debit Card"/>
    <s v="P003"/>
    <x v="10"/>
    <x v="0"/>
    <n v="1"/>
    <n v="1599"/>
    <n v="0"/>
    <n v="1599"/>
    <n v="900"/>
    <n v="900"/>
    <n v="60"/>
    <n v="639"/>
  </r>
  <r>
    <s v="ORD01483"/>
    <x v="536"/>
    <s v="C0268"/>
    <s v="Small Business"/>
    <s v="Jaipur"/>
    <x v="4"/>
    <x v="0"/>
    <s v="Credit Card"/>
    <s v="P004"/>
    <x v="3"/>
    <x v="1"/>
    <n v="1"/>
    <n v="499"/>
    <n v="0.1"/>
    <n v="449.1"/>
    <n v="180"/>
    <n v="180"/>
    <n v="100"/>
    <n v="169.1"/>
  </r>
  <r>
    <s v="ORD00316"/>
    <x v="537"/>
    <s v="C0004"/>
    <s v="Corporate"/>
    <s v="Hyderabad"/>
    <x v="0"/>
    <x v="1"/>
    <s v="Cash on Delivery"/>
    <s v="P010"/>
    <x v="11"/>
    <x v="4"/>
    <n v="1"/>
    <n v="299"/>
    <n v="0"/>
    <n v="299"/>
    <n v="110"/>
    <n v="110"/>
    <n v="40"/>
    <n v="149"/>
  </r>
  <r>
    <s v="ORD00679"/>
    <x v="537"/>
    <s v="C0056"/>
    <s v="Corporate"/>
    <s v="Lucknow"/>
    <x v="8"/>
    <x v="1"/>
    <s v="UPI"/>
    <s v="P009"/>
    <x v="9"/>
    <x v="2"/>
    <n v="2"/>
    <n v="599"/>
    <n v="0.2"/>
    <n v="958.4"/>
    <n v="240"/>
    <n v="480"/>
    <n v="0"/>
    <n v="478.4"/>
  </r>
  <r>
    <s v="ORD01340"/>
    <x v="537"/>
    <s v="C0056"/>
    <s v="Small Business"/>
    <s v="Kolkata"/>
    <x v="7"/>
    <x v="2"/>
    <s v="Credit Card"/>
    <s v="P005"/>
    <x v="1"/>
    <x v="1"/>
    <n v="2"/>
    <n v="1299"/>
    <n v="0.1"/>
    <n v="2338.1999999999998"/>
    <n v="700"/>
    <n v="1400"/>
    <n v="100"/>
    <n v="838.2"/>
  </r>
  <r>
    <s v="ORD00324"/>
    <x v="537"/>
    <s v="C0341"/>
    <s v="Corporate"/>
    <s v="Indore"/>
    <x v="1"/>
    <x v="2"/>
    <s v="Cash on Delivery"/>
    <s v="P011"/>
    <x v="7"/>
    <x v="1"/>
    <n v="4"/>
    <n v="6999"/>
    <n v="0"/>
    <n v="27996"/>
    <n v="4900"/>
    <n v="19600"/>
    <n v="40"/>
    <n v="8356"/>
  </r>
  <r>
    <s v="ORD00034"/>
    <x v="538"/>
    <s v="C0292"/>
    <s v="Consumer"/>
    <s v="Pune"/>
    <x v="3"/>
    <x v="0"/>
    <s v="Cash on Delivery"/>
    <s v="P002"/>
    <x v="5"/>
    <x v="0"/>
    <n v="2"/>
    <n v="2499"/>
    <n v="0"/>
    <n v="4998"/>
    <n v="1450"/>
    <n v="2900"/>
    <n v="80"/>
    <n v="2018"/>
  </r>
  <r>
    <s v="ORD00915"/>
    <x v="539"/>
    <s v="C0171"/>
    <s v="Consumer"/>
    <s v="Mumbai"/>
    <x v="3"/>
    <x v="1"/>
    <s v="Debit Card"/>
    <s v="P005"/>
    <x v="1"/>
    <x v="1"/>
    <n v="1"/>
    <n v="1299"/>
    <n v="0.15"/>
    <n v="1104.1500000000001"/>
    <n v="700"/>
    <n v="700"/>
    <n v="0"/>
    <n v="404.15"/>
  </r>
  <r>
    <s v="ORD01362"/>
    <x v="539"/>
    <s v="C0072"/>
    <s v="Small Business"/>
    <s v="Bhopal"/>
    <x v="1"/>
    <x v="2"/>
    <s v="Debit Card"/>
    <s v="P005"/>
    <x v="1"/>
    <x v="1"/>
    <n v="1"/>
    <n v="1299"/>
    <n v="0.1"/>
    <n v="1169.0999999999999"/>
    <n v="700"/>
    <n v="700"/>
    <n v="60"/>
    <n v="409.1"/>
  </r>
  <r>
    <s v="ORD00608"/>
    <x v="539"/>
    <s v="C0211"/>
    <s v="Small Business"/>
    <s v="Bengaluru"/>
    <x v="2"/>
    <x v="1"/>
    <s v="Net Banking"/>
    <s v="P004"/>
    <x v="3"/>
    <x v="1"/>
    <n v="3"/>
    <n v="499"/>
    <n v="0.15"/>
    <n v="1272.45"/>
    <n v="180"/>
    <n v="540"/>
    <n v="60"/>
    <n v="672.45"/>
  </r>
  <r>
    <s v="ORD01464"/>
    <x v="540"/>
    <s v="C0058"/>
    <s v="Corporate"/>
    <s v="Bengaluru"/>
    <x v="2"/>
    <x v="1"/>
    <s v="Net Banking"/>
    <s v="P006"/>
    <x v="8"/>
    <x v="3"/>
    <n v="2"/>
    <n v="2999"/>
    <n v="0.05"/>
    <n v="5698.1"/>
    <n v="1750"/>
    <n v="3500"/>
    <n v="0"/>
    <n v="2198.1"/>
  </r>
  <r>
    <s v="ORD01485"/>
    <x v="541"/>
    <s v="C0407"/>
    <s v="Corporate"/>
    <s v="Lucknow"/>
    <x v="8"/>
    <x v="0"/>
    <s v="Net Banking"/>
    <s v="P007"/>
    <x v="4"/>
    <x v="3"/>
    <n v="3"/>
    <n v="999"/>
    <n v="0.05"/>
    <n v="2847.15"/>
    <n v="520"/>
    <n v="1560"/>
    <n v="40"/>
    <n v="1247.1500000000001"/>
  </r>
  <r>
    <s v="ORD00568"/>
    <x v="542"/>
    <s v="C0041"/>
    <s v="Small Business"/>
    <s v="Chennai"/>
    <x v="9"/>
    <x v="2"/>
    <s v="Net Banking"/>
    <s v="P007"/>
    <x v="4"/>
    <x v="3"/>
    <n v="1"/>
    <n v="999"/>
    <n v="0.05"/>
    <n v="949.05"/>
    <n v="520"/>
    <n v="520"/>
    <n v="40"/>
    <n v="389.05"/>
  </r>
  <r>
    <s v="ORD01294"/>
    <x v="542"/>
    <s v="C0285"/>
    <s v="Corporate"/>
    <s v="Bengaluru"/>
    <x v="2"/>
    <x v="2"/>
    <s v="Cash on Delivery"/>
    <s v="P006"/>
    <x v="8"/>
    <x v="3"/>
    <n v="1"/>
    <n v="2999"/>
    <n v="0.15"/>
    <n v="2549.15"/>
    <n v="1750"/>
    <n v="1750"/>
    <n v="80"/>
    <n v="719.15"/>
  </r>
  <r>
    <s v="ORD01428"/>
    <x v="542"/>
    <s v="C0058"/>
    <s v="Small Business"/>
    <s v="Jaipur"/>
    <x v="4"/>
    <x v="2"/>
    <s v="Credit Card"/>
    <s v="P004"/>
    <x v="3"/>
    <x v="1"/>
    <n v="1"/>
    <n v="499"/>
    <n v="0"/>
    <n v="499"/>
    <n v="180"/>
    <n v="180"/>
    <n v="100"/>
    <n v="219"/>
  </r>
  <r>
    <s v="ORD00207"/>
    <x v="543"/>
    <s v="C0168"/>
    <s v="Small Business"/>
    <s v="Pune"/>
    <x v="3"/>
    <x v="1"/>
    <s v="Debit Card"/>
    <s v="P003"/>
    <x v="10"/>
    <x v="0"/>
    <n v="2"/>
    <n v="1599"/>
    <n v="0.05"/>
    <n v="3038.1"/>
    <n v="900"/>
    <n v="1800"/>
    <n v="0"/>
    <n v="1238.0999999999999"/>
  </r>
  <r>
    <s v="ORD01114"/>
    <x v="543"/>
    <s v="C0395"/>
    <s v="Consumer"/>
    <s v="Pune"/>
    <x v="3"/>
    <x v="0"/>
    <s v="Net Banking"/>
    <s v="P010"/>
    <x v="11"/>
    <x v="4"/>
    <n v="4"/>
    <n v="299"/>
    <n v="0"/>
    <n v="1196"/>
    <n v="110"/>
    <n v="440"/>
    <n v="0"/>
    <n v="756"/>
  </r>
  <r>
    <s v="ORD00069"/>
    <x v="544"/>
    <s v="C0015"/>
    <s v="Corporate"/>
    <s v="Jaipur"/>
    <x v="4"/>
    <x v="1"/>
    <s v="Net Banking"/>
    <s v="P004"/>
    <x v="3"/>
    <x v="1"/>
    <n v="2"/>
    <n v="499"/>
    <n v="0.05"/>
    <n v="948.1"/>
    <n v="180"/>
    <n v="360"/>
    <n v="80"/>
    <n v="508.1"/>
  </r>
  <r>
    <s v="ORD00558"/>
    <x v="544"/>
    <s v="C0216"/>
    <s v="Corporate"/>
    <s v="Lucknow"/>
    <x v="8"/>
    <x v="2"/>
    <s v="Cash on Delivery"/>
    <s v="P009"/>
    <x v="9"/>
    <x v="2"/>
    <n v="3"/>
    <n v="599"/>
    <n v="0.2"/>
    <n v="1437.6"/>
    <n v="240"/>
    <n v="720"/>
    <n v="80"/>
    <n v="637.6"/>
  </r>
  <r>
    <s v="ORD00548"/>
    <x v="545"/>
    <s v="C0118"/>
    <s v="Consumer"/>
    <s v="Delhi"/>
    <x v="5"/>
    <x v="0"/>
    <s v="Debit Card"/>
    <s v="P001"/>
    <x v="0"/>
    <x v="0"/>
    <n v="2"/>
    <n v="799"/>
    <n v="0"/>
    <n v="1598"/>
    <n v="420"/>
    <n v="840"/>
    <n v="80"/>
    <n v="678"/>
  </r>
  <r>
    <s v="ORD00916"/>
    <x v="546"/>
    <s v="C0130"/>
    <s v="Small Business"/>
    <s v="Mumbai"/>
    <x v="3"/>
    <x v="0"/>
    <s v="Net Banking"/>
    <s v="P011"/>
    <x v="7"/>
    <x v="1"/>
    <n v="5"/>
    <n v="6999"/>
    <n v="0.15"/>
    <n v="29745.75"/>
    <n v="4900"/>
    <n v="24500"/>
    <n v="0"/>
    <n v="5245.75"/>
  </r>
  <r>
    <s v="ORD00526"/>
    <x v="547"/>
    <s v="C0421"/>
    <s v="Small Business"/>
    <s v="Kolkata"/>
    <x v="7"/>
    <x v="2"/>
    <s v="Net Banking"/>
    <s v="P002"/>
    <x v="5"/>
    <x v="0"/>
    <n v="1"/>
    <n v="2499"/>
    <n v="0.1"/>
    <n v="2249.1"/>
    <n v="1450"/>
    <n v="1450"/>
    <n v="80"/>
    <n v="719.1"/>
  </r>
  <r>
    <s v="ORD00421"/>
    <x v="547"/>
    <s v="C0098"/>
    <s v="Corporate"/>
    <s v="Bengaluru"/>
    <x v="2"/>
    <x v="0"/>
    <s v="Cash on Delivery"/>
    <s v="P007"/>
    <x v="4"/>
    <x v="3"/>
    <n v="1"/>
    <n v="999"/>
    <n v="0"/>
    <n v="999"/>
    <n v="520"/>
    <n v="520"/>
    <n v="60"/>
    <n v="419"/>
  </r>
  <r>
    <s v="ORD01435"/>
    <x v="547"/>
    <s v="C0138"/>
    <s v="Consumer"/>
    <s v="Chennai"/>
    <x v="9"/>
    <x v="0"/>
    <s v="Debit Card"/>
    <s v="P008"/>
    <x v="2"/>
    <x v="2"/>
    <n v="2"/>
    <n v="1799"/>
    <n v="0.15"/>
    <n v="3058.3"/>
    <n v="850"/>
    <n v="1700"/>
    <n v="80"/>
    <n v="1278.3"/>
  </r>
  <r>
    <s v="ORD01010"/>
    <x v="548"/>
    <s v="C0285"/>
    <s v="Small Business"/>
    <s v="Kolkata"/>
    <x v="7"/>
    <x v="0"/>
    <s v="Net Banking"/>
    <s v="P008"/>
    <x v="2"/>
    <x v="2"/>
    <n v="1"/>
    <n v="1799"/>
    <n v="0"/>
    <n v="1799"/>
    <n v="850"/>
    <n v="850"/>
    <n v="40"/>
    <n v="909"/>
  </r>
  <r>
    <s v="ORD00473"/>
    <x v="548"/>
    <s v="C0361"/>
    <s v="Corporate"/>
    <s v="Chennai"/>
    <x v="9"/>
    <x v="1"/>
    <s v="Credit Card"/>
    <s v="P004"/>
    <x v="3"/>
    <x v="1"/>
    <n v="3"/>
    <n v="499"/>
    <n v="0.15"/>
    <n v="1272.45"/>
    <n v="180"/>
    <n v="540"/>
    <n v="40"/>
    <n v="692.45"/>
  </r>
  <r>
    <s v="ORD01095"/>
    <x v="548"/>
    <s v="C0301"/>
    <s v="Small Business"/>
    <s v="Lucknow"/>
    <x v="8"/>
    <x v="2"/>
    <s v="Credit Card"/>
    <s v="P010"/>
    <x v="11"/>
    <x v="4"/>
    <n v="2"/>
    <n v="299"/>
    <n v="0.15"/>
    <n v="508.3"/>
    <n v="110"/>
    <n v="220"/>
    <n v="40"/>
    <n v="248.3"/>
  </r>
  <r>
    <s v="ORD00247"/>
    <x v="549"/>
    <s v="C0153"/>
    <s v="Consumer"/>
    <s v="Lucknow"/>
    <x v="8"/>
    <x v="1"/>
    <s v="Debit Card"/>
    <s v="P008"/>
    <x v="2"/>
    <x v="2"/>
    <n v="1"/>
    <n v="1799"/>
    <n v="0"/>
    <n v="1799"/>
    <n v="850"/>
    <n v="850"/>
    <n v="60"/>
    <n v="889"/>
  </r>
  <r>
    <s v="ORD00336"/>
    <x v="550"/>
    <s v="C0317"/>
    <s v="Consumer"/>
    <s v="Jaipur"/>
    <x v="4"/>
    <x v="0"/>
    <s v="Debit Card"/>
    <s v="P007"/>
    <x v="4"/>
    <x v="3"/>
    <n v="2"/>
    <n v="999"/>
    <n v="0.05"/>
    <n v="1898.1"/>
    <n v="520"/>
    <n v="1040"/>
    <n v="60"/>
    <n v="798.1"/>
  </r>
  <r>
    <s v="ORD00757"/>
    <x v="550"/>
    <s v="C0411"/>
    <s v="Consumer"/>
    <s v="Hyderabad"/>
    <x v="0"/>
    <x v="1"/>
    <s v="Cash on Delivery"/>
    <s v="P011"/>
    <x v="7"/>
    <x v="1"/>
    <n v="3"/>
    <n v="6999"/>
    <n v="0.05"/>
    <n v="19947.150000000001"/>
    <n v="4900"/>
    <n v="14700"/>
    <n v="60"/>
    <n v="5187.1499999999996"/>
  </r>
  <r>
    <s v="ORD01028"/>
    <x v="550"/>
    <s v="C0027"/>
    <s v="Corporate"/>
    <s v="Lucknow"/>
    <x v="8"/>
    <x v="1"/>
    <s v="Net Banking"/>
    <s v="P011"/>
    <x v="7"/>
    <x v="1"/>
    <n v="2"/>
    <n v="6999"/>
    <n v="0"/>
    <n v="13998"/>
    <n v="4900"/>
    <n v="9800"/>
    <n v="0"/>
    <n v="4198"/>
  </r>
  <r>
    <s v="ORD00686"/>
    <x v="551"/>
    <s v="C0172"/>
    <s v="Small Business"/>
    <s v="Delhi"/>
    <x v="5"/>
    <x v="0"/>
    <s v="Credit Card"/>
    <s v="P003"/>
    <x v="10"/>
    <x v="0"/>
    <n v="1"/>
    <n v="1599"/>
    <n v="0.1"/>
    <n v="1439.1"/>
    <n v="900"/>
    <n v="900"/>
    <n v="0"/>
    <n v="539.1"/>
  </r>
  <r>
    <s v="ORD00787"/>
    <x v="551"/>
    <s v="C0003"/>
    <s v="Small Business"/>
    <s v="Kolkata"/>
    <x v="7"/>
    <x v="2"/>
    <s v="Credit Card"/>
    <s v="P002"/>
    <x v="5"/>
    <x v="0"/>
    <n v="2"/>
    <n v="2499"/>
    <n v="0.05"/>
    <n v="4748.1000000000004"/>
    <n v="1450"/>
    <n v="2900"/>
    <n v="60"/>
    <n v="1788.1"/>
  </r>
  <r>
    <s v="ORD00374"/>
    <x v="551"/>
    <s v="C0007"/>
    <s v="Small Business"/>
    <s v="Pune"/>
    <x v="3"/>
    <x v="2"/>
    <s v="UPI"/>
    <s v="P010"/>
    <x v="11"/>
    <x v="4"/>
    <n v="1"/>
    <n v="299"/>
    <n v="0.2"/>
    <n v="239.2"/>
    <n v="110"/>
    <n v="110"/>
    <n v="40"/>
    <n v="89.2"/>
  </r>
  <r>
    <s v="ORD00630"/>
    <x v="552"/>
    <s v="C0050"/>
    <s v="Small Business"/>
    <s v="Pune"/>
    <x v="3"/>
    <x v="0"/>
    <s v="UPI"/>
    <s v="P005"/>
    <x v="1"/>
    <x v="1"/>
    <n v="1"/>
    <n v="1299"/>
    <n v="0.2"/>
    <n v="1039.2"/>
    <n v="700"/>
    <n v="700"/>
    <n v="60"/>
    <n v="279.2"/>
  </r>
  <r>
    <s v="ORD01076"/>
    <x v="552"/>
    <s v="C0222"/>
    <s v="Corporate"/>
    <s v="Ahmedabad"/>
    <x v="6"/>
    <x v="1"/>
    <s v="Credit Card"/>
    <s v="P003"/>
    <x v="10"/>
    <x v="0"/>
    <n v="1"/>
    <n v="1599"/>
    <n v="0"/>
    <n v="1599"/>
    <n v="900"/>
    <n v="900"/>
    <n v="100"/>
    <n v="599"/>
  </r>
  <r>
    <s v="ORD00674"/>
    <x v="552"/>
    <s v="C0041"/>
    <s v="Small Business"/>
    <s v="Chennai"/>
    <x v="9"/>
    <x v="1"/>
    <s v="Credit Card"/>
    <s v="P004"/>
    <x v="3"/>
    <x v="1"/>
    <n v="2"/>
    <n v="499"/>
    <n v="0"/>
    <n v="998"/>
    <n v="180"/>
    <n v="360"/>
    <n v="0"/>
    <n v="638"/>
  </r>
  <r>
    <s v="ORD00400"/>
    <x v="553"/>
    <s v="C0211"/>
    <s v="Small Business"/>
    <s v="Jaipur"/>
    <x v="4"/>
    <x v="1"/>
    <s v="UPI"/>
    <s v="P010"/>
    <x v="11"/>
    <x v="4"/>
    <n v="2"/>
    <n v="299"/>
    <n v="0.2"/>
    <n v="478.4"/>
    <n v="110"/>
    <n v="220"/>
    <n v="60"/>
    <n v="198.4"/>
  </r>
  <r>
    <s v="ORD00542"/>
    <x v="553"/>
    <s v="C0082"/>
    <s v="Consumer"/>
    <s v="Jaipur"/>
    <x v="4"/>
    <x v="0"/>
    <s v="Cash on Delivery"/>
    <s v="P011"/>
    <x v="7"/>
    <x v="1"/>
    <n v="1"/>
    <n v="6999"/>
    <n v="0.15"/>
    <n v="5949.15"/>
    <n v="4900"/>
    <n v="4900"/>
    <n v="40"/>
    <n v="1009.15"/>
  </r>
  <r>
    <s v="ORD00767"/>
    <x v="553"/>
    <s v="C0018"/>
    <s v="Consumer"/>
    <s v="Pune"/>
    <x v="3"/>
    <x v="2"/>
    <s v="Cash on Delivery"/>
    <s v="P011"/>
    <x v="7"/>
    <x v="1"/>
    <n v="1"/>
    <n v="6999"/>
    <n v="0.1"/>
    <n v="6299.1"/>
    <n v="4900"/>
    <n v="4900"/>
    <n v="60"/>
    <n v="1339.1"/>
  </r>
  <r>
    <s v="ORD01500"/>
    <x v="554"/>
    <s v="C0040"/>
    <s v="Consumer"/>
    <s v="Chennai"/>
    <x v="9"/>
    <x v="2"/>
    <s v="Cash on Delivery"/>
    <s v="P003"/>
    <x v="10"/>
    <x v="0"/>
    <n v="1"/>
    <n v="1599"/>
    <n v="0.1"/>
    <n v="1439.1"/>
    <n v="900"/>
    <n v="900"/>
    <n v="0"/>
    <n v="539.1"/>
  </r>
  <r>
    <s v="ORD00557"/>
    <x v="554"/>
    <s v="C0048"/>
    <s v="Corporate"/>
    <s v="Pune"/>
    <x v="3"/>
    <x v="0"/>
    <s v="Credit Card"/>
    <s v="P010"/>
    <x v="11"/>
    <x v="4"/>
    <n v="1"/>
    <n v="299"/>
    <n v="0.15"/>
    <n v="254.15"/>
    <n v="110"/>
    <n v="110"/>
    <n v="100"/>
    <n v="44.15"/>
  </r>
  <r>
    <s v="ORD01019"/>
    <x v="554"/>
    <s v="C0329"/>
    <s v="Small Business"/>
    <s v="Kolkata"/>
    <x v="7"/>
    <x v="0"/>
    <s v="UPI"/>
    <s v="P005"/>
    <x v="1"/>
    <x v="1"/>
    <n v="2"/>
    <n v="1299"/>
    <n v="0.1"/>
    <n v="2338.1999999999998"/>
    <n v="700"/>
    <n v="1400"/>
    <n v="0"/>
    <n v="938.2"/>
  </r>
  <r>
    <s v="ORD00175"/>
    <x v="554"/>
    <s v="C0406"/>
    <s v="Small Business"/>
    <s v="Lucknow"/>
    <x v="8"/>
    <x v="2"/>
    <s v="Net Banking"/>
    <s v="P010"/>
    <x v="11"/>
    <x v="4"/>
    <n v="2"/>
    <n v="299"/>
    <n v="0.1"/>
    <n v="538.20000000000005"/>
    <n v="110"/>
    <n v="220"/>
    <n v="100"/>
    <n v="218.2"/>
  </r>
  <r>
    <s v="ORD00209"/>
    <x v="554"/>
    <s v="C0327"/>
    <s v="Corporate"/>
    <s v="Indore"/>
    <x v="1"/>
    <x v="1"/>
    <s v="Cash on Delivery"/>
    <s v="P007"/>
    <x v="4"/>
    <x v="3"/>
    <n v="1"/>
    <n v="999"/>
    <n v="0"/>
    <n v="999"/>
    <n v="520"/>
    <n v="520"/>
    <n v="0"/>
    <n v="479"/>
  </r>
  <r>
    <s v="ORD00337"/>
    <x v="554"/>
    <s v="C0123"/>
    <s v="Corporate"/>
    <s v="Pune"/>
    <x v="3"/>
    <x v="2"/>
    <s v="Credit Card"/>
    <s v="P010"/>
    <x v="11"/>
    <x v="4"/>
    <n v="1"/>
    <n v="299"/>
    <n v="0"/>
    <n v="299"/>
    <n v="110"/>
    <n v="110"/>
    <n v="60"/>
    <n v="129"/>
  </r>
  <r>
    <s v="ORD00699"/>
    <x v="554"/>
    <s v="C0414"/>
    <s v="Consumer"/>
    <s v="Jaipur"/>
    <x v="4"/>
    <x v="0"/>
    <s v="Credit Card"/>
    <s v="P010"/>
    <x v="11"/>
    <x v="4"/>
    <n v="2"/>
    <n v="299"/>
    <n v="0.2"/>
    <n v="478.4"/>
    <n v="110"/>
    <n v="220"/>
    <n v="80"/>
    <n v="178.4"/>
  </r>
  <r>
    <s v="ORD00198"/>
    <x v="554"/>
    <s v="C0343"/>
    <s v="Consumer"/>
    <s v="Indore"/>
    <x v="1"/>
    <x v="0"/>
    <s v="Debit Card"/>
    <s v="P006"/>
    <x v="8"/>
    <x v="3"/>
    <n v="1"/>
    <n v="2999"/>
    <n v="0.1"/>
    <n v="2699.1"/>
    <n v="1750"/>
    <n v="1750"/>
    <n v="40"/>
    <n v="909.1"/>
  </r>
  <r>
    <s v="ORD00507"/>
    <x v="555"/>
    <s v="C0122"/>
    <s v="Small Business"/>
    <s v="Kolkata"/>
    <x v="7"/>
    <x v="0"/>
    <s v="Debit Card"/>
    <s v="P011"/>
    <x v="7"/>
    <x v="1"/>
    <n v="3"/>
    <n v="6999"/>
    <n v="0"/>
    <n v="20997"/>
    <n v="4900"/>
    <n v="14700"/>
    <n v="100"/>
    <n v="6197"/>
  </r>
  <r>
    <s v="ORD01499"/>
    <x v="555"/>
    <s v="C0402"/>
    <s v="Consumer"/>
    <s v="Mumbai"/>
    <x v="3"/>
    <x v="2"/>
    <s v="UPI"/>
    <s v="P011"/>
    <x v="7"/>
    <x v="1"/>
    <n v="4"/>
    <n v="6999"/>
    <n v="0"/>
    <n v="27996"/>
    <n v="4900"/>
    <n v="19600"/>
    <n v="40"/>
    <n v="8356"/>
  </r>
  <r>
    <s v="ORD01421"/>
    <x v="555"/>
    <s v="C0415"/>
    <s v="Small Business"/>
    <s v="Indore"/>
    <x v="1"/>
    <x v="2"/>
    <s v="UPI"/>
    <s v="P005"/>
    <x v="1"/>
    <x v="1"/>
    <n v="1"/>
    <n v="1299"/>
    <n v="0.2"/>
    <n v="1039.2"/>
    <n v="700"/>
    <n v="700"/>
    <n v="60"/>
    <n v="279.2"/>
  </r>
  <r>
    <s v="ORD00701"/>
    <x v="555"/>
    <s v="C0413"/>
    <s v="Small Business"/>
    <s v="Lucknow"/>
    <x v="8"/>
    <x v="2"/>
    <s v="UPI"/>
    <s v="P007"/>
    <x v="4"/>
    <x v="3"/>
    <n v="1"/>
    <n v="999"/>
    <n v="0.05"/>
    <n v="949.05"/>
    <n v="520"/>
    <n v="520"/>
    <n v="60"/>
    <n v="369.05"/>
  </r>
  <r>
    <s v="ORD00721"/>
    <x v="556"/>
    <s v="C0387"/>
    <s v="Corporate"/>
    <s v="Pune"/>
    <x v="3"/>
    <x v="0"/>
    <s v="Credit Card"/>
    <s v="P006"/>
    <x v="8"/>
    <x v="3"/>
    <n v="1"/>
    <n v="2999"/>
    <n v="0"/>
    <n v="2999"/>
    <n v="1750"/>
    <n v="1750"/>
    <n v="100"/>
    <n v="1149"/>
  </r>
  <r>
    <s v="ORD00909"/>
    <x v="557"/>
    <s v="C0088"/>
    <s v="Small Business"/>
    <s v="Chennai"/>
    <x v="9"/>
    <x v="2"/>
    <s v="UPI"/>
    <s v="P007"/>
    <x v="4"/>
    <x v="3"/>
    <n v="2"/>
    <n v="999"/>
    <n v="0"/>
    <n v="1998"/>
    <n v="520"/>
    <n v="1040"/>
    <n v="0"/>
    <n v="958"/>
  </r>
  <r>
    <s v="ORD01128"/>
    <x v="558"/>
    <s v="C0339"/>
    <s v="Consumer"/>
    <s v="Kolkata"/>
    <x v="7"/>
    <x v="2"/>
    <s v="Debit Card"/>
    <s v="P011"/>
    <x v="7"/>
    <x v="1"/>
    <n v="2"/>
    <n v="6999"/>
    <n v="0.1"/>
    <n v="12598.2"/>
    <n v="4900"/>
    <n v="9800"/>
    <n v="100"/>
    <n v="2698.2"/>
  </r>
  <r>
    <s v="ORD01026"/>
    <x v="559"/>
    <s v="C0064"/>
    <s v="Consumer"/>
    <s v="Bhopal"/>
    <x v="1"/>
    <x v="2"/>
    <s v="UPI"/>
    <s v="P008"/>
    <x v="2"/>
    <x v="2"/>
    <n v="3"/>
    <n v="1799"/>
    <n v="0.2"/>
    <n v="4317.6000000000004"/>
    <n v="850"/>
    <n v="2550"/>
    <n v="80"/>
    <n v="1687.6"/>
  </r>
  <r>
    <s v="ORD00299"/>
    <x v="559"/>
    <s v="C0041"/>
    <s v="Corporate"/>
    <s v="Kolkata"/>
    <x v="7"/>
    <x v="1"/>
    <s v="Net Banking"/>
    <s v="P009"/>
    <x v="9"/>
    <x v="2"/>
    <n v="1"/>
    <n v="599"/>
    <n v="0.05"/>
    <n v="569.04999999999995"/>
    <n v="240"/>
    <n v="240"/>
    <n v="60"/>
    <n v="269.05"/>
  </r>
  <r>
    <s v="ORD00807"/>
    <x v="560"/>
    <s v="C0187"/>
    <s v="Consumer"/>
    <s v="Indore"/>
    <x v="1"/>
    <x v="2"/>
    <s v="Net Banking"/>
    <s v="P006"/>
    <x v="8"/>
    <x v="3"/>
    <n v="3"/>
    <n v="2999"/>
    <n v="0"/>
    <n v="8997"/>
    <n v="1750"/>
    <n v="5250"/>
    <n v="100"/>
    <n v="3647"/>
  </r>
  <r>
    <s v="ORD00727"/>
    <x v="560"/>
    <s v="C0175"/>
    <s v="Consumer"/>
    <s v="Pune"/>
    <x v="3"/>
    <x v="0"/>
    <s v="Cash on Delivery"/>
    <s v="P004"/>
    <x v="3"/>
    <x v="1"/>
    <n v="2"/>
    <n v="499"/>
    <n v="0.1"/>
    <n v="898.2"/>
    <n v="180"/>
    <n v="360"/>
    <n v="80"/>
    <n v="458.2"/>
  </r>
  <r>
    <s v="ORD00458"/>
    <x v="560"/>
    <s v="C0445"/>
    <s v="Small Business"/>
    <s v="Pune"/>
    <x v="3"/>
    <x v="1"/>
    <s v="Cash on Delivery"/>
    <s v="P002"/>
    <x v="5"/>
    <x v="0"/>
    <n v="2"/>
    <n v="2499"/>
    <n v="0"/>
    <n v="4998"/>
    <n v="1450"/>
    <n v="2900"/>
    <n v="100"/>
    <n v="1998"/>
  </r>
  <r>
    <s v="ORD01431"/>
    <x v="561"/>
    <s v="C0303"/>
    <s v="Consumer"/>
    <s v="Delhi"/>
    <x v="5"/>
    <x v="2"/>
    <s v="Cash on Delivery"/>
    <s v="P001"/>
    <x v="0"/>
    <x v="0"/>
    <n v="1"/>
    <n v="799"/>
    <n v="0"/>
    <n v="799"/>
    <n v="420"/>
    <n v="420"/>
    <n v="60"/>
    <n v="319"/>
  </r>
  <r>
    <s v="ORD00660"/>
    <x v="562"/>
    <s v="C0299"/>
    <s v="Small Business"/>
    <s v="Kolkata"/>
    <x v="7"/>
    <x v="0"/>
    <s v="UPI"/>
    <s v="P012"/>
    <x v="6"/>
    <x v="0"/>
    <n v="5"/>
    <n v="2199"/>
    <n v="0.2"/>
    <n v="8796"/>
    <n v="1250"/>
    <n v="6250"/>
    <n v="0"/>
    <n v="2546"/>
  </r>
  <r>
    <s v="ORD00953"/>
    <x v="562"/>
    <s v="C0083"/>
    <s v="Corporate"/>
    <s v="Mumbai"/>
    <x v="3"/>
    <x v="0"/>
    <s v="Credit Card"/>
    <s v="P011"/>
    <x v="7"/>
    <x v="1"/>
    <n v="1"/>
    <n v="6999"/>
    <n v="0.2"/>
    <n v="5599.2"/>
    <n v="4900"/>
    <n v="4900"/>
    <n v="80"/>
    <n v="619.20000000000005"/>
  </r>
  <r>
    <s v="ORD00469"/>
    <x v="563"/>
    <s v="C0429"/>
    <s v="Consumer"/>
    <s v="Indore"/>
    <x v="1"/>
    <x v="2"/>
    <s v="UPI"/>
    <s v="P001"/>
    <x v="0"/>
    <x v="0"/>
    <n v="2"/>
    <n v="799"/>
    <n v="0"/>
    <n v="1598"/>
    <n v="420"/>
    <n v="840"/>
    <n v="0"/>
    <n v="758"/>
  </r>
  <r>
    <s v="ORD01357"/>
    <x v="563"/>
    <s v="C0034"/>
    <s v="Corporate"/>
    <s v="Hyderabad"/>
    <x v="0"/>
    <x v="2"/>
    <s v="Net Banking"/>
    <s v="P009"/>
    <x v="9"/>
    <x v="2"/>
    <n v="2"/>
    <n v="599"/>
    <n v="0.05"/>
    <n v="1138.0999999999999"/>
    <n v="240"/>
    <n v="480"/>
    <n v="80"/>
    <n v="578.1"/>
  </r>
  <r>
    <s v="ORD00148"/>
    <x v="564"/>
    <s v="C0306"/>
    <s v="Small Business"/>
    <s v="Kolkata"/>
    <x v="7"/>
    <x v="1"/>
    <s v="Net Banking"/>
    <s v="P011"/>
    <x v="7"/>
    <x v="1"/>
    <n v="2"/>
    <n v="6999"/>
    <n v="0.2"/>
    <n v="11198.4"/>
    <n v="4900"/>
    <n v="9800"/>
    <n v="60"/>
    <n v="1338.4"/>
  </r>
  <r>
    <s v="ORD00990"/>
    <x v="564"/>
    <s v="C0174"/>
    <s v="Small Business"/>
    <s v="Kolkata"/>
    <x v="7"/>
    <x v="2"/>
    <s v="Net Banking"/>
    <s v="P011"/>
    <x v="7"/>
    <x v="1"/>
    <n v="2"/>
    <n v="6999"/>
    <n v="0.1"/>
    <n v="12598.2"/>
    <n v="4900"/>
    <n v="9800"/>
    <n v="40"/>
    <n v="2758.2"/>
  </r>
  <r>
    <s v="ORD00666"/>
    <x v="565"/>
    <s v="C0321"/>
    <s v="Corporate"/>
    <s v="Mumbai"/>
    <x v="3"/>
    <x v="1"/>
    <s v="UPI"/>
    <s v="P005"/>
    <x v="1"/>
    <x v="1"/>
    <n v="1"/>
    <n v="1299"/>
    <n v="0.15"/>
    <n v="1104.1500000000001"/>
    <n v="700"/>
    <n v="700"/>
    <n v="60"/>
    <n v="344.15"/>
  </r>
  <r>
    <s v="ORD00610"/>
    <x v="565"/>
    <s v="C0333"/>
    <s v="Small Business"/>
    <s v="Hyderabad"/>
    <x v="0"/>
    <x v="0"/>
    <s v="Debit Card"/>
    <s v="P004"/>
    <x v="3"/>
    <x v="1"/>
    <n v="2"/>
    <n v="499"/>
    <n v="0.15"/>
    <n v="848.3"/>
    <n v="180"/>
    <n v="360"/>
    <n v="60"/>
    <n v="428.3"/>
  </r>
  <r>
    <s v="ORD00464"/>
    <x v="566"/>
    <s v="C0067"/>
    <s v="Consumer"/>
    <s v="Hyderabad"/>
    <x v="0"/>
    <x v="1"/>
    <s v="Cash on Delivery"/>
    <s v="P012"/>
    <x v="6"/>
    <x v="0"/>
    <n v="1"/>
    <n v="2199"/>
    <n v="0.2"/>
    <n v="1759.2"/>
    <n v="1250"/>
    <n v="1250"/>
    <n v="60"/>
    <n v="449.2"/>
  </r>
  <r>
    <s v="ORD00908"/>
    <x v="566"/>
    <s v="C0360"/>
    <s v="Consumer"/>
    <s v="Hyderabad"/>
    <x v="0"/>
    <x v="2"/>
    <s v="Net Banking"/>
    <s v="P004"/>
    <x v="3"/>
    <x v="1"/>
    <n v="4"/>
    <n v="499"/>
    <n v="0.1"/>
    <n v="1796.4"/>
    <n v="180"/>
    <n v="720"/>
    <n v="40"/>
    <n v="1036.4000000000001"/>
  </r>
  <r>
    <s v="ORD00708"/>
    <x v="566"/>
    <s v="C0096"/>
    <s v="Small Business"/>
    <s v="Kolkata"/>
    <x v="7"/>
    <x v="2"/>
    <s v="Debit Card"/>
    <s v="P009"/>
    <x v="9"/>
    <x v="2"/>
    <n v="3"/>
    <n v="599"/>
    <n v="0.15"/>
    <n v="1527.45"/>
    <n v="240"/>
    <n v="720"/>
    <n v="100"/>
    <n v="707.45"/>
  </r>
  <r>
    <s v="ORD01228"/>
    <x v="567"/>
    <s v="C0377"/>
    <s v="Corporate"/>
    <s v="Lucknow"/>
    <x v="8"/>
    <x v="0"/>
    <s v="UPI"/>
    <s v="P010"/>
    <x v="11"/>
    <x v="4"/>
    <n v="1"/>
    <n v="299"/>
    <n v="0"/>
    <n v="299"/>
    <n v="110"/>
    <n v="110"/>
    <n v="0"/>
    <n v="189"/>
  </r>
  <r>
    <s v="ORD00691"/>
    <x v="568"/>
    <s v="C0076"/>
    <s v="Consumer"/>
    <s v="Delhi"/>
    <x v="5"/>
    <x v="0"/>
    <s v="Debit Card"/>
    <s v="P009"/>
    <x v="9"/>
    <x v="2"/>
    <n v="3"/>
    <n v="599"/>
    <n v="0"/>
    <n v="1797"/>
    <n v="240"/>
    <n v="720"/>
    <n v="0"/>
    <n v="1077"/>
  </r>
  <r>
    <s v="ORD00093"/>
    <x v="569"/>
    <s v="C0044"/>
    <s v="Consumer"/>
    <s v="Hyderabad"/>
    <x v="0"/>
    <x v="2"/>
    <s v="Cash on Delivery"/>
    <s v="P011"/>
    <x v="7"/>
    <x v="1"/>
    <n v="1"/>
    <n v="6999"/>
    <n v="0"/>
    <n v="6999"/>
    <n v="4900"/>
    <n v="4900"/>
    <n v="100"/>
    <n v="1999"/>
  </r>
  <r>
    <s v="ORD00748"/>
    <x v="569"/>
    <s v="C0150"/>
    <s v="Small Business"/>
    <s v="Indore"/>
    <x v="1"/>
    <x v="0"/>
    <s v="UPI"/>
    <s v="P008"/>
    <x v="2"/>
    <x v="2"/>
    <n v="2"/>
    <n v="1799"/>
    <n v="0.15"/>
    <n v="3058.3"/>
    <n v="850"/>
    <n v="1700"/>
    <n v="0"/>
    <n v="1358.3"/>
  </r>
  <r>
    <s v="ORD01445"/>
    <x v="570"/>
    <s v="C0359"/>
    <s v="Consumer"/>
    <s v="Jaipur"/>
    <x v="4"/>
    <x v="0"/>
    <s v="Credit Card"/>
    <s v="P008"/>
    <x v="2"/>
    <x v="2"/>
    <n v="3"/>
    <n v="1799"/>
    <n v="0.1"/>
    <n v="4857.3"/>
    <n v="850"/>
    <n v="2550"/>
    <n v="60"/>
    <n v="2247.3000000000002"/>
  </r>
  <r>
    <s v="ORD00903"/>
    <x v="570"/>
    <s v="C0103"/>
    <s v="Small Business"/>
    <s v="Kolkata"/>
    <x v="7"/>
    <x v="1"/>
    <s v="Debit Card"/>
    <s v="P008"/>
    <x v="2"/>
    <x v="2"/>
    <n v="3"/>
    <n v="1799"/>
    <n v="0"/>
    <n v="5397"/>
    <n v="850"/>
    <n v="2550"/>
    <n v="0"/>
    <n v="2847"/>
  </r>
  <r>
    <s v="ORD01475"/>
    <x v="571"/>
    <s v="C0336"/>
    <s v="Corporate"/>
    <s v="Kolkata"/>
    <x v="7"/>
    <x v="2"/>
    <s v="Debit Card"/>
    <s v="P012"/>
    <x v="6"/>
    <x v="0"/>
    <n v="1"/>
    <n v="2199"/>
    <n v="0.05"/>
    <n v="2089.0500000000002"/>
    <n v="1250"/>
    <n v="1250"/>
    <n v="0"/>
    <n v="839.05"/>
  </r>
  <r>
    <s v="ORD01297"/>
    <x v="571"/>
    <s v="C0082"/>
    <s v="Corporate"/>
    <s v="Lucknow"/>
    <x v="8"/>
    <x v="2"/>
    <s v="UPI"/>
    <s v="P010"/>
    <x v="11"/>
    <x v="4"/>
    <n v="3"/>
    <n v="299"/>
    <n v="0.2"/>
    <n v="717.6"/>
    <n v="110"/>
    <n v="330"/>
    <n v="60"/>
    <n v="327.60000000000002"/>
  </r>
  <r>
    <s v="ORD01144"/>
    <x v="571"/>
    <s v="C0415"/>
    <s v="Corporate"/>
    <s v="Mumbai"/>
    <x v="3"/>
    <x v="2"/>
    <s v="Credit Card"/>
    <s v="P004"/>
    <x v="3"/>
    <x v="1"/>
    <n v="2"/>
    <n v="499"/>
    <n v="0.2"/>
    <n v="798.4"/>
    <n v="180"/>
    <n v="360"/>
    <n v="80"/>
    <n v="358.4"/>
  </r>
  <r>
    <s v="ORD01168"/>
    <x v="572"/>
    <s v="C0337"/>
    <s v="Small Business"/>
    <s v="Bhopal"/>
    <x v="1"/>
    <x v="0"/>
    <s v="Cash on Delivery"/>
    <s v="P012"/>
    <x v="6"/>
    <x v="0"/>
    <n v="2"/>
    <n v="2199"/>
    <n v="0.2"/>
    <n v="3518.4"/>
    <n v="1250"/>
    <n v="2500"/>
    <n v="60"/>
    <n v="958.4"/>
  </r>
  <r>
    <s v="ORD00120"/>
    <x v="572"/>
    <s v="C0154"/>
    <s v="Consumer"/>
    <s v="Ahmedabad"/>
    <x v="6"/>
    <x v="2"/>
    <s v="Debit Card"/>
    <s v="P012"/>
    <x v="6"/>
    <x v="0"/>
    <n v="3"/>
    <n v="2199"/>
    <n v="0.1"/>
    <n v="5937.3"/>
    <n v="1250"/>
    <n v="3750"/>
    <n v="40"/>
    <n v="2147.3000000000002"/>
  </r>
  <r>
    <s v="ORD01001"/>
    <x v="572"/>
    <s v="C0301"/>
    <s v="Small Business"/>
    <s v="Lucknow"/>
    <x v="8"/>
    <x v="2"/>
    <s v="Credit Card"/>
    <s v="P004"/>
    <x v="3"/>
    <x v="1"/>
    <n v="4"/>
    <n v="499"/>
    <n v="0"/>
    <n v="1996"/>
    <n v="180"/>
    <n v="720"/>
    <n v="60"/>
    <n v="1216"/>
  </r>
  <r>
    <s v="ORD01288"/>
    <x v="573"/>
    <s v="C0046"/>
    <s v="Small Business"/>
    <s v="Pune"/>
    <x v="3"/>
    <x v="2"/>
    <s v="Cash on Delivery"/>
    <s v="P005"/>
    <x v="1"/>
    <x v="1"/>
    <n v="2"/>
    <n v="1299"/>
    <n v="0"/>
    <n v="2598"/>
    <n v="700"/>
    <n v="1400"/>
    <n v="0"/>
    <n v="1198"/>
  </r>
  <r>
    <s v="ORD00461"/>
    <x v="573"/>
    <s v="C0296"/>
    <s v="Consumer"/>
    <s v="Delhi"/>
    <x v="5"/>
    <x v="1"/>
    <s v="UPI"/>
    <s v="P001"/>
    <x v="0"/>
    <x v="0"/>
    <n v="1"/>
    <n v="799"/>
    <n v="0.05"/>
    <n v="759.05"/>
    <n v="420"/>
    <n v="420"/>
    <n v="40"/>
    <n v="299.05"/>
  </r>
  <r>
    <s v="ORD00443"/>
    <x v="574"/>
    <s v="C0305"/>
    <s v="Corporate"/>
    <s v="Jaipur"/>
    <x v="4"/>
    <x v="2"/>
    <s v="Net Banking"/>
    <s v="P002"/>
    <x v="5"/>
    <x v="0"/>
    <n v="2"/>
    <n v="2499"/>
    <n v="0"/>
    <n v="4998"/>
    <n v="1450"/>
    <n v="2900"/>
    <n v="60"/>
    <n v="2038"/>
  </r>
  <r>
    <s v="ORD01122"/>
    <x v="575"/>
    <s v="C0142"/>
    <s v="Consumer"/>
    <s v="Pune"/>
    <x v="3"/>
    <x v="1"/>
    <s v="UPI"/>
    <s v="P003"/>
    <x v="10"/>
    <x v="0"/>
    <n v="1"/>
    <n v="1599"/>
    <n v="0"/>
    <n v="1599"/>
    <n v="900"/>
    <n v="900"/>
    <n v="80"/>
    <n v="619"/>
  </r>
  <r>
    <s v="ORD00753"/>
    <x v="576"/>
    <s v="C0329"/>
    <s v="Corporate"/>
    <s v="Mumbai"/>
    <x v="3"/>
    <x v="2"/>
    <s v="UPI"/>
    <s v="P003"/>
    <x v="10"/>
    <x v="0"/>
    <n v="1"/>
    <n v="1599"/>
    <n v="0.2"/>
    <n v="1279.2"/>
    <n v="900"/>
    <n v="900"/>
    <n v="60"/>
    <n v="319.2"/>
  </r>
  <r>
    <s v="ORD00091"/>
    <x v="577"/>
    <s v="C0241"/>
    <s v="Corporate"/>
    <s v="Hyderabad"/>
    <x v="0"/>
    <x v="1"/>
    <s v="Debit Card"/>
    <s v="P008"/>
    <x v="2"/>
    <x v="2"/>
    <n v="1"/>
    <n v="1799"/>
    <n v="0"/>
    <n v="1799"/>
    <n v="850"/>
    <n v="850"/>
    <n v="100"/>
    <n v="849"/>
  </r>
  <r>
    <s v="ORD00454"/>
    <x v="577"/>
    <s v="C0154"/>
    <s v="Consumer"/>
    <s v="Lucknow"/>
    <x v="8"/>
    <x v="0"/>
    <s v="Cash on Delivery"/>
    <s v="P008"/>
    <x v="2"/>
    <x v="2"/>
    <n v="4"/>
    <n v="1799"/>
    <n v="0.2"/>
    <n v="5756.8"/>
    <n v="850"/>
    <n v="3400"/>
    <n v="60"/>
    <n v="2296.8000000000002"/>
  </r>
  <r>
    <s v="ORD00001"/>
    <x v="578"/>
    <s v="C0072"/>
    <s v="Small Business"/>
    <s v="Bengaluru"/>
    <x v="2"/>
    <x v="2"/>
    <s v="Cash on Delivery"/>
    <s v="P002"/>
    <x v="5"/>
    <x v="0"/>
    <n v="1"/>
    <n v="2499"/>
    <n v="0.05"/>
    <n v="2374.0500000000002"/>
    <n v="1450"/>
    <n v="1450"/>
    <n v="40"/>
    <n v="884.05"/>
  </r>
  <r>
    <s v="ORD00260"/>
    <x v="578"/>
    <s v="C0206"/>
    <s v="Small Business"/>
    <s v="Pune"/>
    <x v="3"/>
    <x v="2"/>
    <s v="Credit Card"/>
    <s v="P007"/>
    <x v="4"/>
    <x v="3"/>
    <n v="3"/>
    <n v="999"/>
    <n v="0.15"/>
    <n v="2547.4499999999998"/>
    <n v="520"/>
    <n v="1560"/>
    <n v="60"/>
    <n v="927.45"/>
  </r>
  <r>
    <s v="ORD00018"/>
    <x v="578"/>
    <s v="C0277"/>
    <s v="Small Business"/>
    <s v="Delhi"/>
    <x v="5"/>
    <x v="2"/>
    <s v="Cash on Delivery"/>
    <s v="P009"/>
    <x v="9"/>
    <x v="2"/>
    <n v="2"/>
    <n v="599"/>
    <n v="0"/>
    <n v="1198"/>
    <n v="240"/>
    <n v="480"/>
    <n v="60"/>
    <n v="658"/>
  </r>
  <r>
    <s v="ORD00226"/>
    <x v="578"/>
    <s v="C0329"/>
    <s v="Corporate"/>
    <s v="Hyderabad"/>
    <x v="0"/>
    <x v="1"/>
    <s v="Credit Card"/>
    <s v="P001"/>
    <x v="0"/>
    <x v="0"/>
    <n v="2"/>
    <n v="799"/>
    <n v="0.2"/>
    <n v="1278.4000000000001"/>
    <n v="420"/>
    <n v="840"/>
    <n v="100"/>
    <n v="338.4"/>
  </r>
  <r>
    <s v="ORD00702"/>
    <x v="579"/>
    <s v="C0154"/>
    <s v="Small Business"/>
    <s v="Hyderabad"/>
    <x v="0"/>
    <x v="0"/>
    <s v="Debit Card"/>
    <s v="P004"/>
    <x v="3"/>
    <x v="1"/>
    <n v="2"/>
    <n v="499"/>
    <n v="0.05"/>
    <n v="948.1"/>
    <n v="180"/>
    <n v="360"/>
    <n v="0"/>
    <n v="588.1"/>
  </r>
  <r>
    <s v="ORD00827"/>
    <x v="580"/>
    <s v="C0012"/>
    <s v="Consumer"/>
    <s v="Bengaluru"/>
    <x v="2"/>
    <x v="0"/>
    <s v="Net Banking"/>
    <s v="P004"/>
    <x v="3"/>
    <x v="1"/>
    <n v="2"/>
    <n v="499"/>
    <n v="0"/>
    <n v="998"/>
    <n v="180"/>
    <n v="360"/>
    <n v="60"/>
    <n v="578"/>
  </r>
  <r>
    <s v="ORD00140"/>
    <x v="581"/>
    <s v="C0125"/>
    <s v="Consumer"/>
    <s v="Chennai"/>
    <x v="9"/>
    <x v="0"/>
    <s v="Credit Card"/>
    <s v="P011"/>
    <x v="7"/>
    <x v="1"/>
    <n v="2"/>
    <n v="6999"/>
    <n v="0"/>
    <n v="13998"/>
    <n v="4900"/>
    <n v="9800"/>
    <n v="0"/>
    <n v="4198"/>
  </r>
  <r>
    <s v="ORD01295"/>
    <x v="582"/>
    <s v="C0326"/>
    <s v="Corporate"/>
    <s v="Delhi"/>
    <x v="5"/>
    <x v="0"/>
    <s v="Credit Card"/>
    <s v="P007"/>
    <x v="4"/>
    <x v="3"/>
    <n v="3"/>
    <n v="999"/>
    <n v="0.15"/>
    <n v="2547.4499999999998"/>
    <n v="520"/>
    <n v="1560"/>
    <n v="80"/>
    <n v="907.45"/>
  </r>
  <r>
    <s v="ORD00992"/>
    <x v="583"/>
    <s v="C0278"/>
    <s v="Small Business"/>
    <s v="Bhopal"/>
    <x v="1"/>
    <x v="2"/>
    <s v="Cash on Delivery"/>
    <s v="P002"/>
    <x v="5"/>
    <x v="0"/>
    <n v="2"/>
    <n v="2499"/>
    <n v="0"/>
    <n v="4998"/>
    <n v="1450"/>
    <n v="2900"/>
    <n v="40"/>
    <n v="2058"/>
  </r>
  <r>
    <s v="ORD01226"/>
    <x v="583"/>
    <s v="C0385"/>
    <s v="Consumer"/>
    <s v="Ahmedabad"/>
    <x v="6"/>
    <x v="0"/>
    <s v="UPI"/>
    <s v="P007"/>
    <x v="4"/>
    <x v="3"/>
    <n v="1"/>
    <n v="999"/>
    <n v="0.15"/>
    <n v="849.15"/>
    <n v="520"/>
    <n v="520"/>
    <n v="40"/>
    <n v="289.14999999999998"/>
  </r>
  <r>
    <s v="ORD00824"/>
    <x v="584"/>
    <s v="C0076"/>
    <s v="Small Business"/>
    <s v="Indore"/>
    <x v="1"/>
    <x v="0"/>
    <s v="Net Banking"/>
    <s v="P012"/>
    <x v="6"/>
    <x v="0"/>
    <n v="1"/>
    <n v="2199"/>
    <n v="0.05"/>
    <n v="2089.0500000000002"/>
    <n v="1250"/>
    <n v="1250"/>
    <n v="100"/>
    <n v="739.05"/>
  </r>
  <r>
    <s v="ORD00079"/>
    <x v="585"/>
    <s v="C0222"/>
    <s v="Corporate"/>
    <s v="Pune"/>
    <x v="3"/>
    <x v="0"/>
    <s v="Net Banking"/>
    <s v="P006"/>
    <x v="8"/>
    <x v="3"/>
    <n v="1"/>
    <n v="2999"/>
    <n v="0.1"/>
    <n v="2699.1"/>
    <n v="1750"/>
    <n v="1750"/>
    <n v="80"/>
    <n v="869.1"/>
  </r>
  <r>
    <s v="ORD01491"/>
    <x v="586"/>
    <s v="C0366"/>
    <s v="Corporate"/>
    <s v="Bhopal"/>
    <x v="1"/>
    <x v="0"/>
    <s v="Cash on Delivery"/>
    <s v="P003"/>
    <x v="10"/>
    <x v="0"/>
    <n v="1"/>
    <n v="1599"/>
    <n v="0.15"/>
    <n v="1359.15"/>
    <n v="900"/>
    <n v="900"/>
    <n v="40"/>
    <n v="419.15"/>
  </r>
  <r>
    <s v="ORD01152"/>
    <x v="586"/>
    <s v="C0018"/>
    <s v="Consumer"/>
    <s v="Bengaluru"/>
    <x v="2"/>
    <x v="2"/>
    <s v="Net Banking"/>
    <s v="P006"/>
    <x v="8"/>
    <x v="3"/>
    <n v="2"/>
    <n v="2999"/>
    <n v="0"/>
    <n v="5998"/>
    <n v="1750"/>
    <n v="3500"/>
    <n v="80"/>
    <n v="2418"/>
  </r>
  <r>
    <s v="ORD01150"/>
    <x v="587"/>
    <s v="C0403"/>
    <s v="Consumer"/>
    <s v="Indore"/>
    <x v="1"/>
    <x v="1"/>
    <s v="Net Banking"/>
    <s v="P001"/>
    <x v="0"/>
    <x v="0"/>
    <n v="1"/>
    <n v="799"/>
    <n v="0.15"/>
    <n v="679.15"/>
    <n v="420"/>
    <n v="420"/>
    <n v="0"/>
    <n v="259.14999999999998"/>
  </r>
  <r>
    <s v="ORD00976"/>
    <x v="587"/>
    <s v="C0174"/>
    <s v="Consumer"/>
    <s v="Jaipur"/>
    <x v="4"/>
    <x v="0"/>
    <s v="Cash on Delivery"/>
    <s v="P002"/>
    <x v="5"/>
    <x v="0"/>
    <n v="2"/>
    <n v="2499"/>
    <n v="0.15"/>
    <n v="4248.3"/>
    <n v="1450"/>
    <n v="2900"/>
    <n v="0"/>
    <n v="1348.3"/>
  </r>
  <r>
    <s v="ORD01034"/>
    <x v="588"/>
    <s v="C0241"/>
    <s v="Corporate"/>
    <s v="Delhi"/>
    <x v="5"/>
    <x v="0"/>
    <s v="Debit Card"/>
    <s v="P006"/>
    <x v="8"/>
    <x v="3"/>
    <n v="1"/>
    <n v="2999"/>
    <n v="0.15"/>
    <n v="2549.15"/>
    <n v="1750"/>
    <n v="1750"/>
    <n v="40"/>
    <n v="759.15"/>
  </r>
  <r>
    <s v="ORD00598"/>
    <x v="589"/>
    <s v="C0228"/>
    <s v="Corporate"/>
    <s v="Hyderabad"/>
    <x v="0"/>
    <x v="0"/>
    <s v="Cash on Delivery"/>
    <s v="P005"/>
    <x v="1"/>
    <x v="1"/>
    <n v="2"/>
    <n v="1299"/>
    <n v="0.15"/>
    <n v="2208.3000000000002"/>
    <n v="700"/>
    <n v="1400"/>
    <n v="80"/>
    <n v="728.3"/>
  </r>
  <r>
    <s v="ORD01240"/>
    <x v="590"/>
    <s v="C0274"/>
    <s v="Corporate"/>
    <s v="Lucknow"/>
    <x v="8"/>
    <x v="0"/>
    <s v="Cash on Delivery"/>
    <s v="P004"/>
    <x v="3"/>
    <x v="1"/>
    <n v="1"/>
    <n v="499"/>
    <n v="0.15"/>
    <n v="424.15"/>
    <n v="180"/>
    <n v="180"/>
    <n v="80"/>
    <n v="164.15"/>
  </r>
  <r>
    <s v="ORD01407"/>
    <x v="591"/>
    <s v="C0246"/>
    <s v="Small Business"/>
    <s v="Kolkata"/>
    <x v="7"/>
    <x v="2"/>
    <s v="UPI"/>
    <s v="P004"/>
    <x v="3"/>
    <x v="1"/>
    <n v="5"/>
    <n v="499"/>
    <n v="0"/>
    <n v="2495"/>
    <n v="180"/>
    <n v="900"/>
    <n v="100"/>
    <n v="1495"/>
  </r>
  <r>
    <s v="ORD01044"/>
    <x v="591"/>
    <s v="C0123"/>
    <s v="Corporate"/>
    <s v="Jaipur"/>
    <x v="4"/>
    <x v="1"/>
    <s v="Credit Card"/>
    <s v="P002"/>
    <x v="5"/>
    <x v="0"/>
    <n v="1"/>
    <n v="2499"/>
    <n v="0"/>
    <n v="2499"/>
    <n v="1450"/>
    <n v="1450"/>
    <n v="60"/>
    <n v="989"/>
  </r>
  <r>
    <s v="ORD00602"/>
    <x v="591"/>
    <s v="C0321"/>
    <s v="Consumer"/>
    <s v="Jaipur"/>
    <x v="4"/>
    <x v="2"/>
    <s v="Cash on Delivery"/>
    <s v="P007"/>
    <x v="4"/>
    <x v="3"/>
    <n v="1"/>
    <n v="999"/>
    <n v="0"/>
    <n v="999"/>
    <n v="520"/>
    <n v="520"/>
    <n v="60"/>
    <n v="419"/>
  </r>
  <r>
    <s v="ORD00456"/>
    <x v="591"/>
    <s v="C0404"/>
    <s v="Corporate"/>
    <s v="Kolkata"/>
    <x v="7"/>
    <x v="1"/>
    <s v="Debit Card"/>
    <s v="P002"/>
    <x v="5"/>
    <x v="0"/>
    <n v="1"/>
    <n v="2499"/>
    <n v="0"/>
    <n v="2499"/>
    <n v="1450"/>
    <n v="1450"/>
    <n v="60"/>
    <n v="989"/>
  </r>
  <r>
    <s v="ORD00350"/>
    <x v="592"/>
    <s v="C0365"/>
    <s v="Corporate"/>
    <s v="Delhi"/>
    <x v="5"/>
    <x v="2"/>
    <s v="Net Banking"/>
    <s v="P003"/>
    <x v="10"/>
    <x v="0"/>
    <n v="2"/>
    <n v="1599"/>
    <n v="0"/>
    <n v="3198"/>
    <n v="900"/>
    <n v="1800"/>
    <n v="40"/>
    <n v="1358"/>
  </r>
  <r>
    <s v="ORD00817"/>
    <x v="592"/>
    <s v="C0357"/>
    <s v="Small Business"/>
    <s v="Indore"/>
    <x v="1"/>
    <x v="0"/>
    <s v="Net Banking"/>
    <s v="P011"/>
    <x v="7"/>
    <x v="1"/>
    <n v="3"/>
    <n v="6999"/>
    <n v="0.1"/>
    <n v="18897.3"/>
    <n v="4900"/>
    <n v="14700"/>
    <n v="100"/>
    <n v="4097.3"/>
  </r>
  <r>
    <s v="ORD00012"/>
    <x v="592"/>
    <s v="C0136"/>
    <s v="Consumer"/>
    <s v="Delhi"/>
    <x v="5"/>
    <x v="2"/>
    <s v="Cash on Delivery"/>
    <s v="P008"/>
    <x v="2"/>
    <x v="2"/>
    <n v="1"/>
    <n v="1799"/>
    <n v="0.2"/>
    <n v="1439.2"/>
    <n v="850"/>
    <n v="850"/>
    <n v="80"/>
    <n v="509.2"/>
  </r>
  <r>
    <s v="ORD01190"/>
    <x v="593"/>
    <s v="C0187"/>
    <s v="Corporate"/>
    <s v="Hyderabad"/>
    <x v="0"/>
    <x v="2"/>
    <s v="Cash on Delivery"/>
    <s v="P005"/>
    <x v="1"/>
    <x v="1"/>
    <n v="1"/>
    <n v="1299"/>
    <n v="0.1"/>
    <n v="1169.0999999999999"/>
    <n v="700"/>
    <n v="700"/>
    <n v="60"/>
    <n v="409.1"/>
  </r>
  <r>
    <s v="ORD01463"/>
    <x v="593"/>
    <s v="C0249"/>
    <s v="Corporate"/>
    <s v="Indore"/>
    <x v="1"/>
    <x v="0"/>
    <s v="Net Banking"/>
    <s v="P003"/>
    <x v="10"/>
    <x v="0"/>
    <n v="3"/>
    <n v="1599"/>
    <n v="0"/>
    <n v="4797"/>
    <n v="900"/>
    <n v="2700"/>
    <n v="60"/>
    <n v="2037"/>
  </r>
  <r>
    <s v="ORD00499"/>
    <x v="594"/>
    <s v="C0215"/>
    <s v="Small Business"/>
    <s v="Kolkata"/>
    <x v="7"/>
    <x v="0"/>
    <s v="Credit Card"/>
    <s v="P010"/>
    <x v="11"/>
    <x v="4"/>
    <n v="2"/>
    <n v="299"/>
    <n v="0.05"/>
    <n v="568.1"/>
    <n v="110"/>
    <n v="220"/>
    <n v="100"/>
    <n v="248.1"/>
  </r>
  <r>
    <s v="ORD00639"/>
    <x v="594"/>
    <s v="C0162"/>
    <s v="Small Business"/>
    <s v="Chennai"/>
    <x v="9"/>
    <x v="1"/>
    <s v="Debit Card"/>
    <s v="P003"/>
    <x v="10"/>
    <x v="0"/>
    <n v="2"/>
    <n v="1599"/>
    <n v="0.15"/>
    <n v="2718.3"/>
    <n v="900"/>
    <n v="1800"/>
    <n v="80"/>
    <n v="838.3"/>
  </r>
  <r>
    <s v="ORD00157"/>
    <x v="594"/>
    <s v="C0391"/>
    <s v="Corporate"/>
    <s v="Ahmedabad"/>
    <x v="6"/>
    <x v="1"/>
    <s v="Debit Card"/>
    <s v="P012"/>
    <x v="6"/>
    <x v="0"/>
    <n v="1"/>
    <n v="2199"/>
    <n v="0"/>
    <n v="2199"/>
    <n v="1250"/>
    <n v="1250"/>
    <n v="60"/>
    <n v="889"/>
  </r>
  <r>
    <s v="ORD01375"/>
    <x v="594"/>
    <s v="C0073"/>
    <s v="Small Business"/>
    <s v="Delhi"/>
    <x v="5"/>
    <x v="0"/>
    <s v="Credit Card"/>
    <s v="P010"/>
    <x v="11"/>
    <x v="4"/>
    <n v="1"/>
    <n v="299"/>
    <n v="0"/>
    <n v="299"/>
    <n v="110"/>
    <n v="110"/>
    <n v="0"/>
    <n v="189"/>
  </r>
  <r>
    <s v="ORD00322"/>
    <x v="595"/>
    <s v="C0307"/>
    <s v="Corporate"/>
    <s v="Jaipur"/>
    <x v="4"/>
    <x v="0"/>
    <s v="Net Banking"/>
    <s v="P003"/>
    <x v="10"/>
    <x v="0"/>
    <n v="2"/>
    <n v="1599"/>
    <n v="0.1"/>
    <n v="2878.2"/>
    <n v="900"/>
    <n v="1800"/>
    <n v="0"/>
    <n v="1078.2"/>
  </r>
  <r>
    <s v="ORD01163"/>
    <x v="595"/>
    <s v="C0161"/>
    <s v="Small Business"/>
    <s v="Ahmedabad"/>
    <x v="6"/>
    <x v="1"/>
    <s v="Cash on Delivery"/>
    <s v="P009"/>
    <x v="9"/>
    <x v="2"/>
    <n v="2"/>
    <n v="599"/>
    <n v="0.15"/>
    <n v="1018.3"/>
    <n v="240"/>
    <n v="480"/>
    <n v="80"/>
    <n v="458.3"/>
  </r>
  <r>
    <s v="ORD00543"/>
    <x v="596"/>
    <s v="C0113"/>
    <s v="Corporate"/>
    <s v="Mumbai"/>
    <x v="3"/>
    <x v="2"/>
    <s v="UPI"/>
    <s v="P003"/>
    <x v="10"/>
    <x v="0"/>
    <n v="3"/>
    <n v="1599"/>
    <n v="0.1"/>
    <n v="4317.3"/>
    <n v="900"/>
    <n v="2700"/>
    <n v="60"/>
    <n v="1557.3"/>
  </r>
  <r>
    <s v="ORD00870"/>
    <x v="596"/>
    <s v="C0069"/>
    <s v="Corporate"/>
    <s v="Kolkata"/>
    <x v="7"/>
    <x v="0"/>
    <s v="Net Banking"/>
    <s v="P005"/>
    <x v="1"/>
    <x v="1"/>
    <n v="4"/>
    <n v="1299"/>
    <n v="0"/>
    <n v="5196"/>
    <n v="700"/>
    <n v="2800"/>
    <n v="80"/>
    <n v="2316"/>
  </r>
  <r>
    <s v="ORD00867"/>
    <x v="597"/>
    <s v="C0339"/>
    <s v="Corporate"/>
    <s v="Hyderabad"/>
    <x v="0"/>
    <x v="1"/>
    <s v="Cash on Delivery"/>
    <s v="P009"/>
    <x v="9"/>
    <x v="2"/>
    <n v="3"/>
    <n v="599"/>
    <n v="0.1"/>
    <n v="1617.3"/>
    <n v="240"/>
    <n v="720"/>
    <n v="40"/>
    <n v="857.3"/>
  </r>
  <r>
    <s v="ORD00939"/>
    <x v="597"/>
    <s v="C0300"/>
    <s v="Consumer"/>
    <s v="Hyderabad"/>
    <x v="0"/>
    <x v="0"/>
    <s v="UPI"/>
    <s v="P012"/>
    <x v="6"/>
    <x v="0"/>
    <n v="2"/>
    <n v="2199"/>
    <n v="0.05"/>
    <n v="4178.1000000000004"/>
    <n v="1250"/>
    <n v="2500"/>
    <n v="60"/>
    <n v="1618.1"/>
  </r>
  <r>
    <s v="ORD00553"/>
    <x v="598"/>
    <s v="C0242"/>
    <s v="Corporate"/>
    <s v="Bhopal"/>
    <x v="1"/>
    <x v="2"/>
    <s v="Credit Card"/>
    <s v="P005"/>
    <x v="1"/>
    <x v="1"/>
    <n v="4"/>
    <n v="1299"/>
    <n v="0"/>
    <n v="5196"/>
    <n v="700"/>
    <n v="2800"/>
    <n v="80"/>
    <n v="2316"/>
  </r>
  <r>
    <s v="ORD00875"/>
    <x v="598"/>
    <s v="C0044"/>
    <s v="Small Business"/>
    <s v="Bhopal"/>
    <x v="1"/>
    <x v="2"/>
    <s v="Debit Card"/>
    <s v="P004"/>
    <x v="3"/>
    <x v="1"/>
    <n v="1"/>
    <n v="499"/>
    <n v="0.2"/>
    <n v="399.2"/>
    <n v="180"/>
    <n v="180"/>
    <n v="60"/>
    <n v="159.19999999999999"/>
  </r>
  <r>
    <s v="ORD01330"/>
    <x v="598"/>
    <s v="C0048"/>
    <s v="Corporate"/>
    <s v="Bengaluru"/>
    <x v="2"/>
    <x v="1"/>
    <s v="UPI"/>
    <s v="P008"/>
    <x v="2"/>
    <x v="2"/>
    <n v="5"/>
    <n v="1799"/>
    <n v="0.05"/>
    <n v="8545.25"/>
    <n v="850"/>
    <n v="4250"/>
    <n v="80"/>
    <n v="4215.25"/>
  </r>
  <r>
    <s v="ORD00389"/>
    <x v="599"/>
    <s v="C0359"/>
    <s v="Small Business"/>
    <s v="Kolkata"/>
    <x v="7"/>
    <x v="1"/>
    <s v="Debit Card"/>
    <s v="P003"/>
    <x v="10"/>
    <x v="0"/>
    <n v="1"/>
    <n v="1599"/>
    <n v="0.05"/>
    <n v="1519.05"/>
    <n v="900"/>
    <n v="900"/>
    <n v="60"/>
    <n v="559.04999999999995"/>
  </r>
  <r>
    <s v="ORD00449"/>
    <x v="599"/>
    <s v="C0153"/>
    <s v="Small Business"/>
    <s v="Hyderabad"/>
    <x v="0"/>
    <x v="2"/>
    <s v="Net Banking"/>
    <s v="P006"/>
    <x v="8"/>
    <x v="3"/>
    <n v="2"/>
    <n v="2999"/>
    <n v="0.15"/>
    <n v="5098.3"/>
    <n v="1750"/>
    <n v="3500"/>
    <n v="100"/>
    <n v="1498.3"/>
  </r>
  <r>
    <s v="ORD00925"/>
    <x v="600"/>
    <s v="C0093"/>
    <s v="Corporate"/>
    <s v="Bhopal"/>
    <x v="1"/>
    <x v="2"/>
    <s v="Credit Card"/>
    <s v="P010"/>
    <x v="11"/>
    <x v="4"/>
    <n v="1"/>
    <n v="299"/>
    <n v="0"/>
    <n v="299"/>
    <n v="110"/>
    <n v="110"/>
    <n v="100"/>
    <n v="89"/>
  </r>
  <r>
    <s v="ORD00266"/>
    <x v="601"/>
    <s v="C0270"/>
    <s v="Corporate"/>
    <s v="Pune"/>
    <x v="3"/>
    <x v="0"/>
    <s v="Debit Card"/>
    <s v="P004"/>
    <x v="3"/>
    <x v="1"/>
    <n v="3"/>
    <n v="499"/>
    <n v="0.2"/>
    <n v="1197.5999999999999"/>
    <n v="180"/>
    <n v="540"/>
    <n v="100"/>
    <n v="557.6"/>
  </r>
  <r>
    <s v="ORD01135"/>
    <x v="602"/>
    <s v="C0070"/>
    <s v="Small Business"/>
    <s v="Indore"/>
    <x v="1"/>
    <x v="0"/>
    <s v="Net Banking"/>
    <s v="P008"/>
    <x v="2"/>
    <x v="2"/>
    <n v="4"/>
    <n v="1799"/>
    <n v="0.2"/>
    <n v="5756.8"/>
    <n v="850"/>
    <n v="3400"/>
    <n v="0"/>
    <n v="2356.8000000000002"/>
  </r>
  <r>
    <s v="ORD00978"/>
    <x v="603"/>
    <s v="C0378"/>
    <s v="Consumer"/>
    <s v="Lucknow"/>
    <x v="8"/>
    <x v="2"/>
    <s v="Debit Card"/>
    <s v="P012"/>
    <x v="6"/>
    <x v="0"/>
    <n v="2"/>
    <n v="2199"/>
    <n v="0"/>
    <n v="4398"/>
    <n v="1250"/>
    <n v="2500"/>
    <n v="80"/>
    <n v="1818"/>
  </r>
  <r>
    <s v="ORD00045"/>
    <x v="603"/>
    <s v="C0384"/>
    <s v="Consumer"/>
    <s v="Bhopal"/>
    <x v="1"/>
    <x v="2"/>
    <s v="Credit Card"/>
    <s v="P002"/>
    <x v="5"/>
    <x v="0"/>
    <n v="1"/>
    <n v="2499"/>
    <n v="0.15"/>
    <n v="2124.15"/>
    <n v="1450"/>
    <n v="1450"/>
    <n v="80"/>
    <n v="594.15"/>
  </r>
  <r>
    <s v="ORD00216"/>
    <x v="604"/>
    <s v="C0154"/>
    <s v="Consumer"/>
    <s v="Hyderabad"/>
    <x v="0"/>
    <x v="0"/>
    <s v="Credit Card"/>
    <s v="P006"/>
    <x v="8"/>
    <x v="3"/>
    <n v="2"/>
    <n v="2999"/>
    <n v="0.15"/>
    <n v="5098.3"/>
    <n v="1750"/>
    <n v="3500"/>
    <n v="100"/>
    <n v="1498.3"/>
  </r>
  <r>
    <s v="ORD00517"/>
    <x v="605"/>
    <s v="C0125"/>
    <s v="Consumer"/>
    <s v="Bhopal"/>
    <x v="1"/>
    <x v="0"/>
    <s v="Debit Card"/>
    <s v="P006"/>
    <x v="8"/>
    <x v="3"/>
    <n v="2"/>
    <n v="2999"/>
    <n v="0.2"/>
    <n v="4798.3999999999996"/>
    <n v="1750"/>
    <n v="3500"/>
    <n v="100"/>
    <n v="1198.4000000000001"/>
  </r>
  <r>
    <s v="ORD00025"/>
    <x v="606"/>
    <s v="C0243"/>
    <s v="Consumer"/>
    <s v="Bhopal"/>
    <x v="1"/>
    <x v="1"/>
    <s v="Net Banking"/>
    <s v="P008"/>
    <x v="2"/>
    <x v="2"/>
    <n v="1"/>
    <n v="1799"/>
    <n v="0"/>
    <n v="1799"/>
    <n v="850"/>
    <n v="850"/>
    <n v="100"/>
    <n v="849"/>
  </r>
  <r>
    <s v="ORD00036"/>
    <x v="606"/>
    <s v="C0344"/>
    <s v="Small Business"/>
    <s v="Delhi"/>
    <x v="5"/>
    <x v="1"/>
    <s v="Net Banking"/>
    <s v="P012"/>
    <x v="6"/>
    <x v="0"/>
    <n v="1"/>
    <n v="2199"/>
    <n v="0.05"/>
    <n v="2089.0500000000002"/>
    <n v="1250"/>
    <n v="1250"/>
    <n v="80"/>
    <n v="759.05"/>
  </r>
  <r>
    <s v="ORD00961"/>
    <x v="606"/>
    <s v="C0055"/>
    <s v="Small Business"/>
    <s v="Pune"/>
    <x v="3"/>
    <x v="0"/>
    <s v="UPI"/>
    <s v="P002"/>
    <x v="5"/>
    <x v="0"/>
    <n v="2"/>
    <n v="2499"/>
    <n v="0.1"/>
    <n v="4498.2"/>
    <n v="1450"/>
    <n v="2900"/>
    <n v="80"/>
    <n v="1518.2"/>
  </r>
  <r>
    <s v="ORD01368"/>
    <x v="607"/>
    <s v="C0044"/>
    <s v="Consumer"/>
    <s v="Mumbai"/>
    <x v="3"/>
    <x v="1"/>
    <s v="UPI"/>
    <s v="P001"/>
    <x v="0"/>
    <x v="0"/>
    <n v="2"/>
    <n v="799"/>
    <n v="0.15"/>
    <n v="1358.3"/>
    <n v="420"/>
    <n v="840"/>
    <n v="80"/>
    <n v="438.3"/>
  </r>
  <r>
    <s v="ORD00270"/>
    <x v="608"/>
    <s v="C0382"/>
    <s v="Consumer"/>
    <s v="Mumbai"/>
    <x v="3"/>
    <x v="0"/>
    <s v="UPI"/>
    <s v="P005"/>
    <x v="1"/>
    <x v="1"/>
    <n v="2"/>
    <n v="1299"/>
    <n v="0.1"/>
    <n v="2338.1999999999998"/>
    <n v="700"/>
    <n v="1400"/>
    <n v="60"/>
    <n v="878.2"/>
  </r>
  <r>
    <s v="ORD01457"/>
    <x v="608"/>
    <s v="C0052"/>
    <s v="Small Business"/>
    <s v="Kolkata"/>
    <x v="7"/>
    <x v="0"/>
    <s v="Debit Card"/>
    <s v="P002"/>
    <x v="5"/>
    <x v="0"/>
    <n v="2"/>
    <n v="2499"/>
    <n v="0.05"/>
    <n v="4748.1000000000004"/>
    <n v="1450"/>
    <n v="2900"/>
    <n v="0"/>
    <n v="1848.1"/>
  </r>
  <r>
    <s v="ORD01017"/>
    <x v="608"/>
    <s v="C0066"/>
    <s v="Small Business"/>
    <s v="Bhopal"/>
    <x v="1"/>
    <x v="2"/>
    <s v="Credit Card"/>
    <s v="P011"/>
    <x v="7"/>
    <x v="1"/>
    <n v="2"/>
    <n v="6999"/>
    <n v="0"/>
    <n v="13998"/>
    <n v="4900"/>
    <n v="9800"/>
    <n v="0"/>
    <n v="4198"/>
  </r>
  <r>
    <s v="ORD00133"/>
    <x v="608"/>
    <s v="C0191"/>
    <s v="Consumer"/>
    <s v="Indore"/>
    <x v="1"/>
    <x v="0"/>
    <s v="Credit Card"/>
    <s v="P012"/>
    <x v="6"/>
    <x v="0"/>
    <n v="2"/>
    <n v="2199"/>
    <n v="0.15"/>
    <n v="3738.3"/>
    <n v="1250"/>
    <n v="2500"/>
    <n v="80"/>
    <n v="1158.3"/>
  </r>
  <r>
    <s v="ORD00275"/>
    <x v="609"/>
    <s v="C0127"/>
    <s v="Corporate"/>
    <s v="Bengaluru"/>
    <x v="2"/>
    <x v="1"/>
    <s v="Credit Card"/>
    <s v="P012"/>
    <x v="6"/>
    <x v="0"/>
    <n v="2"/>
    <n v="2199"/>
    <n v="0.15"/>
    <n v="3738.3"/>
    <n v="1250"/>
    <n v="2500"/>
    <n v="80"/>
    <n v="1158.3"/>
  </r>
  <r>
    <s v="ORD00027"/>
    <x v="609"/>
    <s v="C0373"/>
    <s v="Corporate"/>
    <s v="Kolkata"/>
    <x v="7"/>
    <x v="2"/>
    <s v="Credit Card"/>
    <s v="P011"/>
    <x v="7"/>
    <x v="1"/>
    <n v="5"/>
    <n v="6999"/>
    <n v="0"/>
    <n v="34995"/>
    <n v="4900"/>
    <n v="24500"/>
    <n v="0"/>
    <n v="10495"/>
  </r>
  <r>
    <s v="ORD01293"/>
    <x v="609"/>
    <s v="C0014"/>
    <s v="Consumer"/>
    <s v="Mumbai"/>
    <x v="3"/>
    <x v="1"/>
    <s v="Cash on Delivery"/>
    <s v="P004"/>
    <x v="3"/>
    <x v="1"/>
    <n v="1"/>
    <n v="499"/>
    <n v="0.1"/>
    <n v="449.1"/>
    <n v="180"/>
    <n v="180"/>
    <n v="0"/>
    <n v="269.10000000000002"/>
  </r>
  <r>
    <s v="ORD00504"/>
    <x v="610"/>
    <s v="C0414"/>
    <s v="Consumer"/>
    <s v="Kolkata"/>
    <x v="7"/>
    <x v="0"/>
    <s v="UPI"/>
    <s v="P012"/>
    <x v="6"/>
    <x v="0"/>
    <n v="4"/>
    <n v="2199"/>
    <n v="0.15"/>
    <n v="7476.6"/>
    <n v="1250"/>
    <n v="5000"/>
    <n v="60"/>
    <n v="2416.6"/>
  </r>
  <r>
    <s v="ORD00828"/>
    <x v="611"/>
    <s v="C0252"/>
    <s v="Corporate"/>
    <s v="Bengaluru"/>
    <x v="2"/>
    <x v="0"/>
    <s v="Cash on Delivery"/>
    <s v="P011"/>
    <x v="7"/>
    <x v="1"/>
    <n v="4"/>
    <n v="6999"/>
    <n v="0.15"/>
    <n v="23796.6"/>
    <n v="4900"/>
    <n v="19600"/>
    <n v="80"/>
    <n v="4116.6000000000004"/>
  </r>
  <r>
    <s v="ORD00793"/>
    <x v="611"/>
    <s v="C0051"/>
    <s v="Consumer"/>
    <s v="Bengaluru"/>
    <x v="2"/>
    <x v="0"/>
    <s v="Net Banking"/>
    <s v="P006"/>
    <x v="8"/>
    <x v="3"/>
    <n v="1"/>
    <n v="2999"/>
    <n v="0"/>
    <n v="2999"/>
    <n v="1750"/>
    <n v="1750"/>
    <n v="60"/>
    <n v="1189"/>
  </r>
  <r>
    <s v="ORD00528"/>
    <x v="611"/>
    <s v="C0073"/>
    <s v="Consumer"/>
    <s v="Lucknow"/>
    <x v="8"/>
    <x v="2"/>
    <s v="UPI"/>
    <s v="P012"/>
    <x v="6"/>
    <x v="0"/>
    <n v="2"/>
    <n v="2199"/>
    <n v="0"/>
    <n v="4398"/>
    <n v="1250"/>
    <n v="2500"/>
    <n v="100"/>
    <n v="1798"/>
  </r>
  <r>
    <s v="ORD00331"/>
    <x v="611"/>
    <s v="C0090"/>
    <s v="Small Business"/>
    <s v="Lucknow"/>
    <x v="8"/>
    <x v="2"/>
    <s v="Debit Card"/>
    <s v="P003"/>
    <x v="10"/>
    <x v="0"/>
    <n v="4"/>
    <n v="1599"/>
    <n v="0.2"/>
    <n v="5116.8"/>
    <n v="900"/>
    <n v="3600"/>
    <n v="40"/>
    <n v="1476.8"/>
  </r>
  <r>
    <s v="ORD00578"/>
    <x v="611"/>
    <s v="C0265"/>
    <s v="Small Business"/>
    <s v="Chennai"/>
    <x v="9"/>
    <x v="2"/>
    <s v="Debit Card"/>
    <s v="P012"/>
    <x v="6"/>
    <x v="0"/>
    <n v="1"/>
    <n v="2199"/>
    <n v="0.05"/>
    <n v="2089.0500000000002"/>
    <n v="1250"/>
    <n v="1250"/>
    <n v="80"/>
    <n v="759.05"/>
  </r>
  <r>
    <s v="ORD00781"/>
    <x v="612"/>
    <s v="C0071"/>
    <s v="Corporate"/>
    <s v="Lucknow"/>
    <x v="8"/>
    <x v="2"/>
    <s v="UPI"/>
    <s v="P007"/>
    <x v="4"/>
    <x v="3"/>
    <n v="1"/>
    <n v="999"/>
    <n v="0.2"/>
    <n v="799.2"/>
    <n v="520"/>
    <n v="520"/>
    <n v="100"/>
    <n v="179.2"/>
  </r>
  <r>
    <s v="ORD01094"/>
    <x v="612"/>
    <s v="C0247"/>
    <s v="Consumer"/>
    <s v="Indore"/>
    <x v="1"/>
    <x v="1"/>
    <s v="UPI"/>
    <s v="P012"/>
    <x v="6"/>
    <x v="0"/>
    <n v="1"/>
    <n v="2199"/>
    <n v="0"/>
    <n v="2199"/>
    <n v="1250"/>
    <n v="1250"/>
    <n v="60"/>
    <n v="889"/>
  </r>
  <r>
    <s v="ORD00210"/>
    <x v="613"/>
    <s v="C0401"/>
    <s v="Corporate"/>
    <s v="Indore"/>
    <x v="1"/>
    <x v="2"/>
    <s v="Credit Card"/>
    <s v="P003"/>
    <x v="10"/>
    <x v="0"/>
    <n v="4"/>
    <n v="1599"/>
    <n v="0"/>
    <n v="6396"/>
    <n v="900"/>
    <n v="3600"/>
    <n v="100"/>
    <n v="2696"/>
  </r>
  <r>
    <s v="ORD00212"/>
    <x v="613"/>
    <s v="C0294"/>
    <s v="Consumer"/>
    <s v="Pune"/>
    <x v="3"/>
    <x v="0"/>
    <s v="Debit Card"/>
    <s v="P008"/>
    <x v="2"/>
    <x v="2"/>
    <n v="4"/>
    <n v="1799"/>
    <n v="0.05"/>
    <n v="6836.2"/>
    <n v="850"/>
    <n v="3400"/>
    <n v="80"/>
    <n v="3356.2"/>
  </r>
  <r>
    <s v="ORD01151"/>
    <x v="613"/>
    <s v="C0092"/>
    <s v="Consumer"/>
    <s v="Jaipur"/>
    <x v="4"/>
    <x v="2"/>
    <s v="Cash on Delivery"/>
    <s v="P003"/>
    <x v="10"/>
    <x v="0"/>
    <n v="4"/>
    <n v="1599"/>
    <n v="0"/>
    <n v="6396"/>
    <n v="900"/>
    <n v="3600"/>
    <n v="60"/>
    <n v="2736"/>
  </r>
  <r>
    <s v="ORD01354"/>
    <x v="613"/>
    <s v="C0142"/>
    <s v="Corporate"/>
    <s v="Kolkata"/>
    <x v="7"/>
    <x v="2"/>
    <s v="UPI"/>
    <s v="P006"/>
    <x v="8"/>
    <x v="3"/>
    <n v="4"/>
    <n v="2999"/>
    <n v="0.1"/>
    <n v="10796.4"/>
    <n v="1750"/>
    <n v="7000"/>
    <n v="100"/>
    <n v="3696.4"/>
  </r>
  <r>
    <s v="ORD01142"/>
    <x v="614"/>
    <s v="C0341"/>
    <s v="Small Business"/>
    <s v="Ahmedabad"/>
    <x v="6"/>
    <x v="2"/>
    <s v="Cash on Delivery"/>
    <s v="P008"/>
    <x v="2"/>
    <x v="2"/>
    <n v="1"/>
    <n v="1799"/>
    <n v="0.05"/>
    <n v="1709.05"/>
    <n v="850"/>
    <n v="850"/>
    <n v="40"/>
    <n v="819.05"/>
  </r>
  <r>
    <s v="ORD00236"/>
    <x v="614"/>
    <s v="C0407"/>
    <s v="Corporate"/>
    <s v="Chennai"/>
    <x v="9"/>
    <x v="0"/>
    <s v="Debit Card"/>
    <s v="P010"/>
    <x v="11"/>
    <x v="4"/>
    <n v="1"/>
    <n v="299"/>
    <n v="0"/>
    <n v="299"/>
    <n v="110"/>
    <n v="110"/>
    <n v="80"/>
    <n v="109"/>
  </r>
  <r>
    <s v="ORD00577"/>
    <x v="615"/>
    <s v="C0133"/>
    <s v="Consumer"/>
    <s v="Pune"/>
    <x v="3"/>
    <x v="1"/>
    <s v="Credit Card"/>
    <s v="P008"/>
    <x v="2"/>
    <x v="2"/>
    <n v="4"/>
    <n v="1799"/>
    <n v="0"/>
    <n v="7196"/>
    <n v="850"/>
    <n v="3400"/>
    <n v="80"/>
    <n v="3716"/>
  </r>
  <r>
    <s v="ORD01420"/>
    <x v="616"/>
    <s v="C0173"/>
    <s v="Small Business"/>
    <s v="Hyderabad"/>
    <x v="0"/>
    <x v="1"/>
    <s v="UPI"/>
    <s v="P005"/>
    <x v="1"/>
    <x v="1"/>
    <n v="1"/>
    <n v="1299"/>
    <n v="0"/>
    <n v="1299"/>
    <n v="700"/>
    <n v="700"/>
    <n v="100"/>
    <n v="499"/>
  </r>
  <r>
    <s v="ORD00815"/>
    <x v="616"/>
    <s v="C0228"/>
    <s v="Small Business"/>
    <s v="Kolkata"/>
    <x v="7"/>
    <x v="0"/>
    <s v="UPI"/>
    <s v="P009"/>
    <x v="9"/>
    <x v="2"/>
    <n v="4"/>
    <n v="599"/>
    <n v="0.1"/>
    <n v="2156.4"/>
    <n v="240"/>
    <n v="960"/>
    <n v="60"/>
    <n v="1136.4000000000001"/>
  </r>
  <r>
    <s v="ORD00016"/>
    <x v="616"/>
    <s v="C0151"/>
    <s v="Corporate"/>
    <s v="Pune"/>
    <x v="3"/>
    <x v="2"/>
    <s v="Net Banking"/>
    <s v="P009"/>
    <x v="9"/>
    <x v="2"/>
    <n v="3"/>
    <n v="599"/>
    <n v="0.2"/>
    <n v="1437.6"/>
    <n v="240"/>
    <n v="720"/>
    <n v="60"/>
    <n v="657.6"/>
  </r>
  <r>
    <s v="ORD00399"/>
    <x v="617"/>
    <s v="C0144"/>
    <s v="Corporate"/>
    <s v="Hyderabad"/>
    <x v="0"/>
    <x v="2"/>
    <s v="UPI"/>
    <s v="P007"/>
    <x v="4"/>
    <x v="3"/>
    <n v="1"/>
    <n v="999"/>
    <n v="0"/>
    <n v="999"/>
    <n v="520"/>
    <n v="520"/>
    <n v="40"/>
    <n v="439"/>
  </r>
  <r>
    <s v="ORD00755"/>
    <x v="617"/>
    <s v="C0446"/>
    <s v="Corporate"/>
    <s v="Lucknow"/>
    <x v="8"/>
    <x v="2"/>
    <s v="Debit Card"/>
    <s v="P012"/>
    <x v="6"/>
    <x v="0"/>
    <n v="1"/>
    <n v="2199"/>
    <n v="0.05"/>
    <n v="2089.0500000000002"/>
    <n v="1250"/>
    <n v="1250"/>
    <n v="40"/>
    <n v="799.05"/>
  </r>
  <r>
    <s v="ORD01206"/>
    <x v="617"/>
    <s v="C0380"/>
    <s v="Corporate"/>
    <s v="Chennai"/>
    <x v="9"/>
    <x v="0"/>
    <s v="Cash on Delivery"/>
    <s v="P009"/>
    <x v="9"/>
    <x v="2"/>
    <n v="3"/>
    <n v="599"/>
    <n v="0"/>
    <n v="1797"/>
    <n v="240"/>
    <n v="720"/>
    <n v="60"/>
    <n v="1017"/>
  </r>
  <r>
    <s v="ORD01183"/>
    <x v="618"/>
    <s v="C0392"/>
    <s v="Small Business"/>
    <s v="Indore"/>
    <x v="1"/>
    <x v="2"/>
    <s v="Credit Card"/>
    <s v="P010"/>
    <x v="11"/>
    <x v="4"/>
    <n v="1"/>
    <n v="299"/>
    <n v="0.1"/>
    <n v="269.10000000000002"/>
    <n v="110"/>
    <n v="110"/>
    <n v="40"/>
    <n v="119.1"/>
  </r>
  <r>
    <s v="ORD00670"/>
    <x v="618"/>
    <s v="C0221"/>
    <s v="Consumer"/>
    <s v="Delhi"/>
    <x v="5"/>
    <x v="0"/>
    <s v="Cash on Delivery"/>
    <s v="P004"/>
    <x v="3"/>
    <x v="1"/>
    <n v="3"/>
    <n v="499"/>
    <n v="0.05"/>
    <n v="1422.15"/>
    <n v="180"/>
    <n v="540"/>
    <n v="100"/>
    <n v="782.15"/>
  </r>
  <r>
    <s v="ORD00745"/>
    <x v="618"/>
    <s v="C0028"/>
    <s v="Corporate"/>
    <s v="Bhopal"/>
    <x v="1"/>
    <x v="0"/>
    <s v="UPI"/>
    <s v="P011"/>
    <x v="7"/>
    <x v="1"/>
    <n v="2"/>
    <n v="6999"/>
    <n v="0.15"/>
    <n v="11898.3"/>
    <n v="4900"/>
    <n v="9800"/>
    <n v="60"/>
    <n v="2038.3"/>
  </r>
  <r>
    <s v="ORD00657"/>
    <x v="619"/>
    <s v="C0379"/>
    <s v="Consumer"/>
    <s v="Pune"/>
    <x v="3"/>
    <x v="2"/>
    <s v="Cash on Delivery"/>
    <s v="P006"/>
    <x v="8"/>
    <x v="3"/>
    <n v="1"/>
    <n v="2999"/>
    <n v="0.2"/>
    <n v="2399.1999999999998"/>
    <n v="1750"/>
    <n v="1750"/>
    <n v="0"/>
    <n v="649.20000000000005"/>
  </r>
  <r>
    <s v="ORD00707"/>
    <x v="619"/>
    <s v="C0144"/>
    <s v="Consumer"/>
    <s v="Delhi"/>
    <x v="5"/>
    <x v="1"/>
    <s v="Net Banking"/>
    <s v="P006"/>
    <x v="8"/>
    <x v="3"/>
    <n v="3"/>
    <n v="2999"/>
    <n v="0.05"/>
    <n v="8547.15"/>
    <n v="1750"/>
    <n v="5250"/>
    <n v="0"/>
    <n v="3297.15"/>
  </r>
  <r>
    <s v="ORD00227"/>
    <x v="619"/>
    <s v="C0226"/>
    <s v="Corporate"/>
    <s v="Delhi"/>
    <x v="5"/>
    <x v="1"/>
    <s v="Net Banking"/>
    <s v="P007"/>
    <x v="4"/>
    <x v="3"/>
    <n v="1"/>
    <n v="999"/>
    <n v="0"/>
    <n v="999"/>
    <n v="520"/>
    <n v="520"/>
    <n v="0"/>
    <n v="479"/>
  </r>
  <r>
    <s v="ORD00202"/>
    <x v="619"/>
    <s v="C0033"/>
    <s v="Small Business"/>
    <s v="Delhi"/>
    <x v="5"/>
    <x v="1"/>
    <s v="UPI"/>
    <s v="P008"/>
    <x v="2"/>
    <x v="2"/>
    <n v="5"/>
    <n v="1799"/>
    <n v="0.1"/>
    <n v="8095.5"/>
    <n v="850"/>
    <n v="4250"/>
    <n v="40"/>
    <n v="3805.5"/>
  </r>
  <r>
    <s v="ORD00905"/>
    <x v="620"/>
    <s v="C0448"/>
    <s v="Small Business"/>
    <s v="Jaipur"/>
    <x v="4"/>
    <x v="2"/>
    <s v="Debit Card"/>
    <s v="P007"/>
    <x v="4"/>
    <x v="3"/>
    <n v="3"/>
    <n v="999"/>
    <n v="0.05"/>
    <n v="2847.15"/>
    <n v="520"/>
    <n v="1560"/>
    <n v="80"/>
    <n v="1207.1500000000001"/>
  </r>
  <r>
    <s v="ORD00127"/>
    <x v="620"/>
    <s v="C0398"/>
    <s v="Consumer"/>
    <s v="Hyderabad"/>
    <x v="0"/>
    <x v="0"/>
    <s v="Debit Card"/>
    <s v="P012"/>
    <x v="6"/>
    <x v="0"/>
    <n v="5"/>
    <n v="2199"/>
    <n v="0.15"/>
    <n v="9345.75"/>
    <n v="1250"/>
    <n v="6250"/>
    <n v="80"/>
    <n v="3015.75"/>
  </r>
  <r>
    <s v="ORD00555"/>
    <x v="620"/>
    <s v="C0118"/>
    <s v="Corporate"/>
    <s v="Pune"/>
    <x v="3"/>
    <x v="1"/>
    <s v="Credit Card"/>
    <s v="P006"/>
    <x v="8"/>
    <x v="3"/>
    <n v="4"/>
    <n v="2999"/>
    <n v="0.15"/>
    <n v="10196.6"/>
    <n v="1750"/>
    <n v="7000"/>
    <n v="100"/>
    <n v="3096.6"/>
  </r>
  <r>
    <s v="ORD01462"/>
    <x v="621"/>
    <s v="C0327"/>
    <s v="Corporate"/>
    <s v="Bengaluru"/>
    <x v="2"/>
    <x v="1"/>
    <s v="Cash on Delivery"/>
    <s v="P005"/>
    <x v="1"/>
    <x v="1"/>
    <n v="2"/>
    <n v="1299"/>
    <n v="0.2"/>
    <n v="2078.4"/>
    <n v="700"/>
    <n v="1400"/>
    <n v="100"/>
    <n v="578.4"/>
  </r>
  <r>
    <s v="ORD00982"/>
    <x v="622"/>
    <s v="C0259"/>
    <s v="Consumer"/>
    <s v="Delhi"/>
    <x v="5"/>
    <x v="1"/>
    <s v="Net Banking"/>
    <s v="P008"/>
    <x v="2"/>
    <x v="2"/>
    <n v="3"/>
    <n v="1799"/>
    <n v="0.1"/>
    <n v="4857.3"/>
    <n v="850"/>
    <n v="2550"/>
    <n v="40"/>
    <n v="2267.3000000000002"/>
  </r>
  <r>
    <s v="ORD01023"/>
    <x v="623"/>
    <s v="C0169"/>
    <s v="Corporate"/>
    <s v="Delhi"/>
    <x v="5"/>
    <x v="2"/>
    <s v="UPI"/>
    <s v="P007"/>
    <x v="4"/>
    <x v="3"/>
    <n v="4"/>
    <n v="999"/>
    <n v="0"/>
    <n v="3996"/>
    <n v="520"/>
    <n v="2080"/>
    <n v="40"/>
    <n v="1876"/>
  </r>
  <r>
    <s v="ORD00264"/>
    <x v="623"/>
    <s v="C0114"/>
    <s v="Consumer"/>
    <s v="Bhopal"/>
    <x v="1"/>
    <x v="2"/>
    <s v="Net Banking"/>
    <s v="P002"/>
    <x v="5"/>
    <x v="0"/>
    <n v="2"/>
    <n v="2499"/>
    <n v="0.05"/>
    <n v="4748.1000000000004"/>
    <n v="1450"/>
    <n v="2900"/>
    <n v="60"/>
    <n v="1788.1"/>
  </r>
  <r>
    <s v="ORD00118"/>
    <x v="624"/>
    <s v="C0163"/>
    <s v="Small Business"/>
    <s v="Kolkata"/>
    <x v="7"/>
    <x v="0"/>
    <s v="Net Banking"/>
    <s v="P007"/>
    <x v="4"/>
    <x v="3"/>
    <n v="2"/>
    <n v="999"/>
    <n v="0.05"/>
    <n v="1898.1"/>
    <n v="520"/>
    <n v="1040"/>
    <n v="100"/>
    <n v="758.1"/>
  </r>
  <r>
    <s v="ORD00186"/>
    <x v="624"/>
    <s v="C0211"/>
    <s v="Corporate"/>
    <s v="Mumbai"/>
    <x v="3"/>
    <x v="0"/>
    <s v="Credit Card"/>
    <s v="P010"/>
    <x v="11"/>
    <x v="4"/>
    <n v="3"/>
    <n v="299"/>
    <n v="0"/>
    <n v="897"/>
    <n v="110"/>
    <n v="330"/>
    <n v="80"/>
    <n v="487"/>
  </r>
  <r>
    <s v="ORD00508"/>
    <x v="624"/>
    <s v="C0404"/>
    <s v="Small Business"/>
    <s v="Kolkata"/>
    <x v="7"/>
    <x v="1"/>
    <s v="Cash on Delivery"/>
    <s v="P011"/>
    <x v="7"/>
    <x v="1"/>
    <n v="1"/>
    <n v="6999"/>
    <n v="0.1"/>
    <n v="6299.1"/>
    <n v="4900"/>
    <n v="4900"/>
    <n v="80"/>
    <n v="1319.1"/>
  </r>
  <r>
    <s v="ORD01494"/>
    <x v="625"/>
    <s v="C0320"/>
    <s v="Corporate"/>
    <s v="Mumbai"/>
    <x v="3"/>
    <x v="0"/>
    <s v="Credit Card"/>
    <s v="P002"/>
    <x v="5"/>
    <x v="0"/>
    <n v="2"/>
    <n v="2499"/>
    <n v="0.05"/>
    <n v="4748.1000000000004"/>
    <n v="1450"/>
    <n v="2900"/>
    <n v="0"/>
    <n v="1848.1"/>
  </r>
  <r>
    <s v="ORD00503"/>
    <x v="625"/>
    <s v="C0246"/>
    <s v="Small Business"/>
    <s v="Lucknow"/>
    <x v="8"/>
    <x v="0"/>
    <s v="Net Banking"/>
    <s v="P011"/>
    <x v="7"/>
    <x v="1"/>
    <n v="1"/>
    <n v="6999"/>
    <n v="0"/>
    <n v="6999"/>
    <n v="4900"/>
    <n v="4900"/>
    <n v="60"/>
    <n v="2039"/>
  </r>
  <r>
    <s v="ORD00105"/>
    <x v="625"/>
    <s v="C0233"/>
    <s v="Consumer"/>
    <s v="Mumbai"/>
    <x v="3"/>
    <x v="1"/>
    <s v="Debit Card"/>
    <s v="P008"/>
    <x v="2"/>
    <x v="2"/>
    <n v="1"/>
    <n v="1799"/>
    <n v="0.1"/>
    <n v="1619.1"/>
    <n v="850"/>
    <n v="850"/>
    <n v="100"/>
    <n v="669.1"/>
  </r>
  <r>
    <s v="ORD00696"/>
    <x v="626"/>
    <s v="C0357"/>
    <s v="Consumer"/>
    <s v="Bengaluru"/>
    <x v="2"/>
    <x v="0"/>
    <s v="UPI"/>
    <s v="P005"/>
    <x v="1"/>
    <x v="1"/>
    <n v="1"/>
    <n v="1299"/>
    <n v="0.1"/>
    <n v="1169.0999999999999"/>
    <n v="700"/>
    <n v="700"/>
    <n v="100"/>
    <n v="369.1"/>
  </r>
  <r>
    <s v="ORD00194"/>
    <x v="627"/>
    <s v="C0003"/>
    <s v="Consumer"/>
    <s v="Bhopal"/>
    <x v="1"/>
    <x v="2"/>
    <s v="Debit Card"/>
    <s v="P003"/>
    <x v="10"/>
    <x v="0"/>
    <n v="3"/>
    <n v="1599"/>
    <n v="0.1"/>
    <n v="4317.3"/>
    <n v="900"/>
    <n v="2700"/>
    <n v="80"/>
    <n v="1537.3"/>
  </r>
  <r>
    <s v="ORD01403"/>
    <x v="627"/>
    <s v="C0060"/>
    <s v="Corporate"/>
    <s v="Delhi"/>
    <x v="5"/>
    <x v="2"/>
    <s v="Cash on Delivery"/>
    <s v="P003"/>
    <x v="10"/>
    <x v="0"/>
    <n v="1"/>
    <n v="1599"/>
    <n v="0.1"/>
    <n v="1439.1"/>
    <n v="900"/>
    <n v="900"/>
    <n v="100"/>
    <n v="439.1"/>
  </r>
  <r>
    <s v="ORD01215"/>
    <x v="628"/>
    <s v="C0363"/>
    <s v="Small Business"/>
    <s v="Lucknow"/>
    <x v="8"/>
    <x v="0"/>
    <s v="Debit Card"/>
    <s v="P001"/>
    <x v="0"/>
    <x v="0"/>
    <n v="3"/>
    <n v="799"/>
    <n v="0.15"/>
    <n v="2037.45"/>
    <n v="420"/>
    <n v="1260"/>
    <n v="80"/>
    <n v="697.45"/>
  </r>
  <r>
    <s v="ORD01112"/>
    <x v="628"/>
    <s v="C0245"/>
    <s v="Consumer"/>
    <s v="Bengaluru"/>
    <x v="2"/>
    <x v="1"/>
    <s v="UPI"/>
    <s v="P001"/>
    <x v="0"/>
    <x v="0"/>
    <n v="2"/>
    <n v="799"/>
    <n v="0.1"/>
    <n v="1438.2"/>
    <n v="420"/>
    <n v="840"/>
    <n v="40"/>
    <n v="558.20000000000005"/>
  </r>
  <r>
    <s v="ORD00060"/>
    <x v="628"/>
    <s v="C0353"/>
    <s v="Consumer"/>
    <s v="Indore"/>
    <x v="1"/>
    <x v="2"/>
    <s v="Net Banking"/>
    <s v="P007"/>
    <x v="4"/>
    <x v="3"/>
    <n v="2"/>
    <n v="999"/>
    <n v="0"/>
    <n v="1998"/>
    <n v="520"/>
    <n v="1040"/>
    <n v="40"/>
    <n v="918"/>
  </r>
  <r>
    <s v="ORD01466"/>
    <x v="628"/>
    <s v="C0211"/>
    <s v="Small Business"/>
    <s v="Bhopal"/>
    <x v="1"/>
    <x v="2"/>
    <s v="UPI"/>
    <s v="P007"/>
    <x v="4"/>
    <x v="3"/>
    <n v="2"/>
    <n v="999"/>
    <n v="0.1"/>
    <n v="1798.2"/>
    <n v="520"/>
    <n v="1040"/>
    <n v="80"/>
    <n v="678.2"/>
  </r>
  <r>
    <s v="ORD00567"/>
    <x v="628"/>
    <s v="C0003"/>
    <s v="Consumer"/>
    <s v="Indore"/>
    <x v="1"/>
    <x v="2"/>
    <s v="Net Banking"/>
    <s v="P011"/>
    <x v="7"/>
    <x v="1"/>
    <n v="2"/>
    <n v="6999"/>
    <n v="0"/>
    <n v="13998"/>
    <n v="4900"/>
    <n v="9800"/>
    <n v="80"/>
    <n v="4118"/>
  </r>
  <r>
    <s v="ORD01113"/>
    <x v="629"/>
    <s v="C0349"/>
    <s v="Consumer"/>
    <s v="Jaipur"/>
    <x v="4"/>
    <x v="1"/>
    <s v="Credit Card"/>
    <s v="P011"/>
    <x v="7"/>
    <x v="1"/>
    <n v="2"/>
    <n v="6999"/>
    <n v="0.05"/>
    <n v="13298.1"/>
    <n v="4900"/>
    <n v="9800"/>
    <n v="100"/>
    <n v="3398.1"/>
  </r>
  <r>
    <s v="ORD01410"/>
    <x v="629"/>
    <s v="C0362"/>
    <s v="Small Business"/>
    <s v="Kolkata"/>
    <x v="7"/>
    <x v="1"/>
    <s v="Debit Card"/>
    <s v="P009"/>
    <x v="9"/>
    <x v="2"/>
    <n v="2"/>
    <n v="599"/>
    <n v="0"/>
    <n v="1198"/>
    <n v="240"/>
    <n v="480"/>
    <n v="60"/>
    <n v="658"/>
  </r>
  <r>
    <s v="ORD01248"/>
    <x v="630"/>
    <s v="C0401"/>
    <s v="Small Business"/>
    <s v="Jaipur"/>
    <x v="4"/>
    <x v="0"/>
    <s v="UPI"/>
    <s v="P005"/>
    <x v="1"/>
    <x v="1"/>
    <n v="2"/>
    <n v="1299"/>
    <n v="0.2"/>
    <n v="2078.4"/>
    <n v="700"/>
    <n v="1400"/>
    <n v="60"/>
    <n v="618.4"/>
  </r>
  <r>
    <s v="ORD01118"/>
    <x v="630"/>
    <s v="C0050"/>
    <s v="Consumer"/>
    <s v="Mumbai"/>
    <x v="3"/>
    <x v="0"/>
    <s v="Net Banking"/>
    <s v="P005"/>
    <x v="1"/>
    <x v="1"/>
    <n v="1"/>
    <n v="1299"/>
    <n v="0"/>
    <n v="1299"/>
    <n v="700"/>
    <n v="700"/>
    <n v="80"/>
    <n v="519"/>
  </r>
  <r>
    <s v="ORD01077"/>
    <x v="630"/>
    <s v="C0446"/>
    <s v="Consumer"/>
    <s v="Bengaluru"/>
    <x v="2"/>
    <x v="1"/>
    <s v="Cash on Delivery"/>
    <s v="P010"/>
    <x v="11"/>
    <x v="4"/>
    <n v="1"/>
    <n v="299"/>
    <n v="0.2"/>
    <n v="239.2"/>
    <n v="110"/>
    <n v="110"/>
    <n v="0"/>
    <n v="129.19999999999999"/>
  </r>
  <r>
    <s v="ORD01007"/>
    <x v="630"/>
    <s v="C0450"/>
    <s v="Corporate"/>
    <s v="Hyderabad"/>
    <x v="0"/>
    <x v="2"/>
    <s v="Cash on Delivery"/>
    <s v="P002"/>
    <x v="5"/>
    <x v="0"/>
    <n v="3"/>
    <n v="2499"/>
    <n v="0.2"/>
    <n v="5997.6"/>
    <n v="1450"/>
    <n v="4350"/>
    <n v="100"/>
    <n v="1547.6"/>
  </r>
  <r>
    <s v="ORD01270"/>
    <x v="631"/>
    <s v="C0082"/>
    <s v="Small Business"/>
    <s v="Kolkata"/>
    <x v="7"/>
    <x v="1"/>
    <s v="UPI"/>
    <s v="P009"/>
    <x v="9"/>
    <x v="2"/>
    <n v="1"/>
    <n v="599"/>
    <n v="0"/>
    <n v="599"/>
    <n v="240"/>
    <n v="240"/>
    <n v="60"/>
    <n v="299"/>
  </r>
  <r>
    <s v="ORD01158"/>
    <x v="632"/>
    <s v="C0033"/>
    <s v="Small Business"/>
    <s v="Jaipur"/>
    <x v="4"/>
    <x v="0"/>
    <s v="Cash on Delivery"/>
    <s v="P001"/>
    <x v="0"/>
    <x v="0"/>
    <n v="1"/>
    <n v="799"/>
    <n v="0.15"/>
    <n v="679.15"/>
    <n v="420"/>
    <n v="420"/>
    <n v="100"/>
    <n v="159.15"/>
  </r>
  <r>
    <s v="ORD00600"/>
    <x v="632"/>
    <s v="C0049"/>
    <s v="Consumer"/>
    <s v="Pune"/>
    <x v="3"/>
    <x v="1"/>
    <s v="Cash on Delivery"/>
    <s v="P012"/>
    <x v="6"/>
    <x v="0"/>
    <n v="1"/>
    <n v="2199"/>
    <n v="0"/>
    <n v="2199"/>
    <n v="1250"/>
    <n v="1250"/>
    <n v="80"/>
    <n v="869"/>
  </r>
  <r>
    <s v="ORD00135"/>
    <x v="632"/>
    <s v="C0020"/>
    <s v="Corporate"/>
    <s v="Mumbai"/>
    <x v="3"/>
    <x v="1"/>
    <s v="UPI"/>
    <s v="P005"/>
    <x v="1"/>
    <x v="1"/>
    <n v="2"/>
    <n v="1299"/>
    <n v="0"/>
    <n v="2598"/>
    <n v="700"/>
    <n v="1400"/>
    <n v="40"/>
    <n v="1158"/>
  </r>
  <r>
    <s v="ORD00009"/>
    <x v="633"/>
    <s v="C0374"/>
    <s v="Consumer"/>
    <s v="Lucknow"/>
    <x v="8"/>
    <x v="2"/>
    <s v="Net Banking"/>
    <s v="P011"/>
    <x v="7"/>
    <x v="1"/>
    <n v="2"/>
    <n v="6999"/>
    <n v="0.15"/>
    <n v="11898.3"/>
    <n v="4900"/>
    <n v="9800"/>
    <n v="40"/>
    <n v="2058.3000000000002"/>
  </r>
  <r>
    <s v="ORD00638"/>
    <x v="634"/>
    <s v="C0282"/>
    <s v="Corporate"/>
    <s v="Delhi"/>
    <x v="5"/>
    <x v="0"/>
    <s v="Debit Card"/>
    <s v="P011"/>
    <x v="7"/>
    <x v="1"/>
    <n v="1"/>
    <n v="6999"/>
    <n v="0"/>
    <n v="6999"/>
    <n v="4900"/>
    <n v="4900"/>
    <n v="40"/>
    <n v="2059"/>
  </r>
  <r>
    <s v="ORD01242"/>
    <x v="634"/>
    <s v="C0186"/>
    <s v="Small Business"/>
    <s v="Mumbai"/>
    <x v="3"/>
    <x v="1"/>
    <s v="Credit Card"/>
    <s v="P002"/>
    <x v="5"/>
    <x v="0"/>
    <n v="1"/>
    <n v="2499"/>
    <n v="0"/>
    <n v="2499"/>
    <n v="1450"/>
    <n v="1450"/>
    <n v="40"/>
    <n v="1009"/>
  </r>
  <r>
    <s v="ORD00948"/>
    <x v="634"/>
    <s v="C0300"/>
    <s v="Consumer"/>
    <s v="Jaipur"/>
    <x v="4"/>
    <x v="2"/>
    <s v="Debit Card"/>
    <s v="P008"/>
    <x v="2"/>
    <x v="2"/>
    <n v="5"/>
    <n v="1799"/>
    <n v="0.1"/>
    <n v="8095.5"/>
    <n v="850"/>
    <n v="4250"/>
    <n v="0"/>
    <n v="3845.5"/>
  </r>
  <r>
    <s v="ORD01480"/>
    <x v="634"/>
    <s v="C0373"/>
    <s v="Corporate"/>
    <s v="Jaipur"/>
    <x v="4"/>
    <x v="1"/>
    <s v="Cash on Delivery"/>
    <s v="P009"/>
    <x v="9"/>
    <x v="2"/>
    <n v="2"/>
    <n v="599"/>
    <n v="0.1"/>
    <n v="1078.2"/>
    <n v="240"/>
    <n v="480"/>
    <n v="0"/>
    <n v="598.20000000000005"/>
  </r>
  <r>
    <s v="ORD00288"/>
    <x v="635"/>
    <s v="C0398"/>
    <s v="Corporate"/>
    <s v="Chennai"/>
    <x v="9"/>
    <x v="1"/>
    <s v="Net Banking"/>
    <s v="P004"/>
    <x v="3"/>
    <x v="1"/>
    <n v="1"/>
    <n v="499"/>
    <n v="0"/>
    <n v="499"/>
    <n v="180"/>
    <n v="180"/>
    <n v="100"/>
    <n v="219"/>
  </r>
  <r>
    <s v="ORD00573"/>
    <x v="635"/>
    <s v="C0425"/>
    <s v="Small Business"/>
    <s v="Ahmedabad"/>
    <x v="6"/>
    <x v="0"/>
    <s v="Debit Card"/>
    <s v="P002"/>
    <x v="5"/>
    <x v="0"/>
    <n v="4"/>
    <n v="2499"/>
    <n v="0.15"/>
    <n v="8496.6"/>
    <n v="1450"/>
    <n v="5800"/>
    <n v="60"/>
    <n v="2636.6"/>
  </r>
  <r>
    <s v="ORD00039"/>
    <x v="635"/>
    <s v="C0342"/>
    <s v="Small Business"/>
    <s v="Mumbai"/>
    <x v="3"/>
    <x v="1"/>
    <s v="UPI"/>
    <s v="P005"/>
    <x v="1"/>
    <x v="1"/>
    <n v="2"/>
    <n v="1299"/>
    <n v="0.2"/>
    <n v="2078.4"/>
    <n v="700"/>
    <n v="1400"/>
    <n v="100"/>
    <n v="578.4"/>
  </r>
  <r>
    <s v="ORD00248"/>
    <x v="636"/>
    <s v="C0179"/>
    <s v="Small Business"/>
    <s v="Jaipur"/>
    <x v="4"/>
    <x v="0"/>
    <s v="Debit Card"/>
    <s v="P004"/>
    <x v="3"/>
    <x v="1"/>
    <n v="2"/>
    <n v="499"/>
    <n v="0.1"/>
    <n v="898.2"/>
    <n v="180"/>
    <n v="360"/>
    <n v="60"/>
    <n v="478.2"/>
  </r>
  <r>
    <s v="ORD00743"/>
    <x v="636"/>
    <s v="C0374"/>
    <s v="Small Business"/>
    <s v="Delhi"/>
    <x v="5"/>
    <x v="0"/>
    <s v="Debit Card"/>
    <s v="P006"/>
    <x v="8"/>
    <x v="3"/>
    <n v="1"/>
    <n v="2999"/>
    <n v="0.1"/>
    <n v="2699.1"/>
    <n v="1750"/>
    <n v="1750"/>
    <n v="0"/>
    <n v="949.1"/>
  </r>
  <r>
    <s v="ORD01219"/>
    <x v="637"/>
    <s v="C0151"/>
    <s v="Corporate"/>
    <s v="Bhopal"/>
    <x v="1"/>
    <x v="2"/>
    <s v="UPI"/>
    <s v="P009"/>
    <x v="9"/>
    <x v="2"/>
    <n v="1"/>
    <n v="599"/>
    <n v="0"/>
    <n v="599"/>
    <n v="240"/>
    <n v="240"/>
    <n v="80"/>
    <n v="279"/>
  </r>
  <r>
    <s v="ORD00245"/>
    <x v="637"/>
    <s v="C0245"/>
    <s v="Small Business"/>
    <s v="Indore"/>
    <x v="1"/>
    <x v="1"/>
    <s v="Debit Card"/>
    <s v="P003"/>
    <x v="10"/>
    <x v="0"/>
    <n v="2"/>
    <n v="1599"/>
    <n v="0.15"/>
    <n v="2718.3"/>
    <n v="900"/>
    <n v="1800"/>
    <n v="60"/>
    <n v="858.3"/>
  </r>
  <r>
    <s v="ORD00709"/>
    <x v="637"/>
    <s v="C0255"/>
    <s v="Consumer"/>
    <s v="Pune"/>
    <x v="3"/>
    <x v="1"/>
    <s v="Net Banking"/>
    <s v="P006"/>
    <x v="8"/>
    <x v="3"/>
    <n v="2"/>
    <n v="2999"/>
    <n v="0.05"/>
    <n v="5698.1"/>
    <n v="1750"/>
    <n v="3500"/>
    <n v="80"/>
    <n v="2118.1"/>
  </r>
  <r>
    <s v="ORD00698"/>
    <x v="638"/>
    <s v="C0295"/>
    <s v="Small Business"/>
    <s v="Lucknow"/>
    <x v="8"/>
    <x v="1"/>
    <s v="Credit Card"/>
    <s v="P005"/>
    <x v="1"/>
    <x v="1"/>
    <n v="1"/>
    <n v="1299"/>
    <n v="0.05"/>
    <n v="1234.05"/>
    <n v="700"/>
    <n v="700"/>
    <n v="60"/>
    <n v="474.05"/>
  </r>
  <r>
    <s v="ORD01381"/>
    <x v="638"/>
    <s v="C0078"/>
    <s v="Corporate"/>
    <s v="Indore"/>
    <x v="1"/>
    <x v="0"/>
    <s v="Cash on Delivery"/>
    <s v="P009"/>
    <x v="9"/>
    <x v="2"/>
    <n v="1"/>
    <n v="599"/>
    <n v="0"/>
    <n v="599"/>
    <n v="240"/>
    <n v="240"/>
    <n v="40"/>
    <n v="319"/>
  </r>
  <r>
    <s v="ORD01199"/>
    <x v="638"/>
    <s v="C0097"/>
    <s v="Small Business"/>
    <s v="Delhi"/>
    <x v="5"/>
    <x v="0"/>
    <s v="Credit Card"/>
    <s v="P002"/>
    <x v="5"/>
    <x v="0"/>
    <n v="2"/>
    <n v="2499"/>
    <n v="0.15"/>
    <n v="4248.3"/>
    <n v="1450"/>
    <n v="2900"/>
    <n v="100"/>
    <n v="1248.3"/>
  </r>
  <r>
    <s v="ORD00412"/>
    <x v="639"/>
    <s v="C0341"/>
    <s v="Small Business"/>
    <s v="Bengaluru"/>
    <x v="2"/>
    <x v="2"/>
    <s v="Net Banking"/>
    <s v="P009"/>
    <x v="9"/>
    <x v="2"/>
    <n v="2"/>
    <n v="599"/>
    <n v="0.15"/>
    <n v="1018.3"/>
    <n v="240"/>
    <n v="480"/>
    <n v="60"/>
    <n v="478.3"/>
  </r>
  <r>
    <s v="ORD00024"/>
    <x v="639"/>
    <s v="C0037"/>
    <s v="Small Business"/>
    <s v="Chennai"/>
    <x v="9"/>
    <x v="2"/>
    <s v="Debit Card"/>
    <s v="P011"/>
    <x v="7"/>
    <x v="1"/>
    <n v="1"/>
    <n v="6999"/>
    <n v="0"/>
    <n v="6999"/>
    <n v="4900"/>
    <n v="4900"/>
    <n v="0"/>
    <n v="2099"/>
  </r>
  <r>
    <s v="ORD00080"/>
    <x v="639"/>
    <s v="C0139"/>
    <s v="Small Business"/>
    <s v="Indore"/>
    <x v="1"/>
    <x v="0"/>
    <s v="Net Banking"/>
    <s v="P003"/>
    <x v="10"/>
    <x v="0"/>
    <n v="2"/>
    <n v="1599"/>
    <n v="0.2"/>
    <n v="2558.4"/>
    <n v="900"/>
    <n v="1800"/>
    <n v="100"/>
    <n v="658.4"/>
  </r>
  <r>
    <s v="ORD01177"/>
    <x v="639"/>
    <s v="C0225"/>
    <s v="Corporate"/>
    <s v="Delhi"/>
    <x v="5"/>
    <x v="1"/>
    <s v="Cash on Delivery"/>
    <s v="P004"/>
    <x v="3"/>
    <x v="1"/>
    <n v="2"/>
    <n v="499"/>
    <n v="0.1"/>
    <n v="898.2"/>
    <n v="180"/>
    <n v="360"/>
    <n v="80"/>
    <n v="458.2"/>
  </r>
  <r>
    <s v="ORD00762"/>
    <x v="640"/>
    <s v="C0337"/>
    <s v="Small Business"/>
    <s v="Kolkata"/>
    <x v="7"/>
    <x v="0"/>
    <s v="Credit Card"/>
    <s v="P002"/>
    <x v="5"/>
    <x v="0"/>
    <n v="1"/>
    <n v="2499"/>
    <n v="0.15"/>
    <n v="2124.15"/>
    <n v="1450"/>
    <n v="1450"/>
    <n v="40"/>
    <n v="634.15"/>
  </r>
  <r>
    <s v="ORD00240"/>
    <x v="640"/>
    <s v="C0345"/>
    <s v="Consumer"/>
    <s v="Chennai"/>
    <x v="9"/>
    <x v="1"/>
    <s v="Cash on Delivery"/>
    <s v="P010"/>
    <x v="11"/>
    <x v="4"/>
    <n v="1"/>
    <n v="299"/>
    <n v="0"/>
    <n v="299"/>
    <n v="110"/>
    <n v="110"/>
    <n v="60"/>
    <n v="129"/>
  </r>
  <r>
    <s v="ORD00700"/>
    <x v="640"/>
    <s v="C0239"/>
    <s v="Small Business"/>
    <s v="Mumbai"/>
    <x v="3"/>
    <x v="2"/>
    <s v="Credit Card"/>
    <s v="P005"/>
    <x v="1"/>
    <x v="1"/>
    <n v="5"/>
    <n v="1299"/>
    <n v="0"/>
    <n v="6495"/>
    <n v="700"/>
    <n v="3500"/>
    <n v="0"/>
    <n v="2995"/>
  </r>
  <r>
    <s v="ORD00963"/>
    <x v="640"/>
    <s v="C0332"/>
    <s v="Corporate"/>
    <s v="Delhi"/>
    <x v="5"/>
    <x v="1"/>
    <s v="Credit Card"/>
    <s v="P008"/>
    <x v="2"/>
    <x v="2"/>
    <n v="3"/>
    <n v="1799"/>
    <n v="0.1"/>
    <n v="4857.3"/>
    <n v="850"/>
    <n v="2550"/>
    <n v="0"/>
    <n v="2307.3000000000002"/>
  </r>
  <r>
    <s v="ORD00812"/>
    <x v="641"/>
    <s v="C0318"/>
    <s v="Corporate"/>
    <s v="Jaipur"/>
    <x v="4"/>
    <x v="0"/>
    <s v="UPI"/>
    <s v="P009"/>
    <x v="9"/>
    <x v="2"/>
    <n v="2"/>
    <n v="599"/>
    <n v="0.15"/>
    <n v="1018.3"/>
    <n v="240"/>
    <n v="480"/>
    <n v="60"/>
    <n v="478.3"/>
  </r>
  <r>
    <s v="ORD00109"/>
    <x v="641"/>
    <s v="C0048"/>
    <s v="Consumer"/>
    <s v="Kolkata"/>
    <x v="7"/>
    <x v="2"/>
    <s v="Net Banking"/>
    <s v="P003"/>
    <x v="10"/>
    <x v="0"/>
    <n v="1"/>
    <n v="1599"/>
    <n v="0"/>
    <n v="1599"/>
    <n v="900"/>
    <n v="900"/>
    <n v="100"/>
    <n v="599"/>
  </r>
  <r>
    <s v="ORD01266"/>
    <x v="642"/>
    <s v="C0333"/>
    <s v="Consumer"/>
    <s v="Jaipur"/>
    <x v="4"/>
    <x v="2"/>
    <s v="Cash on Delivery"/>
    <s v="P008"/>
    <x v="2"/>
    <x v="2"/>
    <n v="1"/>
    <n v="1799"/>
    <n v="0.1"/>
    <n v="1619.1"/>
    <n v="850"/>
    <n v="850"/>
    <n v="60"/>
    <n v="709.1"/>
  </r>
  <r>
    <s v="ORD00347"/>
    <x v="642"/>
    <s v="C0402"/>
    <s v="Consumer"/>
    <s v="Delhi"/>
    <x v="5"/>
    <x v="2"/>
    <s v="UPI"/>
    <s v="P010"/>
    <x v="11"/>
    <x v="4"/>
    <n v="2"/>
    <n v="299"/>
    <n v="0"/>
    <n v="598"/>
    <n v="110"/>
    <n v="220"/>
    <n v="100"/>
    <n v="278"/>
  </r>
  <r>
    <s v="ORD00729"/>
    <x v="643"/>
    <s v="C0238"/>
    <s v="Corporate"/>
    <s v="Bhopal"/>
    <x v="1"/>
    <x v="0"/>
    <s v="UPI"/>
    <s v="P010"/>
    <x v="11"/>
    <x v="4"/>
    <n v="3"/>
    <n v="299"/>
    <n v="0"/>
    <n v="897"/>
    <n v="110"/>
    <n v="330"/>
    <n v="100"/>
    <n v="467"/>
  </r>
  <r>
    <s v="ORD00147"/>
    <x v="644"/>
    <s v="C0076"/>
    <s v="Consumer"/>
    <s v="Bhopal"/>
    <x v="1"/>
    <x v="2"/>
    <s v="Debit Card"/>
    <s v="P008"/>
    <x v="2"/>
    <x v="2"/>
    <n v="1"/>
    <n v="1799"/>
    <n v="0"/>
    <n v="1799"/>
    <n v="850"/>
    <n v="850"/>
    <n v="60"/>
    <n v="889"/>
  </r>
  <r>
    <s v="ORD00742"/>
    <x v="644"/>
    <s v="C0018"/>
    <s v="Consumer"/>
    <s v="Chennai"/>
    <x v="9"/>
    <x v="0"/>
    <s v="Net Banking"/>
    <s v="P009"/>
    <x v="9"/>
    <x v="2"/>
    <n v="1"/>
    <n v="599"/>
    <n v="0.15"/>
    <n v="509.15"/>
    <n v="240"/>
    <n v="240"/>
    <n v="100"/>
    <n v="169.15"/>
  </r>
  <r>
    <s v="ORD00377"/>
    <x v="644"/>
    <s v="C0185"/>
    <s v="Consumer"/>
    <s v="Lucknow"/>
    <x v="8"/>
    <x v="1"/>
    <s v="Cash on Delivery"/>
    <s v="P010"/>
    <x v="11"/>
    <x v="4"/>
    <n v="2"/>
    <n v="299"/>
    <n v="0.1"/>
    <n v="538.20000000000005"/>
    <n v="110"/>
    <n v="220"/>
    <n v="80"/>
    <n v="238.2"/>
  </r>
  <r>
    <s v="ORD01093"/>
    <x v="644"/>
    <s v="C0049"/>
    <s v="Small Business"/>
    <s v="Hyderabad"/>
    <x v="0"/>
    <x v="1"/>
    <s v="Net Banking"/>
    <s v="P009"/>
    <x v="9"/>
    <x v="2"/>
    <n v="3"/>
    <n v="599"/>
    <n v="0.15"/>
    <n v="1527.45"/>
    <n v="240"/>
    <n v="720"/>
    <n v="40"/>
    <n v="767.45"/>
  </r>
  <r>
    <s v="ORD00998"/>
    <x v="645"/>
    <s v="C0212"/>
    <s v="Corporate"/>
    <s v="Delhi"/>
    <x v="5"/>
    <x v="1"/>
    <s v="Net Banking"/>
    <s v="P001"/>
    <x v="0"/>
    <x v="0"/>
    <n v="1"/>
    <n v="799"/>
    <n v="0"/>
    <n v="799"/>
    <n v="420"/>
    <n v="420"/>
    <n v="60"/>
    <n v="319"/>
  </r>
  <r>
    <s v="ORD01409"/>
    <x v="645"/>
    <s v="C0126"/>
    <s v="Small Business"/>
    <s v="Indore"/>
    <x v="1"/>
    <x v="1"/>
    <s v="Debit Card"/>
    <s v="P005"/>
    <x v="1"/>
    <x v="1"/>
    <n v="4"/>
    <n v="1299"/>
    <n v="0.15"/>
    <n v="4416.6000000000004"/>
    <n v="700"/>
    <n v="2800"/>
    <n v="60"/>
    <n v="1556.6"/>
  </r>
  <r>
    <s v="ORD01159"/>
    <x v="645"/>
    <s v="C0442"/>
    <s v="Small Business"/>
    <s v="Delhi"/>
    <x v="5"/>
    <x v="0"/>
    <s v="Credit Card"/>
    <s v="P011"/>
    <x v="7"/>
    <x v="1"/>
    <n v="1"/>
    <n v="6999"/>
    <n v="0"/>
    <n v="6999"/>
    <n v="4900"/>
    <n v="4900"/>
    <n v="0"/>
    <n v="2099"/>
  </r>
  <r>
    <s v="ORD01176"/>
    <x v="645"/>
    <s v="C0377"/>
    <s v="Corporate"/>
    <s v="Bhopal"/>
    <x v="1"/>
    <x v="2"/>
    <s v="Debit Card"/>
    <s v="P003"/>
    <x v="10"/>
    <x v="0"/>
    <n v="2"/>
    <n v="1599"/>
    <n v="0"/>
    <n v="3198"/>
    <n v="900"/>
    <n v="1800"/>
    <n v="80"/>
    <n v="1318"/>
  </r>
  <r>
    <s v="ORD00065"/>
    <x v="645"/>
    <s v="C0042"/>
    <s v="Consumer"/>
    <s v="Lucknow"/>
    <x v="8"/>
    <x v="2"/>
    <s v="Credit Card"/>
    <s v="P005"/>
    <x v="1"/>
    <x v="1"/>
    <n v="1"/>
    <n v="1299"/>
    <n v="0.05"/>
    <n v="1234.05"/>
    <n v="700"/>
    <n v="700"/>
    <n v="60"/>
    <n v="474.05"/>
  </r>
  <r>
    <s v="ORD00022"/>
    <x v="645"/>
    <s v="C0265"/>
    <s v="Corporate"/>
    <s v="Jaipur"/>
    <x v="4"/>
    <x v="2"/>
    <s v="Credit Card"/>
    <s v="P005"/>
    <x v="1"/>
    <x v="1"/>
    <n v="1"/>
    <n v="1299"/>
    <n v="0.2"/>
    <n v="1039.2"/>
    <n v="700"/>
    <n v="700"/>
    <n v="60"/>
    <n v="2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A2A43-0811-4B0A-8A55-BA74FF01DF4C}" name="PivotTable10"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s">
  <location ref="A3:B14" firstHeaderRow="1" firstDataRow="1" firstDataCol="1"/>
  <pivotFields count="21">
    <pivotField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axis="axisRow" showAll="0" sortType="descending">
      <items count="11">
        <item x="5"/>
        <item x="6"/>
        <item x="2"/>
        <item x="1"/>
        <item x="3"/>
        <item x="4"/>
        <item x="9"/>
        <item x="0"/>
        <item x="8"/>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5">
        <item x="0"/>
        <item x="1"/>
        <item x="2"/>
        <item x="3"/>
        <item x="4"/>
      </items>
    </pivotField>
  </pivotFields>
  <rowFields count="1">
    <field x="5"/>
  </rowFields>
  <rowItems count="11">
    <i>
      <x v="3"/>
    </i>
    <i>
      <x v="4"/>
    </i>
    <i>
      <x v="9"/>
    </i>
    <i>
      <x/>
    </i>
    <i>
      <x v="8"/>
    </i>
    <i>
      <x v="1"/>
    </i>
    <i>
      <x v="5"/>
    </i>
    <i>
      <x v="2"/>
    </i>
    <i>
      <x v="6"/>
    </i>
    <i>
      <x v="7"/>
    </i>
    <i t="grand">
      <x/>
    </i>
  </rowItems>
  <colItems count="1">
    <i/>
  </colItems>
  <dataFields count="1">
    <dataField name="Sum of Revenue_INR"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F37C6F-54CB-4646-919E-54F1F1DB9672}" name="PivotTable11"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s">
  <location ref="A1:B12" firstHeaderRow="1" firstDataRow="1" firstDataCol="1"/>
  <pivotFields count="21">
    <pivotField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axis="axisRow" showAll="0" sortType="descending">
      <items count="11">
        <item x="5"/>
        <item x="6"/>
        <item x="2"/>
        <item x="1"/>
        <item x="3"/>
        <item x="4"/>
        <item x="9"/>
        <item x="0"/>
        <item x="8"/>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5">
        <item x="0"/>
        <item x="1"/>
        <item x="2"/>
        <item x="3"/>
        <item x="4"/>
      </items>
    </pivotField>
  </pivotFields>
  <rowFields count="1">
    <field x="5"/>
  </rowFields>
  <rowItems count="11">
    <i>
      <x v="3"/>
    </i>
    <i>
      <x v="4"/>
    </i>
    <i>
      <x/>
    </i>
    <i>
      <x v="9"/>
    </i>
    <i>
      <x v="1"/>
    </i>
    <i>
      <x v="8"/>
    </i>
    <i>
      <x v="5"/>
    </i>
    <i>
      <x v="6"/>
    </i>
    <i>
      <x v="2"/>
    </i>
    <i>
      <x v="7"/>
    </i>
    <i t="grand">
      <x/>
    </i>
  </rowItems>
  <colItems count="1">
    <i/>
  </colItems>
  <dataFields count="1">
    <dataField name="Sum of Profit_INR"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C4DBF-31D7-4F47-BD3A-EFF2C13A93E4}" name="PivotTable12"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s">
  <location ref="A1:B12" firstHeaderRow="1" firstDataRow="1" firstDataCol="1"/>
  <pivotFields count="21">
    <pivotField dataField="1"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axis="axisRow" showAll="0">
      <items count="11">
        <item x="5"/>
        <item x="6"/>
        <item x="2"/>
        <item x="1"/>
        <item x="3"/>
        <item x="4"/>
        <item x="9"/>
        <item x="0"/>
        <item x="8"/>
        <item x="7"/>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5"/>
  </rowFields>
  <rowItems count="11">
    <i>
      <x/>
    </i>
    <i>
      <x v="1"/>
    </i>
    <i>
      <x v="2"/>
    </i>
    <i>
      <x v="3"/>
    </i>
    <i>
      <x v="4"/>
    </i>
    <i>
      <x v="5"/>
    </i>
    <i>
      <x v="6"/>
    </i>
    <i>
      <x v="7"/>
    </i>
    <i>
      <x v="8"/>
    </i>
    <i>
      <x v="9"/>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F71256-4BCF-430D-ACC9-D330050D796A}" name="PivotTable4"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A3:C7" firstHeaderRow="0" firstDataRow="1" firstDataCol="1"/>
  <pivotFields count="21">
    <pivotField showAll="0"/>
    <pivotField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t="grand">
      <x/>
    </i>
  </rowItems>
  <colFields count="1">
    <field x="-2"/>
  </colFields>
  <colItems count="2">
    <i>
      <x/>
    </i>
    <i i="1">
      <x v="1"/>
    </i>
  </colItems>
  <dataFields count="2">
    <dataField name="Sum of Revenue_INR" fld="14" baseField="0" baseItem="0"/>
    <dataField name="Sum of Profit_INR" fld="18" baseField="0"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513BC-128E-43E7-8D6C-A53CC4E263DE}" name="PivotTable5"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3:B14" firstHeaderRow="1" firstDataRow="1" firstDataCol="1"/>
  <pivotFields count="21">
    <pivotField showAll="0"/>
    <pivotField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showAll="0">
      <items count="4">
        <item x="0"/>
        <item x="1"/>
        <item x="2"/>
        <item t="default"/>
      </items>
    </pivotField>
    <pivotField showAll="0"/>
    <pivotField showAll="0"/>
    <pivotField axis="axisRow" showAll="0" measureFilter="1" sortType="descending">
      <items count="13">
        <item x="2"/>
        <item x="6"/>
        <item x="9"/>
        <item x="1"/>
        <item x="5"/>
        <item x="11"/>
        <item x="7"/>
        <item x="8"/>
        <item x="10"/>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11">
    <i>
      <x v="6"/>
    </i>
    <i>
      <x v="7"/>
    </i>
    <i>
      <x v="4"/>
    </i>
    <i>
      <x v="1"/>
    </i>
    <i>
      <x/>
    </i>
    <i>
      <x v="8"/>
    </i>
    <i>
      <x v="3"/>
    </i>
    <i>
      <x v="11"/>
    </i>
    <i>
      <x v="10"/>
    </i>
    <i>
      <x v="9"/>
    </i>
    <i t="grand">
      <x/>
    </i>
  </rowItems>
  <colItems count="1">
    <i/>
  </colItems>
  <dataFields count="1">
    <dataField name="Sum of Revenue_INR"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54CABB-CBB3-4FDA-8A6A-2D0A0398CD75}" name="PivotTable1"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3:B30" firstHeaderRow="1" firstDataRow="1" firstDataCol="1"/>
  <pivotFields count="21">
    <pivotField showAll="0"/>
    <pivotField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0"/>
    <field x="19"/>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e_INR"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4F5441-E90E-4704-BC9E-6B930246DFDB}" name="PivotTable2"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A3:B9" firstHeaderRow="1" firstDataRow="1" firstDataCol="1"/>
  <pivotFields count="21">
    <pivotField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showAll="0">
      <items count="4">
        <item x="0"/>
        <item x="1"/>
        <item x="2"/>
        <item t="default"/>
      </items>
    </pivotField>
    <pivotField showAll="0"/>
    <pivotField showAll="0"/>
    <pivotField showAll="0"/>
    <pivotField axis="axisRow"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Profit_INR"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646386-2ECC-4AFE-B441-A22F39F8AB9F}" name="PivotTable3"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Channel">
  <location ref="A3:C7" firstHeaderRow="0" firstDataRow="1" firstDataCol="1"/>
  <pivotFields count="21">
    <pivotField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defaultSubtotal="0"/>
    <pivotField showAll="0" defaultSubtotal="0">
      <items count="5">
        <item x="0"/>
        <item x="1"/>
        <item x="2"/>
        <item x="3"/>
        <item x="4"/>
      </items>
    </pivotField>
  </pivotFields>
  <rowFields count="1">
    <field x="6"/>
  </rowFields>
  <rowItems count="4">
    <i>
      <x/>
    </i>
    <i>
      <x v="1"/>
    </i>
    <i>
      <x v="2"/>
    </i>
    <i t="grand">
      <x/>
    </i>
  </rowItems>
  <colFields count="1">
    <field x="-2"/>
  </colFields>
  <colItems count="2">
    <i>
      <x/>
    </i>
    <i i="1">
      <x v="1"/>
    </i>
  </colItems>
  <dataFields count="2">
    <dataField name="Sum of Revenue_INR" fld="14" baseField="0" baseItem="0"/>
    <dataField name="Sum of Total_Cost_INR" fld="16" baseField="0" baseItem="0"/>
  </dataFields>
  <chartFormats count="2">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8B9BE-2CF1-494B-98B4-1C6D8498CF4D}" name="PivotTable4"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Channel">
  <location ref="A3:C7" firstHeaderRow="0" firstDataRow="1" firstDataCol="1"/>
  <pivotFields count="21">
    <pivotField showAll="0"/>
    <pivotField numFmtId="14" showAll="0">
      <items count="6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showAll="0"/>
    <pivotField showAll="0"/>
    <pivotField showAll="0"/>
    <pivotField showAll="0">
      <items count="11">
        <item x="5"/>
        <item x="6"/>
        <item x="2"/>
        <item x="1"/>
        <item x="3"/>
        <item x="4"/>
        <item x="9"/>
        <item x="0"/>
        <item x="8"/>
        <item x="7"/>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defaultSubtotal="0"/>
    <pivotField showAll="0" defaultSubtotal="0">
      <items count="5">
        <item x="0"/>
        <item x="1"/>
        <item x="2"/>
        <item x="3"/>
        <item x="4"/>
      </items>
    </pivotField>
  </pivotFields>
  <rowFields count="1">
    <field x="6"/>
  </rowFields>
  <rowItems count="4">
    <i>
      <x/>
    </i>
    <i>
      <x v="1"/>
    </i>
    <i>
      <x v="2"/>
    </i>
    <i t="grand">
      <x/>
    </i>
  </rowItems>
  <colFields count="1">
    <field x="-2"/>
  </colFields>
  <colItems count="2">
    <i>
      <x/>
    </i>
    <i i="1">
      <x v="1"/>
    </i>
  </colItems>
  <dataFields count="2">
    <dataField name="Sum of Revenue_INR" fld="14" baseField="0" baseItem="0"/>
    <dataField name="Sum of Profit_INR" fld="18" baseField="0" baseItem="0"/>
  </dataFields>
  <chartFormats count="2">
    <chartFormat chart="2" format="17"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942056-E80C-4C18-98C3-06160AEEB431}" autoFormatId="16" applyNumberFormats="0" applyBorderFormats="0" applyFontFormats="0" applyPatternFormats="0" applyAlignmentFormats="0" applyWidthHeightFormats="0">
  <queryTableRefresh nextId="25">
    <queryTableFields count="19">
      <queryTableField id="4" name="Order_ID" tableColumnId="4"/>
      <queryTableField id="5" name="Order_Date" tableColumnId="5"/>
      <queryTableField id="6" name="Customer_ID" tableColumnId="6"/>
      <queryTableField id="7" name="Customer_Segment" tableColumnId="7"/>
      <queryTableField id="8" name="City" tableColumnId="8"/>
      <queryTableField id="9" name="State" tableColumnId="9"/>
      <queryTableField id="10" name="Sales_Channel" tableColumnId="10"/>
      <queryTableField id="11" name="Payment_Method" tableColumnId="11"/>
      <queryTableField id="12" name="Product_ID" tableColumnId="12"/>
      <queryTableField id="13" name="Product_Name" tableColumnId="13"/>
      <queryTableField id="14" name="Category" tableColumnId="14"/>
      <queryTableField id="15" name="Quantity" tableColumnId="15"/>
      <queryTableField id="16" name="Unit_Price_INR" tableColumnId="16"/>
      <queryTableField id="17" name="Discount_Pct" tableColumnId="17"/>
      <queryTableField id="18" name="Revenue_INR" tableColumnId="18"/>
      <queryTableField id="19" name="Unit_Cost_INR" tableColumnId="19"/>
      <queryTableField id="20" name="Total_Cost_INR" tableColumnId="20"/>
      <queryTableField id="21" name="Shipping_Cost_INR" tableColumnId="21"/>
      <queryTableField id="22" name="Profit_INR"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0983932-5D1C-45AB-A915-A60A2083BC21}" sourceName="Sales_Channel">
  <pivotTables>
    <pivotTable tabId="5" name="PivotTable4"/>
    <pivotTable tabId="7" name="PivotTable1"/>
    <pivotTable tabId="8" name="PivotTable2"/>
    <pivotTable tabId="10" name="PivotTable4"/>
    <pivotTable tabId="9" name="PivotTable3"/>
    <pivotTable tabId="6" name="PivotTable5"/>
    <pivotTable tabId="15" name="PivotTable11"/>
    <pivotTable tabId="14" name="PivotTable10"/>
    <pivotTable tabId="16" name="PivotTable12"/>
  </pivotTables>
  <data>
    <tabular pivotCacheId="82312739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BE9C1929-112F-48FA-876C-EE9165384402}" sourceName="State">
  <pivotTables>
    <pivotTable tabId="14" name="PivotTable10"/>
    <pivotTable tabId="15" name="PivotTable11"/>
    <pivotTable tabId="7" name="PivotTable1"/>
    <pivotTable tabId="8" name="PivotTable2"/>
    <pivotTable tabId="10" name="PivotTable4"/>
    <pivotTable tabId="9" name="PivotTable3"/>
    <pivotTable tabId="5" name="PivotTable4"/>
    <pivotTable tabId="6" name="PivotTable5"/>
    <pivotTable tabId="16" name="PivotTable12"/>
  </pivotTables>
  <data>
    <tabular pivotCacheId="823127394">
      <items count="10">
        <i x="5" s="1"/>
        <i x="6" s="1"/>
        <i x="2" s="1"/>
        <i x="1" s="1"/>
        <i x="3" s="1"/>
        <i x="4" s="1"/>
        <i x="9" s="1"/>
        <i x="0"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3" xr10:uid="{C27DA6F4-9A5A-4B78-B990-1509DE1E8E09}" cache="Slicer_Sales_Channel" caption="Sales_Channel" rowHeight="247650"/>
  <slicer name="State 3" xr10:uid="{97944716-3AE4-482C-B99F-3E1413DD9626}" cache="Slicer_State2"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FE80930A-551F-44D0-BC8C-FB71921DD741}" cache="Slicer_Sales_Channel" caption="Sales_Channel" rowHeight="247650"/>
  <slicer name="State" xr10:uid="{346BE498-8ED7-4ED3-8A3C-8CE88527F264}" cache="Slicer_State2" caption="St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D39A05-E9F3-457B-86A9-7AB47879CEB2}" name="ecommerce_db" displayName="ecommerce_db" ref="A1:S1501" tableType="queryTable" totalsRowShown="0">
  <autoFilter ref="A1:S1501" xr:uid="{D9D39A05-E9F3-457B-86A9-7AB47879CEB2}"/>
  <tableColumns count="19">
    <tableColumn id="4" xr3:uid="{92DACF47-4EC4-4583-914F-788C878834F6}" uniqueName="4" name="Order_ID" queryTableFieldId="4" dataDxfId="11"/>
    <tableColumn id="5" xr3:uid="{BC81760D-DF3B-4191-BEA4-B6A1AAE82633}" uniqueName="5" name="Order_Date" queryTableFieldId="5" dataDxfId="10"/>
    <tableColumn id="6" xr3:uid="{B206BB80-538A-40D0-BF92-D21ACD547471}" uniqueName="6" name="Customer_ID" queryTableFieldId="6" dataDxfId="9"/>
    <tableColumn id="7" xr3:uid="{1DCD5767-B5FA-4795-953E-D1CF65AFDB97}" uniqueName="7" name="Customer_Segment" queryTableFieldId="7" dataDxfId="8"/>
    <tableColumn id="8" xr3:uid="{A01B71F9-7DC3-4406-9BE0-83CE00F0AFE2}" uniqueName="8" name="City" queryTableFieldId="8" dataDxfId="7"/>
    <tableColumn id="9" xr3:uid="{D5A77BE5-6DEE-4EFB-BE08-27243C972BD5}" uniqueName="9" name="State" queryTableFieldId="9" dataDxfId="6"/>
    <tableColumn id="10" xr3:uid="{F670CE58-25BA-4D63-AF83-60ED9F245CEB}" uniqueName="10" name="Sales_Channel" queryTableFieldId="10" dataDxfId="5"/>
    <tableColumn id="11" xr3:uid="{605DF863-DC2A-4CC6-A5C3-708E8D46D61F}" uniqueName="11" name="Payment_Method" queryTableFieldId="11" dataDxfId="4"/>
    <tableColumn id="12" xr3:uid="{708387EB-AD8D-4F8D-B469-EF6C3120F672}" uniqueName="12" name="Product_ID" queryTableFieldId="12" dataDxfId="3"/>
    <tableColumn id="13" xr3:uid="{C1109CFA-8BF1-45F5-8A5F-1E551276B84B}" uniqueName="13" name="Product_Name" queryTableFieldId="13" dataDxfId="2"/>
    <tableColumn id="14" xr3:uid="{892D7D78-EA0C-4F72-8AA3-4BE1E59BFE3A}" uniqueName="14" name="Category" queryTableFieldId="14" dataDxfId="1"/>
    <tableColumn id="15" xr3:uid="{35FCCF27-DB7F-4180-9133-48D646D79533}" uniqueName="15" name="Quantity" queryTableFieldId="15"/>
    <tableColumn id="16" xr3:uid="{DDDC3778-549D-4E57-99EF-648B883ABEDC}" uniqueName="16" name="Unit_Price_INR" queryTableFieldId="16"/>
    <tableColumn id="17" xr3:uid="{B2DF4DEC-D948-4F4A-824A-A28DF6DC31FB}" uniqueName="17" name="Discount_Pct" queryTableFieldId="17"/>
    <tableColumn id="18" xr3:uid="{F6E4732A-8E9C-4FF0-BB87-C659A34A9438}" uniqueName="18" name="Revenue_INR" queryTableFieldId="18"/>
    <tableColumn id="19" xr3:uid="{74CBFC43-A3CD-400E-A72F-C5AB48488546}" uniqueName="19" name="Unit_Cost_INR" queryTableFieldId="19"/>
    <tableColumn id="20" xr3:uid="{F19105A1-316E-4FBB-9491-29FE221BCA88}" uniqueName="20" name="Total_Cost_INR" queryTableFieldId="20"/>
    <tableColumn id="21" xr3:uid="{27311D1B-06D7-4716-9042-2274435B60AE}" uniqueName="21" name="Shipping_Cost_INR" queryTableFieldId="21"/>
    <tableColumn id="22" xr3:uid="{4CBDE67A-772A-48ED-8B8F-7221D1F3F865}" uniqueName="22" name="Profit_INR"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D48B-67D9-43FE-B294-26006927366D}">
  <dimension ref="A3:B14"/>
  <sheetViews>
    <sheetView workbookViewId="0">
      <selection activeCell="A4" sqref="A4"/>
    </sheetView>
  </sheetViews>
  <sheetFormatPr defaultRowHeight="14.4" x14ac:dyDescent="0.3"/>
  <cols>
    <col min="1" max="1" width="15.44140625" bestFit="1" customWidth="1"/>
    <col min="2" max="2" width="19.5546875" bestFit="1" customWidth="1"/>
    <col min="3" max="3" width="17.109375" bestFit="1" customWidth="1"/>
  </cols>
  <sheetData>
    <row r="3" spans="1:2" x14ac:dyDescent="0.3">
      <c r="A3" s="2" t="s">
        <v>2037</v>
      </c>
      <c r="B3" t="s">
        <v>2016</v>
      </c>
    </row>
    <row r="4" spans="1:2" x14ac:dyDescent="0.3">
      <c r="A4" s="3" t="s">
        <v>32</v>
      </c>
      <c r="B4" s="1">
        <v>958989.45000000019</v>
      </c>
    </row>
    <row r="5" spans="1:2" x14ac:dyDescent="0.3">
      <c r="A5" s="3" t="s">
        <v>55</v>
      </c>
      <c r="B5" s="1">
        <v>805098.59999999974</v>
      </c>
    </row>
    <row r="6" spans="1:2" x14ac:dyDescent="0.3">
      <c r="A6" s="3" t="s">
        <v>113</v>
      </c>
      <c r="B6" s="1">
        <v>541454.19999999995</v>
      </c>
    </row>
    <row r="7" spans="1:2" x14ac:dyDescent="0.3">
      <c r="A7" s="3" t="s">
        <v>70</v>
      </c>
      <c r="B7" s="1">
        <v>518699.9499999999</v>
      </c>
    </row>
    <row r="8" spans="1:2" x14ac:dyDescent="0.3">
      <c r="A8" s="3" t="s">
        <v>121</v>
      </c>
      <c r="B8" s="1">
        <v>491999.85000000015</v>
      </c>
    </row>
    <row r="9" spans="1:2" x14ac:dyDescent="0.3">
      <c r="A9" s="3" t="s">
        <v>97</v>
      </c>
      <c r="B9" s="1">
        <v>488579.85000000003</v>
      </c>
    </row>
    <row r="10" spans="1:2" x14ac:dyDescent="0.3">
      <c r="A10" s="3" t="s">
        <v>65</v>
      </c>
      <c r="B10" s="1">
        <v>423634.45000000013</v>
      </c>
    </row>
    <row r="11" spans="1:2" x14ac:dyDescent="0.3">
      <c r="A11" s="3" t="s">
        <v>50</v>
      </c>
      <c r="B11" s="1">
        <v>395310.64999999997</v>
      </c>
    </row>
    <row r="12" spans="1:2" x14ac:dyDescent="0.3">
      <c r="A12" s="3" t="s">
        <v>125</v>
      </c>
      <c r="B12" s="1">
        <v>385739.5500000001</v>
      </c>
    </row>
    <row r="13" spans="1:2" x14ac:dyDescent="0.3">
      <c r="A13" s="3" t="s">
        <v>23</v>
      </c>
      <c r="B13" s="1">
        <v>374462.49999999983</v>
      </c>
    </row>
    <row r="14" spans="1:2" x14ac:dyDescent="0.3">
      <c r="A14" s="3" t="s">
        <v>2015</v>
      </c>
      <c r="B14" s="1">
        <v>5383969.0500000007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70A5-191D-4D26-82DE-EFA67EF3E3B7}">
  <dimension ref="A1:B12"/>
  <sheetViews>
    <sheetView workbookViewId="0">
      <selection activeCell="A2" sqref="A2"/>
    </sheetView>
  </sheetViews>
  <sheetFormatPr defaultRowHeight="14.4" x14ac:dyDescent="0.3"/>
  <cols>
    <col min="1" max="1" width="15.44140625" bestFit="1" customWidth="1"/>
    <col min="2" max="2" width="16.5546875" bestFit="1" customWidth="1"/>
  </cols>
  <sheetData>
    <row r="1" spans="1:2" x14ac:dyDescent="0.3">
      <c r="A1" s="2" t="s">
        <v>2037</v>
      </c>
      <c r="B1" t="s">
        <v>2017</v>
      </c>
    </row>
    <row r="2" spans="1:2" x14ac:dyDescent="0.3">
      <c r="A2" s="3" t="s">
        <v>32</v>
      </c>
      <c r="B2" s="1">
        <v>310349.44999999995</v>
      </c>
    </row>
    <row r="3" spans="1:2" x14ac:dyDescent="0.3">
      <c r="A3" s="3" t="s">
        <v>55</v>
      </c>
      <c r="B3" s="1">
        <v>287688.59999999986</v>
      </c>
    </row>
    <row r="4" spans="1:2" x14ac:dyDescent="0.3">
      <c r="A4" s="3" t="s">
        <v>70</v>
      </c>
      <c r="B4" s="1">
        <v>185369.95000000007</v>
      </c>
    </row>
    <row r="5" spans="1:2" x14ac:dyDescent="0.3">
      <c r="A5" s="3" t="s">
        <v>113</v>
      </c>
      <c r="B5" s="1">
        <v>178134.19999999998</v>
      </c>
    </row>
    <row r="6" spans="1:2" x14ac:dyDescent="0.3">
      <c r="A6" s="3" t="s">
        <v>97</v>
      </c>
      <c r="B6" s="1">
        <v>165899.84999999989</v>
      </c>
    </row>
    <row r="7" spans="1:2" x14ac:dyDescent="0.3">
      <c r="A7" s="3" t="s">
        <v>121</v>
      </c>
      <c r="B7" s="1">
        <v>156229.84999999992</v>
      </c>
    </row>
    <row r="8" spans="1:2" x14ac:dyDescent="0.3">
      <c r="A8" s="3" t="s">
        <v>65</v>
      </c>
      <c r="B8" s="1">
        <v>140504.45000000001</v>
      </c>
    </row>
    <row r="9" spans="1:2" x14ac:dyDescent="0.3">
      <c r="A9" s="3" t="s">
        <v>125</v>
      </c>
      <c r="B9" s="1">
        <v>138369.54999999996</v>
      </c>
    </row>
    <row r="10" spans="1:2" x14ac:dyDescent="0.3">
      <c r="A10" s="3" t="s">
        <v>50</v>
      </c>
      <c r="B10" s="1">
        <v>134000.65000000002</v>
      </c>
    </row>
    <row r="11" spans="1:2" x14ac:dyDescent="0.3">
      <c r="A11" s="3" t="s">
        <v>23</v>
      </c>
      <c r="B11" s="1">
        <v>130432.50000000004</v>
      </c>
    </row>
    <row r="12" spans="1:2" x14ac:dyDescent="0.3">
      <c r="A12" s="3" t="s">
        <v>2015</v>
      </c>
      <c r="B12" s="1">
        <v>1826979.0499999996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028BE-DC60-47D1-B43B-4AADD53BDA9E}">
  <dimension ref="A1:B12"/>
  <sheetViews>
    <sheetView workbookViewId="0">
      <selection activeCell="A2" sqref="A2"/>
    </sheetView>
  </sheetViews>
  <sheetFormatPr defaultRowHeight="14.4" x14ac:dyDescent="0.3"/>
  <cols>
    <col min="1" max="1" width="15.44140625" bestFit="1" customWidth="1"/>
    <col min="2" max="3" width="17.109375" bestFit="1" customWidth="1"/>
  </cols>
  <sheetData>
    <row r="1" spans="1:2" x14ac:dyDescent="0.3">
      <c r="A1" s="2" t="s">
        <v>2037</v>
      </c>
      <c r="B1" t="s">
        <v>2036</v>
      </c>
    </row>
    <row r="2" spans="1:2" x14ac:dyDescent="0.3">
      <c r="A2" s="3" t="s">
        <v>70</v>
      </c>
      <c r="B2" s="1">
        <v>146</v>
      </c>
    </row>
    <row r="3" spans="1:2" x14ac:dyDescent="0.3">
      <c r="A3" s="3" t="s">
        <v>97</v>
      </c>
      <c r="B3" s="1">
        <v>121</v>
      </c>
    </row>
    <row r="4" spans="1:2" x14ac:dyDescent="0.3">
      <c r="A4" s="3" t="s">
        <v>50</v>
      </c>
      <c r="B4" s="1">
        <v>118</v>
      </c>
    </row>
    <row r="5" spans="1:2" x14ac:dyDescent="0.3">
      <c r="A5" s="3" t="s">
        <v>32</v>
      </c>
      <c r="B5" s="1">
        <v>243</v>
      </c>
    </row>
    <row r="6" spans="1:2" x14ac:dyDescent="0.3">
      <c r="A6" s="3" t="s">
        <v>55</v>
      </c>
      <c r="B6" s="1">
        <v>246</v>
      </c>
    </row>
    <row r="7" spans="1:2" x14ac:dyDescent="0.3">
      <c r="A7" s="3" t="s">
        <v>65</v>
      </c>
      <c r="B7" s="1">
        <v>121</v>
      </c>
    </row>
    <row r="8" spans="1:2" x14ac:dyDescent="0.3">
      <c r="A8" s="3" t="s">
        <v>125</v>
      </c>
      <c r="B8" s="1">
        <v>126</v>
      </c>
    </row>
    <row r="9" spans="1:2" x14ac:dyDescent="0.3">
      <c r="A9" s="3" t="s">
        <v>23</v>
      </c>
      <c r="B9" s="1">
        <v>122</v>
      </c>
    </row>
    <row r="10" spans="1:2" x14ac:dyDescent="0.3">
      <c r="A10" s="3" t="s">
        <v>121</v>
      </c>
      <c r="B10" s="1">
        <v>130</v>
      </c>
    </row>
    <row r="11" spans="1:2" x14ac:dyDescent="0.3">
      <c r="A11" s="3" t="s">
        <v>113</v>
      </c>
      <c r="B11" s="1">
        <v>127</v>
      </c>
    </row>
    <row r="12" spans="1:2" x14ac:dyDescent="0.3">
      <c r="A12" s="3" t="s">
        <v>2015</v>
      </c>
      <c r="B12" s="1">
        <v>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EBD5-D756-4105-B1A6-C87A3B3528D5}">
  <dimension ref="A3:C7"/>
  <sheetViews>
    <sheetView workbookViewId="0">
      <selection activeCell="E13" sqref="E13"/>
    </sheetView>
  </sheetViews>
  <sheetFormatPr defaultRowHeight="14.4" x14ac:dyDescent="0.3"/>
  <cols>
    <col min="1" max="1" width="15.77734375" bestFit="1" customWidth="1"/>
    <col min="2" max="2" width="19.5546875" bestFit="1" customWidth="1"/>
    <col min="3" max="3" width="16.5546875" bestFit="1" customWidth="1"/>
  </cols>
  <sheetData>
    <row r="3" spans="1:3" x14ac:dyDescent="0.3">
      <c r="A3" s="2" t="s">
        <v>2018</v>
      </c>
      <c r="B3" t="s">
        <v>2016</v>
      </c>
      <c r="C3" t="s">
        <v>2017</v>
      </c>
    </row>
    <row r="4" spans="1:3" x14ac:dyDescent="0.3">
      <c r="A4" s="3" t="s">
        <v>24</v>
      </c>
      <c r="B4" s="1">
        <v>1956787.3499999999</v>
      </c>
      <c r="C4" s="1">
        <v>653717.35000000033</v>
      </c>
    </row>
    <row r="5" spans="1:3" x14ac:dyDescent="0.3">
      <c r="A5" s="3" t="s">
        <v>33</v>
      </c>
      <c r="B5" s="1">
        <v>1630214.3499999999</v>
      </c>
      <c r="C5" s="1">
        <v>557104.34999999986</v>
      </c>
    </row>
    <row r="6" spans="1:3" x14ac:dyDescent="0.3">
      <c r="A6" s="3" t="s">
        <v>42</v>
      </c>
      <c r="B6" s="1">
        <v>1796967.3500000006</v>
      </c>
      <c r="C6" s="1">
        <v>616157.35000000021</v>
      </c>
    </row>
    <row r="7" spans="1:3" x14ac:dyDescent="0.3">
      <c r="A7" s="3" t="s">
        <v>2015</v>
      </c>
      <c r="B7" s="1">
        <v>5383969.0500000007</v>
      </c>
      <c r="C7" s="1">
        <v>1826979.0500000003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FD7D-3A13-4764-A937-E1D4D1314CBB}">
  <dimension ref="A3:B14"/>
  <sheetViews>
    <sheetView workbookViewId="0">
      <selection activeCell="B19" sqref="B19"/>
    </sheetView>
  </sheetViews>
  <sheetFormatPr defaultRowHeight="14.4" x14ac:dyDescent="0.3"/>
  <cols>
    <col min="1" max="1" width="19.6640625" bestFit="1" customWidth="1"/>
    <col min="2" max="2" width="19.5546875" bestFit="1" customWidth="1"/>
  </cols>
  <sheetData>
    <row r="3" spans="1:2" x14ac:dyDescent="0.3">
      <c r="A3" s="2" t="s">
        <v>2019</v>
      </c>
      <c r="B3" t="s">
        <v>2016</v>
      </c>
    </row>
    <row r="4" spans="1:2" x14ac:dyDescent="0.3">
      <c r="A4" s="3" t="s">
        <v>77</v>
      </c>
      <c r="B4" s="1">
        <v>1719654.3</v>
      </c>
    </row>
    <row r="5" spans="1:2" x14ac:dyDescent="0.3">
      <c r="A5" s="3" t="s">
        <v>82</v>
      </c>
      <c r="B5" s="1">
        <v>750049.89999999979</v>
      </c>
    </row>
    <row r="6" spans="1:2" x14ac:dyDescent="0.3">
      <c r="A6" s="3" t="s">
        <v>67</v>
      </c>
      <c r="B6" s="1">
        <v>591138.45000000007</v>
      </c>
    </row>
    <row r="7" spans="1:2" x14ac:dyDescent="0.3">
      <c r="A7" s="3" t="s">
        <v>73</v>
      </c>
      <c r="B7" s="1">
        <v>534247.05000000005</v>
      </c>
    </row>
    <row r="8" spans="1:2" x14ac:dyDescent="0.3">
      <c r="A8" s="3" t="s">
        <v>44</v>
      </c>
      <c r="B8" s="1">
        <v>428791.64999999997</v>
      </c>
    </row>
    <row r="9" spans="1:2" x14ac:dyDescent="0.3">
      <c r="A9" s="3" t="s">
        <v>93</v>
      </c>
      <c r="B9" s="1">
        <v>342985.49999999994</v>
      </c>
    </row>
    <row r="10" spans="1:2" x14ac:dyDescent="0.3">
      <c r="A10" s="3" t="s">
        <v>36</v>
      </c>
      <c r="B10" s="1">
        <v>285585.15000000008</v>
      </c>
    </row>
    <row r="11" spans="1:2" x14ac:dyDescent="0.3">
      <c r="A11" s="3" t="s">
        <v>60</v>
      </c>
      <c r="B11" s="1">
        <v>263486.25</v>
      </c>
    </row>
    <row r="12" spans="1:2" x14ac:dyDescent="0.3">
      <c r="A12" s="3" t="s">
        <v>27</v>
      </c>
      <c r="B12" s="1">
        <v>138626.50000000003</v>
      </c>
    </row>
    <row r="13" spans="1:2" x14ac:dyDescent="0.3">
      <c r="A13" s="3" t="s">
        <v>52</v>
      </c>
      <c r="B13" s="1">
        <v>137249.95000000004</v>
      </c>
    </row>
    <row r="14" spans="1:2" x14ac:dyDescent="0.3">
      <c r="A14" s="3" t="s">
        <v>2015</v>
      </c>
      <c r="B14" s="1">
        <v>5191814.7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72F8-7EF6-4D47-99DE-4F4850DB0106}">
  <dimension ref="A3:B30"/>
  <sheetViews>
    <sheetView zoomScale="85" zoomScaleNormal="85" workbookViewId="0">
      <selection activeCell="A4" sqref="A4"/>
    </sheetView>
  </sheetViews>
  <sheetFormatPr defaultRowHeight="14.4" x14ac:dyDescent="0.3"/>
  <cols>
    <col min="1" max="1" width="10.5546875" bestFit="1" customWidth="1"/>
    <col min="2" max="2" width="18" bestFit="1" customWidth="1"/>
  </cols>
  <sheetData>
    <row r="3" spans="1:2" x14ac:dyDescent="0.3">
      <c r="A3" s="2" t="s">
        <v>2038</v>
      </c>
      <c r="B3" t="s">
        <v>2016</v>
      </c>
    </row>
    <row r="4" spans="1:2" x14ac:dyDescent="0.3">
      <c r="A4" s="3" t="s">
        <v>2020</v>
      </c>
      <c r="B4" s="1">
        <v>2715722.3500000006</v>
      </c>
    </row>
    <row r="5" spans="1:2" x14ac:dyDescent="0.3">
      <c r="A5" s="5" t="s">
        <v>2021</v>
      </c>
      <c r="B5" s="1">
        <v>278305.75000000017</v>
      </c>
    </row>
    <row r="6" spans="1:2" x14ac:dyDescent="0.3">
      <c r="A6" s="5" t="s">
        <v>2022</v>
      </c>
      <c r="B6" s="1">
        <v>207957.49999999997</v>
      </c>
    </row>
    <row r="7" spans="1:2" x14ac:dyDescent="0.3">
      <c r="A7" s="5" t="s">
        <v>2023</v>
      </c>
      <c r="B7" s="1">
        <v>238384.35000000006</v>
      </c>
    </row>
    <row r="8" spans="1:2" x14ac:dyDescent="0.3">
      <c r="A8" s="5" t="s">
        <v>2024</v>
      </c>
      <c r="B8" s="1">
        <v>226483.64999999997</v>
      </c>
    </row>
    <row r="9" spans="1:2" x14ac:dyDescent="0.3">
      <c r="A9" s="5" t="s">
        <v>2025</v>
      </c>
      <c r="B9" s="1">
        <v>273032.95000000007</v>
      </c>
    </row>
    <row r="10" spans="1:2" x14ac:dyDescent="0.3">
      <c r="A10" s="5" t="s">
        <v>2026</v>
      </c>
      <c r="B10" s="1">
        <v>168757.70000000004</v>
      </c>
    </row>
    <row r="11" spans="1:2" x14ac:dyDescent="0.3">
      <c r="A11" s="5" t="s">
        <v>2027</v>
      </c>
      <c r="B11" s="1">
        <v>228314.75</v>
      </c>
    </row>
    <row r="12" spans="1:2" x14ac:dyDescent="0.3">
      <c r="A12" s="5" t="s">
        <v>2028</v>
      </c>
      <c r="B12" s="1">
        <v>187681.45000000004</v>
      </c>
    </row>
    <row r="13" spans="1:2" x14ac:dyDescent="0.3">
      <c r="A13" s="5" t="s">
        <v>2029</v>
      </c>
      <c r="B13" s="1">
        <v>165445.80000000002</v>
      </c>
    </row>
    <row r="14" spans="1:2" x14ac:dyDescent="0.3">
      <c r="A14" s="5" t="s">
        <v>2030</v>
      </c>
      <c r="B14" s="1">
        <v>347640.00000000006</v>
      </c>
    </row>
    <row r="15" spans="1:2" x14ac:dyDescent="0.3">
      <c r="A15" s="5" t="s">
        <v>2031</v>
      </c>
      <c r="B15" s="1">
        <v>197122.85000000006</v>
      </c>
    </row>
    <row r="16" spans="1:2" x14ac:dyDescent="0.3">
      <c r="A16" s="5" t="s">
        <v>2032</v>
      </c>
      <c r="B16" s="1">
        <v>196595.59999999998</v>
      </c>
    </row>
    <row r="17" spans="1:2" x14ac:dyDescent="0.3">
      <c r="A17" s="3" t="s">
        <v>2033</v>
      </c>
      <c r="B17" s="1">
        <v>2668246.7000000002</v>
      </c>
    </row>
    <row r="18" spans="1:2" x14ac:dyDescent="0.3">
      <c r="A18" s="5" t="s">
        <v>2021</v>
      </c>
      <c r="B18" s="1">
        <v>212511.54999999993</v>
      </c>
    </row>
    <row r="19" spans="1:2" x14ac:dyDescent="0.3">
      <c r="A19" s="5" t="s">
        <v>2022</v>
      </c>
      <c r="B19" s="1">
        <v>201418.4</v>
      </c>
    </row>
    <row r="20" spans="1:2" x14ac:dyDescent="0.3">
      <c r="A20" s="5" t="s">
        <v>2023</v>
      </c>
      <c r="B20" s="1">
        <v>210489.75000000003</v>
      </c>
    </row>
    <row r="21" spans="1:2" x14ac:dyDescent="0.3">
      <c r="A21" s="5" t="s">
        <v>2024</v>
      </c>
      <c r="B21" s="1">
        <v>270367.64999999997</v>
      </c>
    </row>
    <row r="22" spans="1:2" x14ac:dyDescent="0.3">
      <c r="A22" s="5" t="s">
        <v>2025</v>
      </c>
      <c r="B22" s="1">
        <v>243465.05000000002</v>
      </c>
    </row>
    <row r="23" spans="1:2" x14ac:dyDescent="0.3">
      <c r="A23" s="5" t="s">
        <v>2026</v>
      </c>
      <c r="B23" s="1">
        <v>193993.25</v>
      </c>
    </row>
    <row r="24" spans="1:2" x14ac:dyDescent="0.3">
      <c r="A24" s="5" t="s">
        <v>2027</v>
      </c>
      <c r="B24" s="1">
        <v>178765.00000000003</v>
      </c>
    </row>
    <row r="25" spans="1:2" x14ac:dyDescent="0.3">
      <c r="A25" s="5" t="s">
        <v>2028</v>
      </c>
      <c r="B25" s="1">
        <v>226098.4</v>
      </c>
    </row>
    <row r="26" spans="1:2" x14ac:dyDescent="0.3">
      <c r="A26" s="5" t="s">
        <v>2029</v>
      </c>
      <c r="B26" s="1">
        <v>244699.10000000006</v>
      </c>
    </row>
    <row r="27" spans="1:2" x14ac:dyDescent="0.3">
      <c r="A27" s="5" t="s">
        <v>2030</v>
      </c>
      <c r="B27" s="1">
        <v>141076.44999999998</v>
      </c>
    </row>
    <row r="28" spans="1:2" x14ac:dyDescent="0.3">
      <c r="A28" s="5" t="s">
        <v>2031</v>
      </c>
      <c r="B28" s="1">
        <v>279442.75</v>
      </c>
    </row>
    <row r="29" spans="1:2" x14ac:dyDescent="0.3">
      <c r="A29" s="5" t="s">
        <v>2032</v>
      </c>
      <c r="B29" s="1">
        <v>265919.35000000003</v>
      </c>
    </row>
    <row r="30" spans="1:2" x14ac:dyDescent="0.3">
      <c r="A30" s="3" t="s">
        <v>2015</v>
      </c>
      <c r="B30" s="1">
        <v>5383969.0499999998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2265-3DFF-46A1-93D0-D671419BCD28}">
  <dimension ref="A3:B9"/>
  <sheetViews>
    <sheetView workbookViewId="0">
      <selection activeCell="A4" sqref="A4"/>
    </sheetView>
  </sheetViews>
  <sheetFormatPr defaultRowHeight="14.4" x14ac:dyDescent="0.3"/>
  <cols>
    <col min="1" max="1" width="18.44140625" bestFit="1" customWidth="1"/>
    <col min="2" max="2" width="16.5546875" bestFit="1" customWidth="1"/>
  </cols>
  <sheetData>
    <row r="3" spans="1:2" x14ac:dyDescent="0.3">
      <c r="A3" s="2" t="s">
        <v>2039</v>
      </c>
      <c r="B3" t="s">
        <v>2017</v>
      </c>
    </row>
    <row r="4" spans="1:2" x14ac:dyDescent="0.3">
      <c r="A4" s="3" t="s">
        <v>28</v>
      </c>
      <c r="B4" s="1">
        <v>578867.50000000035</v>
      </c>
    </row>
    <row r="5" spans="1:2" x14ac:dyDescent="0.3">
      <c r="A5" s="3" t="s">
        <v>45</v>
      </c>
      <c r="B5" s="1">
        <v>265280.34999999992</v>
      </c>
    </row>
    <row r="6" spans="1:2" x14ac:dyDescent="0.3">
      <c r="A6" s="3" t="s">
        <v>37</v>
      </c>
      <c r="B6" s="1">
        <v>587909.40000000014</v>
      </c>
    </row>
    <row r="7" spans="1:2" x14ac:dyDescent="0.3">
      <c r="A7" s="3" t="s">
        <v>61</v>
      </c>
      <c r="B7" s="1">
        <v>363016.15</v>
      </c>
    </row>
    <row r="8" spans="1:2" x14ac:dyDescent="0.3">
      <c r="A8" s="3" t="s">
        <v>136</v>
      </c>
      <c r="B8" s="1">
        <v>31905.65</v>
      </c>
    </row>
    <row r="9" spans="1:2" x14ac:dyDescent="0.3">
      <c r="A9" s="3" t="s">
        <v>2015</v>
      </c>
      <c r="B9" s="1">
        <v>1826979.0500000003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C1B6-5A4F-4EFD-87C7-DE2199E78019}">
  <dimension ref="A3:C7"/>
  <sheetViews>
    <sheetView zoomScale="70" zoomScaleNormal="70" workbookViewId="0">
      <selection activeCell="A4" sqref="A4"/>
    </sheetView>
  </sheetViews>
  <sheetFormatPr defaultRowHeight="14.4" x14ac:dyDescent="0.3"/>
  <cols>
    <col min="1" max="1" width="21" bestFit="1" customWidth="1"/>
    <col min="2" max="2" width="25.109375" bestFit="1" customWidth="1"/>
    <col min="3" max="3" width="27.44140625" bestFit="1" customWidth="1"/>
  </cols>
  <sheetData>
    <row r="3" spans="1:3" x14ac:dyDescent="0.3">
      <c r="A3" s="2" t="s">
        <v>2018</v>
      </c>
      <c r="B3" t="s">
        <v>2016</v>
      </c>
      <c r="C3" t="s">
        <v>2034</v>
      </c>
    </row>
    <row r="4" spans="1:3" x14ac:dyDescent="0.3">
      <c r="A4" s="3" t="s">
        <v>24</v>
      </c>
      <c r="B4" s="1">
        <v>1956787.3499999999</v>
      </c>
      <c r="C4" s="1">
        <v>1274070</v>
      </c>
    </row>
    <row r="5" spans="1:3" x14ac:dyDescent="0.3">
      <c r="A5" s="3" t="s">
        <v>33</v>
      </c>
      <c r="B5" s="1">
        <v>1630214.3499999999</v>
      </c>
      <c r="C5" s="1">
        <v>1046710</v>
      </c>
    </row>
    <row r="6" spans="1:3" x14ac:dyDescent="0.3">
      <c r="A6" s="3" t="s">
        <v>42</v>
      </c>
      <c r="B6" s="1">
        <v>1796967.3500000006</v>
      </c>
      <c r="C6" s="1">
        <v>1151750</v>
      </c>
    </row>
    <row r="7" spans="1:3" x14ac:dyDescent="0.3">
      <c r="A7" s="3" t="s">
        <v>2015</v>
      </c>
      <c r="B7" s="1">
        <v>5383969.0500000007</v>
      </c>
      <c r="C7" s="1">
        <v>3472530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CD59-9A33-49C5-B308-179049770952}">
  <dimension ref="A3:C7"/>
  <sheetViews>
    <sheetView workbookViewId="0">
      <selection activeCell="A4" sqref="A4"/>
    </sheetView>
  </sheetViews>
  <sheetFormatPr defaultRowHeight="14.4" x14ac:dyDescent="0.3"/>
  <cols>
    <col min="1" max="1" width="15.77734375" bestFit="1" customWidth="1"/>
    <col min="2" max="2" width="19.5546875" bestFit="1" customWidth="1"/>
    <col min="3" max="3" width="16.5546875" bestFit="1" customWidth="1"/>
  </cols>
  <sheetData>
    <row r="3" spans="1:3" x14ac:dyDescent="0.3">
      <c r="A3" s="2" t="s">
        <v>2018</v>
      </c>
      <c r="B3" t="s">
        <v>2016</v>
      </c>
      <c r="C3" t="s">
        <v>2017</v>
      </c>
    </row>
    <row r="4" spans="1:3" x14ac:dyDescent="0.3">
      <c r="A4" s="3" t="s">
        <v>24</v>
      </c>
      <c r="B4" s="1">
        <v>1956787.3499999999</v>
      </c>
      <c r="C4" s="1">
        <v>653717.35000000033</v>
      </c>
    </row>
    <row r="5" spans="1:3" x14ac:dyDescent="0.3">
      <c r="A5" s="3" t="s">
        <v>33</v>
      </c>
      <c r="B5" s="1">
        <v>1630214.3499999999</v>
      </c>
      <c r="C5" s="1">
        <v>557104.34999999986</v>
      </c>
    </row>
    <row r="6" spans="1:3" x14ac:dyDescent="0.3">
      <c r="A6" s="3" t="s">
        <v>42</v>
      </c>
      <c r="B6" s="1">
        <v>1796967.3500000006</v>
      </c>
      <c r="C6" s="1">
        <v>616157.35000000021</v>
      </c>
    </row>
    <row r="7" spans="1:3" x14ac:dyDescent="0.3">
      <c r="A7" s="3" t="s">
        <v>2015</v>
      </c>
      <c r="B7" s="1">
        <v>5383969.0500000007</v>
      </c>
      <c r="C7" s="1">
        <v>1826979.0500000003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49BC-8069-4AFF-AE22-10B1E49DBA5D}">
  <dimension ref="A1:S1501"/>
  <sheetViews>
    <sheetView zoomScale="85" zoomScaleNormal="85" workbookViewId="0">
      <selection activeCell="A2" sqref="A2:A1501"/>
    </sheetView>
  </sheetViews>
  <sheetFormatPr defaultRowHeight="14.4" x14ac:dyDescent="0.3"/>
  <cols>
    <col min="1" max="1" width="11" bestFit="1" customWidth="1"/>
    <col min="2" max="2" width="13" bestFit="1" customWidth="1"/>
    <col min="3" max="3" width="14.5546875" bestFit="1" customWidth="1"/>
    <col min="4" max="4" width="20.21875" bestFit="1" customWidth="1"/>
    <col min="5" max="5" width="10.6640625" bestFit="1" customWidth="1"/>
    <col min="6" max="6" width="14.33203125" bestFit="1" customWidth="1"/>
    <col min="7" max="7" width="15.77734375" bestFit="1" customWidth="1"/>
    <col min="8" max="8" width="17.88671875" bestFit="1" customWidth="1"/>
    <col min="9" max="9" width="12.77734375" bestFit="1" customWidth="1"/>
    <col min="10" max="10" width="18.44140625" bestFit="1" customWidth="1"/>
    <col min="11" max="11" width="13.88671875" bestFit="1" customWidth="1"/>
    <col min="12" max="12" width="10.5546875" bestFit="1" customWidth="1"/>
    <col min="13" max="13" width="16" bestFit="1" customWidth="1"/>
    <col min="14" max="14" width="14.6640625" bestFit="1" customWidth="1"/>
    <col min="15" max="15" width="14.33203125" bestFit="1" customWidth="1"/>
    <col min="16" max="16" width="15.6640625" bestFit="1" customWidth="1"/>
    <col min="17" max="17" width="16.21875" bestFit="1" customWidth="1"/>
    <col min="18" max="18" width="19.33203125" bestFit="1" customWidth="1"/>
    <col min="19" max="20" width="12.109375" bestFit="1" customWidth="1"/>
    <col min="21" max="21" width="8.33203125" bestFit="1" customWidth="1"/>
    <col min="22" max="22" width="13.44140625" bestFit="1" customWidth="1"/>
    <col min="23" max="23" width="7.1093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t="s">
        <v>19</v>
      </c>
      <c r="B2" s="4">
        <v>45292</v>
      </c>
      <c r="C2" s="1" t="s">
        <v>20</v>
      </c>
      <c r="D2" s="1" t="s">
        <v>21</v>
      </c>
      <c r="E2" s="1" t="s">
        <v>22</v>
      </c>
      <c r="F2" s="1" t="s">
        <v>23</v>
      </c>
      <c r="G2" s="1" t="s">
        <v>24</v>
      </c>
      <c r="H2" s="1" t="s">
        <v>25</v>
      </c>
      <c r="I2" s="1" t="s">
        <v>26</v>
      </c>
      <c r="J2" s="1" t="s">
        <v>27</v>
      </c>
      <c r="K2" s="1" t="s">
        <v>28</v>
      </c>
      <c r="L2">
        <v>2</v>
      </c>
      <c r="M2">
        <v>799</v>
      </c>
      <c r="N2">
        <v>0.05</v>
      </c>
      <c r="O2">
        <v>1518.1</v>
      </c>
      <c r="P2">
        <v>420</v>
      </c>
      <c r="Q2">
        <v>840</v>
      </c>
      <c r="R2">
        <v>40</v>
      </c>
      <c r="S2">
        <v>638.1</v>
      </c>
    </row>
    <row r="3" spans="1:19" x14ac:dyDescent="0.3">
      <c r="A3" s="1" t="s">
        <v>29</v>
      </c>
      <c r="B3" s="4">
        <v>45292</v>
      </c>
      <c r="C3" s="1" t="s">
        <v>30</v>
      </c>
      <c r="D3" s="1" t="s">
        <v>21</v>
      </c>
      <c r="E3" s="1" t="s">
        <v>31</v>
      </c>
      <c r="F3" s="1" t="s">
        <v>32</v>
      </c>
      <c r="G3" s="1" t="s">
        <v>33</v>
      </c>
      <c r="H3" s="1" t="s">
        <v>34</v>
      </c>
      <c r="I3" s="1" t="s">
        <v>35</v>
      </c>
      <c r="J3" s="1" t="s">
        <v>36</v>
      </c>
      <c r="K3" s="1" t="s">
        <v>37</v>
      </c>
      <c r="L3">
        <v>1</v>
      </c>
      <c r="M3">
        <v>1299</v>
      </c>
      <c r="N3">
        <v>0.1</v>
      </c>
      <c r="O3">
        <v>1169.0999999999999</v>
      </c>
      <c r="P3">
        <v>700</v>
      </c>
      <c r="Q3">
        <v>700</v>
      </c>
      <c r="R3">
        <v>100</v>
      </c>
      <c r="S3">
        <v>369.1</v>
      </c>
    </row>
    <row r="4" spans="1:19" x14ac:dyDescent="0.3">
      <c r="A4" s="1" t="s">
        <v>38</v>
      </c>
      <c r="B4" s="4">
        <v>45293</v>
      </c>
      <c r="C4" s="1" t="s">
        <v>39</v>
      </c>
      <c r="D4" s="1" t="s">
        <v>40</v>
      </c>
      <c r="E4" s="1" t="s">
        <v>41</v>
      </c>
      <c r="F4" s="1" t="s">
        <v>32</v>
      </c>
      <c r="G4" s="1" t="s">
        <v>42</v>
      </c>
      <c r="H4" s="1" t="s">
        <v>34</v>
      </c>
      <c r="I4" s="1" t="s">
        <v>43</v>
      </c>
      <c r="J4" s="1" t="s">
        <v>44</v>
      </c>
      <c r="K4" s="1" t="s">
        <v>45</v>
      </c>
      <c r="L4">
        <v>5</v>
      </c>
      <c r="M4">
        <v>1799</v>
      </c>
      <c r="N4">
        <v>0.15</v>
      </c>
      <c r="O4">
        <v>7645.75</v>
      </c>
      <c r="P4">
        <v>850</v>
      </c>
      <c r="Q4">
        <v>4250</v>
      </c>
      <c r="R4">
        <v>60</v>
      </c>
      <c r="S4">
        <v>3335.75</v>
      </c>
    </row>
    <row r="5" spans="1:19" x14ac:dyDescent="0.3">
      <c r="A5" s="1" t="s">
        <v>46</v>
      </c>
      <c r="B5" s="4">
        <v>45293</v>
      </c>
      <c r="C5" s="1" t="s">
        <v>47</v>
      </c>
      <c r="D5" s="1" t="s">
        <v>48</v>
      </c>
      <c r="E5" s="1" t="s">
        <v>49</v>
      </c>
      <c r="F5" s="1" t="s">
        <v>50</v>
      </c>
      <c r="G5" s="1" t="s">
        <v>33</v>
      </c>
      <c r="H5" s="1" t="s">
        <v>25</v>
      </c>
      <c r="I5" s="1" t="s">
        <v>51</v>
      </c>
      <c r="J5" s="1" t="s">
        <v>52</v>
      </c>
      <c r="K5" s="1" t="s">
        <v>37</v>
      </c>
      <c r="L5">
        <v>2</v>
      </c>
      <c r="M5">
        <v>499</v>
      </c>
      <c r="N5">
        <v>0</v>
      </c>
      <c r="O5">
        <v>998</v>
      </c>
      <c r="P5">
        <v>180</v>
      </c>
      <c r="Q5">
        <v>360</v>
      </c>
      <c r="R5">
        <v>100</v>
      </c>
      <c r="S5">
        <v>538</v>
      </c>
    </row>
    <row r="6" spans="1:19" x14ac:dyDescent="0.3">
      <c r="A6" s="1" t="s">
        <v>53</v>
      </c>
      <c r="B6" s="4">
        <v>45294</v>
      </c>
      <c r="C6" s="1" t="s">
        <v>20</v>
      </c>
      <c r="D6" s="1" t="s">
        <v>21</v>
      </c>
      <c r="E6" s="1" t="s">
        <v>54</v>
      </c>
      <c r="F6" s="1" t="s">
        <v>55</v>
      </c>
      <c r="G6" s="1" t="s">
        <v>33</v>
      </c>
      <c r="H6" s="1" t="s">
        <v>56</v>
      </c>
      <c r="I6" s="1" t="s">
        <v>26</v>
      </c>
      <c r="J6" s="1" t="s">
        <v>27</v>
      </c>
      <c r="K6" s="1" t="s">
        <v>28</v>
      </c>
      <c r="L6">
        <v>3</v>
      </c>
      <c r="M6">
        <v>799</v>
      </c>
      <c r="N6">
        <v>0</v>
      </c>
      <c r="O6">
        <v>2397</v>
      </c>
      <c r="P6">
        <v>420</v>
      </c>
      <c r="Q6">
        <v>1260</v>
      </c>
      <c r="R6">
        <v>40</v>
      </c>
      <c r="S6">
        <v>1097</v>
      </c>
    </row>
    <row r="7" spans="1:19" x14ac:dyDescent="0.3">
      <c r="A7" s="1" t="s">
        <v>57</v>
      </c>
      <c r="B7" s="4">
        <v>45295</v>
      </c>
      <c r="C7" s="1" t="s">
        <v>58</v>
      </c>
      <c r="D7" s="1" t="s">
        <v>40</v>
      </c>
      <c r="E7" s="1" t="s">
        <v>49</v>
      </c>
      <c r="F7" s="1" t="s">
        <v>50</v>
      </c>
      <c r="G7" s="1" t="s">
        <v>42</v>
      </c>
      <c r="H7" s="1" t="s">
        <v>34</v>
      </c>
      <c r="I7" s="1" t="s">
        <v>59</v>
      </c>
      <c r="J7" s="1" t="s">
        <v>60</v>
      </c>
      <c r="K7" s="1" t="s">
        <v>61</v>
      </c>
      <c r="L7">
        <v>1</v>
      </c>
      <c r="M7">
        <v>999</v>
      </c>
      <c r="N7">
        <v>0.15</v>
      </c>
      <c r="O7">
        <v>849.15</v>
      </c>
      <c r="P7">
        <v>520</v>
      </c>
      <c r="Q7">
        <v>520</v>
      </c>
      <c r="R7">
        <v>100</v>
      </c>
      <c r="S7">
        <v>229.15</v>
      </c>
    </row>
    <row r="8" spans="1:19" x14ac:dyDescent="0.3">
      <c r="A8" s="1" t="s">
        <v>62</v>
      </c>
      <c r="B8" s="4">
        <v>45295</v>
      </c>
      <c r="C8" s="1" t="s">
        <v>63</v>
      </c>
      <c r="D8" s="1" t="s">
        <v>21</v>
      </c>
      <c r="E8" s="1" t="s">
        <v>64</v>
      </c>
      <c r="F8" s="1" t="s">
        <v>65</v>
      </c>
      <c r="G8" s="1" t="s">
        <v>24</v>
      </c>
      <c r="H8" s="1" t="s">
        <v>56</v>
      </c>
      <c r="I8" s="1" t="s">
        <v>66</v>
      </c>
      <c r="J8" s="1" t="s">
        <v>67</v>
      </c>
      <c r="K8" s="1" t="s">
        <v>28</v>
      </c>
      <c r="L8">
        <v>1</v>
      </c>
      <c r="M8">
        <v>2499</v>
      </c>
      <c r="N8">
        <v>0.2</v>
      </c>
      <c r="O8">
        <v>1999.2</v>
      </c>
      <c r="P8">
        <v>1450</v>
      </c>
      <c r="Q8">
        <v>1450</v>
      </c>
      <c r="R8">
        <v>100</v>
      </c>
      <c r="S8">
        <v>449.2</v>
      </c>
    </row>
    <row r="9" spans="1:19" x14ac:dyDescent="0.3">
      <c r="A9" s="1" t="s">
        <v>68</v>
      </c>
      <c r="B9" s="4">
        <v>45295</v>
      </c>
      <c r="C9" s="1" t="s">
        <v>69</v>
      </c>
      <c r="D9" s="1" t="s">
        <v>40</v>
      </c>
      <c r="E9" s="1" t="s">
        <v>70</v>
      </c>
      <c r="F9" s="1" t="s">
        <v>70</v>
      </c>
      <c r="G9" s="1" t="s">
        <v>24</v>
      </c>
      <c r="H9" s="1" t="s">
        <v>71</v>
      </c>
      <c r="I9" s="1" t="s">
        <v>72</v>
      </c>
      <c r="J9" s="1" t="s">
        <v>73</v>
      </c>
      <c r="K9" s="1" t="s">
        <v>28</v>
      </c>
      <c r="L9">
        <v>3</v>
      </c>
      <c r="M9">
        <v>2199</v>
      </c>
      <c r="N9">
        <v>0.05</v>
      </c>
      <c r="O9">
        <v>6267.15</v>
      </c>
      <c r="P9">
        <v>1250</v>
      </c>
      <c r="Q9">
        <v>3750</v>
      </c>
      <c r="R9">
        <v>100</v>
      </c>
      <c r="S9">
        <v>2417.15</v>
      </c>
    </row>
    <row r="10" spans="1:19" x14ac:dyDescent="0.3">
      <c r="A10" s="1" t="s">
        <v>74</v>
      </c>
      <c r="B10" s="4">
        <v>45295</v>
      </c>
      <c r="C10" s="1" t="s">
        <v>75</v>
      </c>
      <c r="D10" s="1" t="s">
        <v>40</v>
      </c>
      <c r="E10" s="1" t="s">
        <v>31</v>
      </c>
      <c r="F10" s="1" t="s">
        <v>32</v>
      </c>
      <c r="G10" s="1" t="s">
        <v>33</v>
      </c>
      <c r="H10" s="1" t="s">
        <v>71</v>
      </c>
      <c r="I10" s="1" t="s">
        <v>76</v>
      </c>
      <c r="J10" s="1" t="s">
        <v>77</v>
      </c>
      <c r="K10" s="1" t="s">
        <v>37</v>
      </c>
      <c r="L10">
        <v>1</v>
      </c>
      <c r="M10">
        <v>6999</v>
      </c>
      <c r="N10">
        <v>0</v>
      </c>
      <c r="O10">
        <v>6999</v>
      </c>
      <c r="P10">
        <v>4900</v>
      </c>
      <c r="Q10">
        <v>4900</v>
      </c>
      <c r="R10">
        <v>80</v>
      </c>
      <c r="S10">
        <v>2019</v>
      </c>
    </row>
    <row r="11" spans="1:19" x14ac:dyDescent="0.3">
      <c r="A11" s="1" t="s">
        <v>78</v>
      </c>
      <c r="B11" s="4">
        <v>45297</v>
      </c>
      <c r="C11" s="1" t="s">
        <v>79</v>
      </c>
      <c r="D11" s="1" t="s">
        <v>21</v>
      </c>
      <c r="E11" s="1" t="s">
        <v>80</v>
      </c>
      <c r="F11" s="1" t="s">
        <v>55</v>
      </c>
      <c r="G11" s="1" t="s">
        <v>42</v>
      </c>
      <c r="H11" s="1" t="s">
        <v>56</v>
      </c>
      <c r="I11" s="1" t="s">
        <v>81</v>
      </c>
      <c r="J11" s="1" t="s">
        <v>82</v>
      </c>
      <c r="K11" s="1" t="s">
        <v>61</v>
      </c>
      <c r="L11">
        <v>4</v>
      </c>
      <c r="M11">
        <v>2999</v>
      </c>
      <c r="N11">
        <v>0.2</v>
      </c>
      <c r="O11">
        <v>9596.7999999999993</v>
      </c>
      <c r="P11">
        <v>1750</v>
      </c>
      <c r="Q11">
        <v>7000</v>
      </c>
      <c r="R11">
        <v>40</v>
      </c>
      <c r="S11">
        <v>2556.8000000000002</v>
      </c>
    </row>
    <row r="12" spans="1:19" x14ac:dyDescent="0.3">
      <c r="A12" s="1" t="s">
        <v>83</v>
      </c>
      <c r="B12" s="4">
        <v>45297</v>
      </c>
      <c r="C12" s="1" t="s">
        <v>84</v>
      </c>
      <c r="D12" s="1" t="s">
        <v>48</v>
      </c>
      <c r="E12" s="1" t="s">
        <v>54</v>
      </c>
      <c r="F12" s="1" t="s">
        <v>55</v>
      </c>
      <c r="G12" s="1" t="s">
        <v>42</v>
      </c>
      <c r="H12" s="1" t="s">
        <v>56</v>
      </c>
      <c r="I12" s="1" t="s">
        <v>85</v>
      </c>
      <c r="J12" s="1" t="s">
        <v>86</v>
      </c>
      <c r="K12" s="1" t="s">
        <v>45</v>
      </c>
      <c r="L12">
        <v>2</v>
      </c>
      <c r="M12">
        <v>599</v>
      </c>
      <c r="N12">
        <v>0.05</v>
      </c>
      <c r="O12">
        <v>1138.0999999999999</v>
      </c>
      <c r="P12">
        <v>240</v>
      </c>
      <c r="Q12">
        <v>480</v>
      </c>
      <c r="R12">
        <v>0</v>
      </c>
      <c r="S12">
        <v>658.1</v>
      </c>
    </row>
    <row r="13" spans="1:19" x14ac:dyDescent="0.3">
      <c r="A13" s="1" t="s">
        <v>87</v>
      </c>
      <c r="B13" s="4">
        <v>45297</v>
      </c>
      <c r="C13" s="1" t="s">
        <v>88</v>
      </c>
      <c r="D13" s="1" t="s">
        <v>21</v>
      </c>
      <c r="E13" s="1" t="s">
        <v>64</v>
      </c>
      <c r="F13" s="1" t="s">
        <v>65</v>
      </c>
      <c r="G13" s="1" t="s">
        <v>24</v>
      </c>
      <c r="H13" s="1" t="s">
        <v>89</v>
      </c>
      <c r="I13" s="1" t="s">
        <v>59</v>
      </c>
      <c r="J13" s="1" t="s">
        <v>60</v>
      </c>
      <c r="K13" s="1" t="s">
        <v>61</v>
      </c>
      <c r="L13">
        <v>1</v>
      </c>
      <c r="M13">
        <v>999</v>
      </c>
      <c r="N13">
        <v>0</v>
      </c>
      <c r="O13">
        <v>999</v>
      </c>
      <c r="P13">
        <v>520</v>
      </c>
      <c r="Q13">
        <v>520</v>
      </c>
      <c r="R13">
        <v>80</v>
      </c>
      <c r="S13">
        <v>399</v>
      </c>
    </row>
    <row r="14" spans="1:19" x14ac:dyDescent="0.3">
      <c r="A14" s="1" t="s">
        <v>90</v>
      </c>
      <c r="B14" s="4">
        <v>45298</v>
      </c>
      <c r="C14" s="1" t="s">
        <v>91</v>
      </c>
      <c r="D14" s="1" t="s">
        <v>21</v>
      </c>
      <c r="E14" s="1" t="s">
        <v>70</v>
      </c>
      <c r="F14" s="1" t="s">
        <v>70</v>
      </c>
      <c r="G14" s="1" t="s">
        <v>42</v>
      </c>
      <c r="H14" s="1" t="s">
        <v>25</v>
      </c>
      <c r="I14" s="1" t="s">
        <v>92</v>
      </c>
      <c r="J14" s="1" t="s">
        <v>93</v>
      </c>
      <c r="K14" s="1" t="s">
        <v>28</v>
      </c>
      <c r="L14">
        <v>2</v>
      </c>
      <c r="M14">
        <v>1599</v>
      </c>
      <c r="N14">
        <v>0.05</v>
      </c>
      <c r="O14">
        <v>3038.1</v>
      </c>
      <c r="P14">
        <v>900</v>
      </c>
      <c r="Q14">
        <v>1800</v>
      </c>
      <c r="R14">
        <v>60</v>
      </c>
      <c r="S14">
        <v>1178.0999999999999</v>
      </c>
    </row>
    <row r="15" spans="1:19" x14ac:dyDescent="0.3">
      <c r="A15" s="1" t="s">
        <v>94</v>
      </c>
      <c r="B15" s="4">
        <v>45298</v>
      </c>
      <c r="C15" s="1" t="s">
        <v>95</v>
      </c>
      <c r="D15" s="1" t="s">
        <v>48</v>
      </c>
      <c r="E15" s="1" t="s">
        <v>96</v>
      </c>
      <c r="F15" s="1" t="s">
        <v>97</v>
      </c>
      <c r="G15" s="1" t="s">
        <v>42</v>
      </c>
      <c r="H15" s="1" t="s">
        <v>56</v>
      </c>
      <c r="I15" s="1" t="s">
        <v>66</v>
      </c>
      <c r="J15" s="1" t="s">
        <v>67</v>
      </c>
      <c r="K15" s="1" t="s">
        <v>28</v>
      </c>
      <c r="L15">
        <v>2</v>
      </c>
      <c r="M15">
        <v>2499</v>
      </c>
      <c r="N15">
        <v>0.05</v>
      </c>
      <c r="O15">
        <v>4748.1000000000004</v>
      </c>
      <c r="P15">
        <v>1450</v>
      </c>
      <c r="Q15">
        <v>2900</v>
      </c>
      <c r="R15">
        <v>80</v>
      </c>
      <c r="S15">
        <v>1768.1</v>
      </c>
    </row>
    <row r="16" spans="1:19" x14ac:dyDescent="0.3">
      <c r="A16" s="1" t="s">
        <v>98</v>
      </c>
      <c r="B16" s="4">
        <v>45298</v>
      </c>
      <c r="C16" s="1" t="s">
        <v>99</v>
      </c>
      <c r="D16" s="1" t="s">
        <v>40</v>
      </c>
      <c r="E16" s="1" t="s">
        <v>80</v>
      </c>
      <c r="F16" s="1" t="s">
        <v>55</v>
      </c>
      <c r="G16" s="1" t="s">
        <v>42</v>
      </c>
      <c r="H16" s="1" t="s">
        <v>56</v>
      </c>
      <c r="I16" s="1" t="s">
        <v>59</v>
      </c>
      <c r="J16" s="1" t="s">
        <v>60</v>
      </c>
      <c r="K16" s="1" t="s">
        <v>61</v>
      </c>
      <c r="L16">
        <v>1</v>
      </c>
      <c r="M16">
        <v>999</v>
      </c>
      <c r="N16">
        <v>0.2</v>
      </c>
      <c r="O16">
        <v>799.2</v>
      </c>
      <c r="P16">
        <v>520</v>
      </c>
      <c r="Q16">
        <v>520</v>
      </c>
      <c r="R16">
        <v>40</v>
      </c>
      <c r="S16">
        <v>239.2</v>
      </c>
    </row>
    <row r="17" spans="1:19" x14ac:dyDescent="0.3">
      <c r="A17" s="1" t="s">
        <v>100</v>
      </c>
      <c r="B17" s="4">
        <v>45298</v>
      </c>
      <c r="C17" s="1" t="s">
        <v>101</v>
      </c>
      <c r="D17" s="1" t="s">
        <v>48</v>
      </c>
      <c r="E17" s="1" t="s">
        <v>80</v>
      </c>
      <c r="F17" s="1" t="s">
        <v>55</v>
      </c>
      <c r="G17" s="1" t="s">
        <v>24</v>
      </c>
      <c r="H17" s="1" t="s">
        <v>25</v>
      </c>
      <c r="I17" s="1" t="s">
        <v>92</v>
      </c>
      <c r="J17" s="1" t="s">
        <v>93</v>
      </c>
      <c r="K17" s="1" t="s">
        <v>28</v>
      </c>
      <c r="L17">
        <v>3</v>
      </c>
      <c r="M17">
        <v>1599</v>
      </c>
      <c r="N17">
        <v>0.15</v>
      </c>
      <c r="O17">
        <v>4077.45</v>
      </c>
      <c r="P17">
        <v>900</v>
      </c>
      <c r="Q17">
        <v>2700</v>
      </c>
      <c r="R17">
        <v>80</v>
      </c>
      <c r="S17">
        <v>1297.45</v>
      </c>
    </row>
    <row r="18" spans="1:19" x14ac:dyDescent="0.3">
      <c r="A18" s="1" t="s">
        <v>102</v>
      </c>
      <c r="B18" s="4">
        <v>45299</v>
      </c>
      <c r="C18" s="1" t="s">
        <v>103</v>
      </c>
      <c r="D18" s="1" t="s">
        <v>21</v>
      </c>
      <c r="E18" s="1" t="s">
        <v>22</v>
      </c>
      <c r="F18" s="1" t="s">
        <v>23</v>
      </c>
      <c r="G18" s="1" t="s">
        <v>33</v>
      </c>
      <c r="H18" s="1" t="s">
        <v>34</v>
      </c>
      <c r="I18" s="1" t="s">
        <v>81</v>
      </c>
      <c r="J18" s="1" t="s">
        <v>82</v>
      </c>
      <c r="K18" s="1" t="s">
        <v>61</v>
      </c>
      <c r="L18">
        <v>3</v>
      </c>
      <c r="M18">
        <v>2999</v>
      </c>
      <c r="N18">
        <v>0.15</v>
      </c>
      <c r="O18">
        <v>7647.45</v>
      </c>
      <c r="P18">
        <v>1750</v>
      </c>
      <c r="Q18">
        <v>5250</v>
      </c>
      <c r="R18">
        <v>60</v>
      </c>
      <c r="S18">
        <v>2337.4499999999998</v>
      </c>
    </row>
    <row r="19" spans="1:19" x14ac:dyDescent="0.3">
      <c r="A19" s="1" t="s">
        <v>104</v>
      </c>
      <c r="B19" s="4">
        <v>45300</v>
      </c>
      <c r="C19" s="1" t="s">
        <v>105</v>
      </c>
      <c r="D19" s="1" t="s">
        <v>40</v>
      </c>
      <c r="E19" s="1" t="s">
        <v>96</v>
      </c>
      <c r="F19" s="1" t="s">
        <v>97</v>
      </c>
      <c r="G19" s="1" t="s">
        <v>33</v>
      </c>
      <c r="H19" s="1" t="s">
        <v>71</v>
      </c>
      <c r="I19" s="1" t="s">
        <v>81</v>
      </c>
      <c r="J19" s="1" t="s">
        <v>82</v>
      </c>
      <c r="K19" s="1" t="s">
        <v>61</v>
      </c>
      <c r="L19">
        <v>1</v>
      </c>
      <c r="M19">
        <v>2999</v>
      </c>
      <c r="N19">
        <v>0.15</v>
      </c>
      <c r="O19">
        <v>2549.15</v>
      </c>
      <c r="P19">
        <v>1750</v>
      </c>
      <c r="Q19">
        <v>1750</v>
      </c>
      <c r="R19">
        <v>60</v>
      </c>
      <c r="S19">
        <v>739.15</v>
      </c>
    </row>
    <row r="20" spans="1:19" x14ac:dyDescent="0.3">
      <c r="A20" s="1" t="s">
        <v>106</v>
      </c>
      <c r="B20" s="4">
        <v>45300</v>
      </c>
      <c r="C20" s="1" t="s">
        <v>107</v>
      </c>
      <c r="D20" s="1" t="s">
        <v>21</v>
      </c>
      <c r="E20" s="1" t="s">
        <v>96</v>
      </c>
      <c r="F20" s="1" t="s">
        <v>97</v>
      </c>
      <c r="G20" s="1" t="s">
        <v>24</v>
      </c>
      <c r="H20" s="1" t="s">
        <v>56</v>
      </c>
      <c r="I20" s="1" t="s">
        <v>35</v>
      </c>
      <c r="J20" s="1" t="s">
        <v>36</v>
      </c>
      <c r="K20" s="1" t="s">
        <v>37</v>
      </c>
      <c r="L20">
        <v>4</v>
      </c>
      <c r="M20">
        <v>1299</v>
      </c>
      <c r="N20">
        <v>0.15</v>
      </c>
      <c r="O20">
        <v>4416.6000000000004</v>
      </c>
      <c r="P20">
        <v>700</v>
      </c>
      <c r="Q20">
        <v>2800</v>
      </c>
      <c r="R20">
        <v>40</v>
      </c>
      <c r="S20">
        <v>1576.6</v>
      </c>
    </row>
    <row r="21" spans="1:19" x14ac:dyDescent="0.3">
      <c r="A21" s="1" t="s">
        <v>108</v>
      </c>
      <c r="B21" s="4">
        <v>45300</v>
      </c>
      <c r="C21" s="1" t="s">
        <v>109</v>
      </c>
      <c r="D21" s="1" t="s">
        <v>21</v>
      </c>
      <c r="E21" s="1" t="s">
        <v>96</v>
      </c>
      <c r="F21" s="1" t="s">
        <v>97</v>
      </c>
      <c r="G21" s="1" t="s">
        <v>42</v>
      </c>
      <c r="H21" s="1" t="s">
        <v>56</v>
      </c>
      <c r="I21" s="1" t="s">
        <v>72</v>
      </c>
      <c r="J21" s="1" t="s">
        <v>73</v>
      </c>
      <c r="K21" s="1" t="s">
        <v>28</v>
      </c>
      <c r="L21">
        <v>1</v>
      </c>
      <c r="M21">
        <v>2199</v>
      </c>
      <c r="N21">
        <v>0</v>
      </c>
      <c r="O21">
        <v>2199</v>
      </c>
      <c r="P21">
        <v>1250</v>
      </c>
      <c r="Q21">
        <v>1250</v>
      </c>
      <c r="R21">
        <v>80</v>
      </c>
      <c r="S21">
        <v>869</v>
      </c>
    </row>
    <row r="22" spans="1:19" x14ac:dyDescent="0.3">
      <c r="A22" s="1" t="s">
        <v>110</v>
      </c>
      <c r="B22" s="4">
        <v>45300</v>
      </c>
      <c r="C22" s="1" t="s">
        <v>111</v>
      </c>
      <c r="D22" s="1" t="s">
        <v>21</v>
      </c>
      <c r="E22" s="1" t="s">
        <v>112</v>
      </c>
      <c r="F22" s="1" t="s">
        <v>113</v>
      </c>
      <c r="G22" s="1" t="s">
        <v>33</v>
      </c>
      <c r="H22" s="1" t="s">
        <v>71</v>
      </c>
      <c r="I22" s="1" t="s">
        <v>51</v>
      </c>
      <c r="J22" s="1" t="s">
        <v>52</v>
      </c>
      <c r="K22" s="1" t="s">
        <v>37</v>
      </c>
      <c r="L22">
        <v>1</v>
      </c>
      <c r="M22">
        <v>499</v>
      </c>
      <c r="N22">
        <v>0.05</v>
      </c>
      <c r="O22">
        <v>474.05</v>
      </c>
      <c r="P22">
        <v>180</v>
      </c>
      <c r="Q22">
        <v>180</v>
      </c>
      <c r="R22">
        <v>60</v>
      </c>
      <c r="S22">
        <v>234.05</v>
      </c>
    </row>
    <row r="23" spans="1:19" x14ac:dyDescent="0.3">
      <c r="A23" s="1" t="s">
        <v>114</v>
      </c>
      <c r="B23" s="4">
        <v>45302</v>
      </c>
      <c r="C23" s="1" t="s">
        <v>115</v>
      </c>
      <c r="D23" s="1" t="s">
        <v>48</v>
      </c>
      <c r="E23" s="1" t="s">
        <v>41</v>
      </c>
      <c r="F23" s="1" t="s">
        <v>32</v>
      </c>
      <c r="G23" s="1" t="s">
        <v>33</v>
      </c>
      <c r="H23" s="1" t="s">
        <v>34</v>
      </c>
      <c r="I23" s="1" t="s">
        <v>43</v>
      </c>
      <c r="J23" s="1" t="s">
        <v>44</v>
      </c>
      <c r="K23" s="1" t="s">
        <v>45</v>
      </c>
      <c r="L23">
        <v>1</v>
      </c>
      <c r="M23">
        <v>1799</v>
      </c>
      <c r="N23">
        <v>0.05</v>
      </c>
      <c r="O23">
        <v>1709.05</v>
      </c>
      <c r="P23">
        <v>850</v>
      </c>
      <c r="Q23">
        <v>850</v>
      </c>
      <c r="R23">
        <v>80</v>
      </c>
      <c r="S23">
        <v>779.05</v>
      </c>
    </row>
    <row r="24" spans="1:19" x14ac:dyDescent="0.3">
      <c r="A24" s="1" t="s">
        <v>116</v>
      </c>
      <c r="B24" s="4">
        <v>45303</v>
      </c>
      <c r="C24" s="1" t="s">
        <v>117</v>
      </c>
      <c r="D24" s="1" t="s">
        <v>40</v>
      </c>
      <c r="E24" s="1" t="s">
        <v>70</v>
      </c>
      <c r="F24" s="1" t="s">
        <v>70</v>
      </c>
      <c r="G24" s="1" t="s">
        <v>24</v>
      </c>
      <c r="H24" s="1" t="s">
        <v>34</v>
      </c>
      <c r="I24" s="1" t="s">
        <v>92</v>
      </c>
      <c r="J24" s="1" t="s">
        <v>93</v>
      </c>
      <c r="K24" s="1" t="s">
        <v>28</v>
      </c>
      <c r="L24">
        <v>1</v>
      </c>
      <c r="M24">
        <v>1599</v>
      </c>
      <c r="N24">
        <v>0.1</v>
      </c>
      <c r="O24">
        <v>1439.1</v>
      </c>
      <c r="P24">
        <v>900</v>
      </c>
      <c r="Q24">
        <v>900</v>
      </c>
      <c r="R24">
        <v>80</v>
      </c>
      <c r="S24">
        <v>459.1</v>
      </c>
    </row>
    <row r="25" spans="1:19" x14ac:dyDescent="0.3">
      <c r="A25" s="1" t="s">
        <v>118</v>
      </c>
      <c r="B25" s="4">
        <v>45303</v>
      </c>
      <c r="C25" s="1" t="s">
        <v>119</v>
      </c>
      <c r="D25" s="1" t="s">
        <v>21</v>
      </c>
      <c r="E25" s="1" t="s">
        <v>120</v>
      </c>
      <c r="F25" s="1" t="s">
        <v>121</v>
      </c>
      <c r="G25" s="1" t="s">
        <v>24</v>
      </c>
      <c r="H25" s="1" t="s">
        <v>89</v>
      </c>
      <c r="I25" s="1" t="s">
        <v>59</v>
      </c>
      <c r="J25" s="1" t="s">
        <v>60</v>
      </c>
      <c r="K25" s="1" t="s">
        <v>61</v>
      </c>
      <c r="L25">
        <v>3</v>
      </c>
      <c r="M25">
        <v>999</v>
      </c>
      <c r="N25">
        <v>0.2</v>
      </c>
      <c r="O25">
        <v>2397.6</v>
      </c>
      <c r="P25">
        <v>520</v>
      </c>
      <c r="Q25">
        <v>1560</v>
      </c>
      <c r="R25">
        <v>80</v>
      </c>
      <c r="S25">
        <v>757.6</v>
      </c>
    </row>
    <row r="26" spans="1:19" x14ac:dyDescent="0.3">
      <c r="A26" s="1" t="s">
        <v>122</v>
      </c>
      <c r="B26" s="4">
        <v>45304</v>
      </c>
      <c r="C26" s="1" t="s">
        <v>123</v>
      </c>
      <c r="D26" s="1" t="s">
        <v>48</v>
      </c>
      <c r="E26" s="1" t="s">
        <v>124</v>
      </c>
      <c r="F26" s="1" t="s">
        <v>125</v>
      </c>
      <c r="G26" s="1" t="s">
        <v>33</v>
      </c>
      <c r="H26" s="1" t="s">
        <v>71</v>
      </c>
      <c r="I26" s="1" t="s">
        <v>59</v>
      </c>
      <c r="J26" s="1" t="s">
        <v>60</v>
      </c>
      <c r="K26" s="1" t="s">
        <v>61</v>
      </c>
      <c r="L26">
        <v>1</v>
      </c>
      <c r="M26">
        <v>999</v>
      </c>
      <c r="N26">
        <v>0</v>
      </c>
      <c r="O26">
        <v>999</v>
      </c>
      <c r="P26">
        <v>520</v>
      </c>
      <c r="Q26">
        <v>520</v>
      </c>
      <c r="R26">
        <v>80</v>
      </c>
      <c r="S26">
        <v>399</v>
      </c>
    </row>
    <row r="27" spans="1:19" x14ac:dyDescent="0.3">
      <c r="A27" s="1" t="s">
        <v>126</v>
      </c>
      <c r="B27" s="4">
        <v>45304</v>
      </c>
      <c r="C27" s="1" t="s">
        <v>127</v>
      </c>
      <c r="D27" s="1" t="s">
        <v>21</v>
      </c>
      <c r="E27" s="1" t="s">
        <v>41</v>
      </c>
      <c r="F27" s="1" t="s">
        <v>32</v>
      </c>
      <c r="G27" s="1" t="s">
        <v>24</v>
      </c>
      <c r="H27" s="1" t="s">
        <v>89</v>
      </c>
      <c r="I27" s="1" t="s">
        <v>59</v>
      </c>
      <c r="J27" s="1" t="s">
        <v>60</v>
      </c>
      <c r="K27" s="1" t="s">
        <v>61</v>
      </c>
      <c r="L27">
        <v>1</v>
      </c>
      <c r="M27">
        <v>999</v>
      </c>
      <c r="N27">
        <v>0</v>
      </c>
      <c r="O27">
        <v>999</v>
      </c>
      <c r="P27">
        <v>520</v>
      </c>
      <c r="Q27">
        <v>520</v>
      </c>
      <c r="R27">
        <v>0</v>
      </c>
      <c r="S27">
        <v>479</v>
      </c>
    </row>
    <row r="28" spans="1:19" x14ac:dyDescent="0.3">
      <c r="A28" s="1" t="s">
        <v>128</v>
      </c>
      <c r="B28" s="4">
        <v>45304</v>
      </c>
      <c r="C28" s="1" t="s">
        <v>129</v>
      </c>
      <c r="D28" s="1" t="s">
        <v>48</v>
      </c>
      <c r="E28" s="1" t="s">
        <v>124</v>
      </c>
      <c r="F28" s="1" t="s">
        <v>125</v>
      </c>
      <c r="G28" s="1" t="s">
        <v>33</v>
      </c>
      <c r="H28" s="1" t="s">
        <v>56</v>
      </c>
      <c r="I28" s="1" t="s">
        <v>76</v>
      </c>
      <c r="J28" s="1" t="s">
        <v>77</v>
      </c>
      <c r="K28" s="1" t="s">
        <v>37</v>
      </c>
      <c r="L28">
        <v>1</v>
      </c>
      <c r="M28">
        <v>6999</v>
      </c>
      <c r="N28">
        <v>0.15</v>
      </c>
      <c r="O28">
        <v>5949.15</v>
      </c>
      <c r="P28">
        <v>4900</v>
      </c>
      <c r="Q28">
        <v>4900</v>
      </c>
      <c r="R28">
        <v>0</v>
      </c>
      <c r="S28">
        <v>1049.1500000000001</v>
      </c>
    </row>
    <row r="29" spans="1:19" x14ac:dyDescent="0.3">
      <c r="A29" s="1" t="s">
        <v>130</v>
      </c>
      <c r="B29" s="4">
        <v>45304</v>
      </c>
      <c r="C29" s="1" t="s">
        <v>131</v>
      </c>
      <c r="D29" s="1" t="s">
        <v>40</v>
      </c>
      <c r="E29" s="1" t="s">
        <v>80</v>
      </c>
      <c r="F29" s="1" t="s">
        <v>55</v>
      </c>
      <c r="G29" s="1" t="s">
        <v>42</v>
      </c>
      <c r="H29" s="1" t="s">
        <v>89</v>
      </c>
      <c r="I29" s="1" t="s">
        <v>72</v>
      </c>
      <c r="J29" s="1" t="s">
        <v>73</v>
      </c>
      <c r="K29" s="1" t="s">
        <v>28</v>
      </c>
      <c r="L29">
        <v>2</v>
      </c>
      <c r="M29">
        <v>2199</v>
      </c>
      <c r="N29">
        <v>0.15</v>
      </c>
      <c r="O29">
        <v>3738.3</v>
      </c>
      <c r="P29">
        <v>1250</v>
      </c>
      <c r="Q29">
        <v>2500</v>
      </c>
      <c r="R29">
        <v>80</v>
      </c>
      <c r="S29">
        <v>1158.3</v>
      </c>
    </row>
    <row r="30" spans="1:19" x14ac:dyDescent="0.3">
      <c r="A30" s="1" t="s">
        <v>132</v>
      </c>
      <c r="B30" s="4">
        <v>45304</v>
      </c>
      <c r="C30" s="1" t="s">
        <v>133</v>
      </c>
      <c r="D30" s="1" t="s">
        <v>48</v>
      </c>
      <c r="E30" s="1" t="s">
        <v>70</v>
      </c>
      <c r="F30" s="1" t="s">
        <v>70</v>
      </c>
      <c r="G30" s="1" t="s">
        <v>42</v>
      </c>
      <c r="H30" s="1" t="s">
        <v>89</v>
      </c>
      <c r="I30" s="1" t="s">
        <v>134</v>
      </c>
      <c r="J30" s="1" t="s">
        <v>135</v>
      </c>
      <c r="K30" s="1" t="s">
        <v>136</v>
      </c>
      <c r="L30">
        <v>3</v>
      </c>
      <c r="M30">
        <v>299</v>
      </c>
      <c r="N30">
        <v>0.1</v>
      </c>
      <c r="O30">
        <v>807.3</v>
      </c>
      <c r="P30">
        <v>110</v>
      </c>
      <c r="Q30">
        <v>330</v>
      </c>
      <c r="R30">
        <v>40</v>
      </c>
      <c r="S30">
        <v>437.3</v>
      </c>
    </row>
    <row r="31" spans="1:19" x14ac:dyDescent="0.3">
      <c r="A31" s="1" t="s">
        <v>137</v>
      </c>
      <c r="B31" s="4">
        <v>45305</v>
      </c>
      <c r="C31" s="1" t="s">
        <v>138</v>
      </c>
      <c r="D31" s="1" t="s">
        <v>48</v>
      </c>
      <c r="E31" s="1" t="s">
        <v>41</v>
      </c>
      <c r="F31" s="1" t="s">
        <v>32</v>
      </c>
      <c r="G31" s="1" t="s">
        <v>33</v>
      </c>
      <c r="H31" s="1" t="s">
        <v>25</v>
      </c>
      <c r="I31" s="1" t="s">
        <v>81</v>
      </c>
      <c r="J31" s="1" t="s">
        <v>82</v>
      </c>
      <c r="K31" s="1" t="s">
        <v>61</v>
      </c>
      <c r="L31">
        <v>1</v>
      </c>
      <c r="M31">
        <v>2999</v>
      </c>
      <c r="N31">
        <v>0.05</v>
      </c>
      <c r="O31">
        <v>2849.05</v>
      </c>
      <c r="P31">
        <v>1750</v>
      </c>
      <c r="Q31">
        <v>1750</v>
      </c>
      <c r="R31">
        <v>100</v>
      </c>
      <c r="S31">
        <v>999.05</v>
      </c>
    </row>
    <row r="32" spans="1:19" x14ac:dyDescent="0.3">
      <c r="A32" s="1" t="s">
        <v>139</v>
      </c>
      <c r="B32" s="4">
        <v>45306</v>
      </c>
      <c r="C32" s="1" t="s">
        <v>140</v>
      </c>
      <c r="D32" s="1" t="s">
        <v>21</v>
      </c>
      <c r="E32" s="1" t="s">
        <v>54</v>
      </c>
      <c r="F32" s="1" t="s">
        <v>55</v>
      </c>
      <c r="G32" s="1" t="s">
        <v>24</v>
      </c>
      <c r="H32" s="1" t="s">
        <v>56</v>
      </c>
      <c r="I32" s="1" t="s">
        <v>72</v>
      </c>
      <c r="J32" s="1" t="s">
        <v>73</v>
      </c>
      <c r="K32" s="1" t="s">
        <v>28</v>
      </c>
      <c r="L32">
        <v>2</v>
      </c>
      <c r="M32">
        <v>2199</v>
      </c>
      <c r="N32">
        <v>0.05</v>
      </c>
      <c r="O32">
        <v>4178.1000000000004</v>
      </c>
      <c r="P32">
        <v>1250</v>
      </c>
      <c r="Q32">
        <v>2500</v>
      </c>
      <c r="R32">
        <v>0</v>
      </c>
      <c r="S32">
        <v>1678.1</v>
      </c>
    </row>
    <row r="33" spans="1:19" x14ac:dyDescent="0.3">
      <c r="A33" s="1" t="s">
        <v>141</v>
      </c>
      <c r="B33" s="4">
        <v>45306</v>
      </c>
      <c r="C33" s="1" t="s">
        <v>142</v>
      </c>
      <c r="D33" s="1" t="s">
        <v>48</v>
      </c>
      <c r="E33" s="1" t="s">
        <v>70</v>
      </c>
      <c r="F33" s="1" t="s">
        <v>70</v>
      </c>
      <c r="G33" s="1" t="s">
        <v>42</v>
      </c>
      <c r="H33" s="1" t="s">
        <v>25</v>
      </c>
      <c r="I33" s="1" t="s">
        <v>85</v>
      </c>
      <c r="J33" s="1" t="s">
        <v>86</v>
      </c>
      <c r="K33" s="1" t="s">
        <v>45</v>
      </c>
      <c r="L33">
        <v>1</v>
      </c>
      <c r="M33">
        <v>599</v>
      </c>
      <c r="N33">
        <v>0</v>
      </c>
      <c r="O33">
        <v>599</v>
      </c>
      <c r="P33">
        <v>240</v>
      </c>
      <c r="Q33">
        <v>240</v>
      </c>
      <c r="R33">
        <v>60</v>
      </c>
      <c r="S33">
        <v>299</v>
      </c>
    </row>
    <row r="34" spans="1:19" x14ac:dyDescent="0.3">
      <c r="A34" s="1" t="s">
        <v>143</v>
      </c>
      <c r="B34" s="4">
        <v>45306</v>
      </c>
      <c r="C34" s="1" t="s">
        <v>144</v>
      </c>
      <c r="D34" s="1" t="s">
        <v>40</v>
      </c>
      <c r="E34" s="1" t="s">
        <v>41</v>
      </c>
      <c r="F34" s="1" t="s">
        <v>32</v>
      </c>
      <c r="G34" s="1" t="s">
        <v>42</v>
      </c>
      <c r="H34" s="1" t="s">
        <v>89</v>
      </c>
      <c r="I34" s="1" t="s">
        <v>72</v>
      </c>
      <c r="J34" s="1" t="s">
        <v>73</v>
      </c>
      <c r="K34" s="1" t="s">
        <v>28</v>
      </c>
      <c r="L34">
        <v>1</v>
      </c>
      <c r="M34">
        <v>2199</v>
      </c>
      <c r="N34">
        <v>0.05</v>
      </c>
      <c r="O34">
        <v>2089.0500000000002</v>
      </c>
      <c r="P34">
        <v>1250</v>
      </c>
      <c r="Q34">
        <v>1250</v>
      </c>
      <c r="R34">
        <v>100</v>
      </c>
      <c r="S34">
        <v>739.05</v>
      </c>
    </row>
    <row r="35" spans="1:19" x14ac:dyDescent="0.3">
      <c r="A35" s="1" t="s">
        <v>145</v>
      </c>
      <c r="B35" s="4">
        <v>45306</v>
      </c>
      <c r="C35" s="1" t="s">
        <v>146</v>
      </c>
      <c r="D35" s="1" t="s">
        <v>40</v>
      </c>
      <c r="E35" s="1" t="s">
        <v>64</v>
      </c>
      <c r="F35" s="1" t="s">
        <v>65</v>
      </c>
      <c r="G35" s="1" t="s">
        <v>24</v>
      </c>
      <c r="H35" s="1" t="s">
        <v>25</v>
      </c>
      <c r="I35" s="1" t="s">
        <v>92</v>
      </c>
      <c r="J35" s="1" t="s">
        <v>93</v>
      </c>
      <c r="K35" s="1" t="s">
        <v>28</v>
      </c>
      <c r="L35">
        <v>2</v>
      </c>
      <c r="M35">
        <v>1599</v>
      </c>
      <c r="N35">
        <v>0.05</v>
      </c>
      <c r="O35">
        <v>3038.1</v>
      </c>
      <c r="P35">
        <v>900</v>
      </c>
      <c r="Q35">
        <v>1800</v>
      </c>
      <c r="R35">
        <v>0</v>
      </c>
      <c r="S35">
        <v>1238.0999999999999</v>
      </c>
    </row>
    <row r="36" spans="1:19" x14ac:dyDescent="0.3">
      <c r="A36" s="1" t="s">
        <v>147</v>
      </c>
      <c r="B36" s="4">
        <v>45306</v>
      </c>
      <c r="C36" s="1" t="s">
        <v>148</v>
      </c>
      <c r="D36" s="1" t="s">
        <v>48</v>
      </c>
      <c r="E36" s="1" t="s">
        <v>124</v>
      </c>
      <c r="F36" s="1" t="s">
        <v>125</v>
      </c>
      <c r="G36" s="1" t="s">
        <v>33</v>
      </c>
      <c r="H36" s="1" t="s">
        <v>71</v>
      </c>
      <c r="I36" s="1" t="s">
        <v>92</v>
      </c>
      <c r="J36" s="1" t="s">
        <v>93</v>
      </c>
      <c r="K36" s="1" t="s">
        <v>28</v>
      </c>
      <c r="L36">
        <v>4</v>
      </c>
      <c r="M36">
        <v>1599</v>
      </c>
      <c r="N36">
        <v>0</v>
      </c>
      <c r="O36">
        <v>6396</v>
      </c>
      <c r="P36">
        <v>900</v>
      </c>
      <c r="Q36">
        <v>3600</v>
      </c>
      <c r="R36">
        <v>80</v>
      </c>
      <c r="S36">
        <v>2716</v>
      </c>
    </row>
    <row r="37" spans="1:19" x14ac:dyDescent="0.3">
      <c r="A37" s="1" t="s">
        <v>149</v>
      </c>
      <c r="B37" s="4">
        <v>45307</v>
      </c>
      <c r="C37" s="1" t="s">
        <v>150</v>
      </c>
      <c r="D37" s="1" t="s">
        <v>48</v>
      </c>
      <c r="E37" s="1" t="s">
        <v>120</v>
      </c>
      <c r="F37" s="1" t="s">
        <v>121</v>
      </c>
      <c r="G37" s="1" t="s">
        <v>33</v>
      </c>
      <c r="H37" s="1" t="s">
        <v>71</v>
      </c>
      <c r="I37" s="1" t="s">
        <v>134</v>
      </c>
      <c r="J37" s="1" t="s">
        <v>135</v>
      </c>
      <c r="K37" s="1" t="s">
        <v>136</v>
      </c>
      <c r="L37">
        <v>2</v>
      </c>
      <c r="M37">
        <v>299</v>
      </c>
      <c r="N37">
        <v>0</v>
      </c>
      <c r="O37">
        <v>598</v>
      </c>
      <c r="P37">
        <v>110</v>
      </c>
      <c r="Q37">
        <v>220</v>
      </c>
      <c r="R37">
        <v>40</v>
      </c>
      <c r="S37">
        <v>338</v>
      </c>
    </row>
    <row r="38" spans="1:19" x14ac:dyDescent="0.3">
      <c r="A38" s="1" t="s">
        <v>151</v>
      </c>
      <c r="B38" s="4">
        <v>45307</v>
      </c>
      <c r="C38" s="1" t="s">
        <v>152</v>
      </c>
      <c r="D38" s="1" t="s">
        <v>40</v>
      </c>
      <c r="E38" s="1" t="s">
        <v>124</v>
      </c>
      <c r="F38" s="1" t="s">
        <v>125</v>
      </c>
      <c r="G38" s="1" t="s">
        <v>33</v>
      </c>
      <c r="H38" s="1" t="s">
        <v>25</v>
      </c>
      <c r="I38" s="1" t="s">
        <v>81</v>
      </c>
      <c r="J38" s="1" t="s">
        <v>82</v>
      </c>
      <c r="K38" s="1" t="s">
        <v>61</v>
      </c>
      <c r="L38">
        <v>3</v>
      </c>
      <c r="M38">
        <v>2999</v>
      </c>
      <c r="N38">
        <v>0</v>
      </c>
      <c r="O38">
        <v>8997</v>
      </c>
      <c r="P38">
        <v>1750</v>
      </c>
      <c r="Q38">
        <v>5250</v>
      </c>
      <c r="R38">
        <v>100</v>
      </c>
      <c r="S38">
        <v>3647</v>
      </c>
    </row>
    <row r="39" spans="1:19" x14ac:dyDescent="0.3">
      <c r="A39" s="1" t="s">
        <v>153</v>
      </c>
      <c r="B39" s="4">
        <v>45307</v>
      </c>
      <c r="C39" s="1" t="s">
        <v>142</v>
      </c>
      <c r="D39" s="1" t="s">
        <v>21</v>
      </c>
      <c r="E39" s="1" t="s">
        <v>96</v>
      </c>
      <c r="F39" s="1" t="s">
        <v>97</v>
      </c>
      <c r="G39" s="1" t="s">
        <v>42</v>
      </c>
      <c r="H39" s="1" t="s">
        <v>89</v>
      </c>
      <c r="I39" s="1" t="s">
        <v>51</v>
      </c>
      <c r="J39" s="1" t="s">
        <v>52</v>
      </c>
      <c r="K39" s="1" t="s">
        <v>37</v>
      </c>
      <c r="L39">
        <v>4</v>
      </c>
      <c r="M39">
        <v>499</v>
      </c>
      <c r="N39">
        <v>0.2</v>
      </c>
      <c r="O39">
        <v>1596.8</v>
      </c>
      <c r="P39">
        <v>180</v>
      </c>
      <c r="Q39">
        <v>720</v>
      </c>
      <c r="R39">
        <v>0</v>
      </c>
      <c r="S39">
        <v>876.8</v>
      </c>
    </row>
    <row r="40" spans="1:19" x14ac:dyDescent="0.3">
      <c r="A40" s="1" t="s">
        <v>154</v>
      </c>
      <c r="B40" s="4">
        <v>45307</v>
      </c>
      <c r="C40" s="1" t="s">
        <v>155</v>
      </c>
      <c r="D40" s="1" t="s">
        <v>40</v>
      </c>
      <c r="E40" s="1" t="s">
        <v>80</v>
      </c>
      <c r="F40" s="1" t="s">
        <v>55</v>
      </c>
      <c r="G40" s="1" t="s">
        <v>33</v>
      </c>
      <c r="H40" s="1" t="s">
        <v>71</v>
      </c>
      <c r="I40" s="1" t="s">
        <v>92</v>
      </c>
      <c r="J40" s="1" t="s">
        <v>93</v>
      </c>
      <c r="K40" s="1" t="s">
        <v>28</v>
      </c>
      <c r="L40">
        <v>3</v>
      </c>
      <c r="M40">
        <v>1599</v>
      </c>
      <c r="N40">
        <v>0.05</v>
      </c>
      <c r="O40">
        <v>4557.1499999999996</v>
      </c>
      <c r="P40">
        <v>900</v>
      </c>
      <c r="Q40">
        <v>2700</v>
      </c>
      <c r="R40">
        <v>100</v>
      </c>
      <c r="S40">
        <v>1757.15</v>
      </c>
    </row>
    <row r="41" spans="1:19" x14ac:dyDescent="0.3">
      <c r="A41" s="1" t="s">
        <v>156</v>
      </c>
      <c r="B41" s="4">
        <v>45308</v>
      </c>
      <c r="C41" s="1" t="s">
        <v>157</v>
      </c>
      <c r="D41" s="1" t="s">
        <v>48</v>
      </c>
      <c r="E41" s="1" t="s">
        <v>54</v>
      </c>
      <c r="F41" s="1" t="s">
        <v>55</v>
      </c>
      <c r="G41" s="1" t="s">
        <v>24</v>
      </c>
      <c r="H41" s="1" t="s">
        <v>25</v>
      </c>
      <c r="I41" s="1" t="s">
        <v>51</v>
      </c>
      <c r="J41" s="1" t="s">
        <v>52</v>
      </c>
      <c r="K41" s="1" t="s">
        <v>37</v>
      </c>
      <c r="L41">
        <v>1</v>
      </c>
      <c r="M41">
        <v>499</v>
      </c>
      <c r="N41">
        <v>0</v>
      </c>
      <c r="O41">
        <v>499</v>
      </c>
      <c r="P41">
        <v>180</v>
      </c>
      <c r="Q41">
        <v>180</v>
      </c>
      <c r="R41">
        <v>100</v>
      </c>
      <c r="S41">
        <v>219</v>
      </c>
    </row>
    <row r="42" spans="1:19" x14ac:dyDescent="0.3">
      <c r="A42" s="1" t="s">
        <v>158</v>
      </c>
      <c r="B42" s="4">
        <v>45308</v>
      </c>
      <c r="C42" s="1" t="s">
        <v>159</v>
      </c>
      <c r="D42" s="1" t="s">
        <v>21</v>
      </c>
      <c r="E42" s="1" t="s">
        <v>96</v>
      </c>
      <c r="F42" s="1" t="s">
        <v>97</v>
      </c>
      <c r="G42" s="1" t="s">
        <v>42</v>
      </c>
      <c r="H42" s="1" t="s">
        <v>56</v>
      </c>
      <c r="I42" s="1" t="s">
        <v>35</v>
      </c>
      <c r="J42" s="1" t="s">
        <v>36</v>
      </c>
      <c r="K42" s="1" t="s">
        <v>37</v>
      </c>
      <c r="L42">
        <v>2</v>
      </c>
      <c r="M42">
        <v>1299</v>
      </c>
      <c r="N42">
        <v>0.15</v>
      </c>
      <c r="O42">
        <v>2208.3000000000002</v>
      </c>
      <c r="P42">
        <v>700</v>
      </c>
      <c r="Q42">
        <v>1400</v>
      </c>
      <c r="R42">
        <v>100</v>
      </c>
      <c r="S42">
        <v>708.3</v>
      </c>
    </row>
    <row r="43" spans="1:19" x14ac:dyDescent="0.3">
      <c r="A43" s="1" t="s">
        <v>160</v>
      </c>
      <c r="B43" s="4">
        <v>45309</v>
      </c>
      <c r="C43" s="1" t="s">
        <v>161</v>
      </c>
      <c r="D43" s="1" t="s">
        <v>40</v>
      </c>
      <c r="E43" s="1" t="s">
        <v>41</v>
      </c>
      <c r="F43" s="1" t="s">
        <v>32</v>
      </c>
      <c r="G43" s="1" t="s">
        <v>24</v>
      </c>
      <c r="H43" s="1" t="s">
        <v>34</v>
      </c>
      <c r="I43" s="1" t="s">
        <v>76</v>
      </c>
      <c r="J43" s="1" t="s">
        <v>77</v>
      </c>
      <c r="K43" s="1" t="s">
        <v>37</v>
      </c>
      <c r="L43">
        <v>1</v>
      </c>
      <c r="M43">
        <v>6999</v>
      </c>
      <c r="N43">
        <v>0</v>
      </c>
      <c r="O43">
        <v>6999</v>
      </c>
      <c r="P43">
        <v>4900</v>
      </c>
      <c r="Q43">
        <v>4900</v>
      </c>
      <c r="R43">
        <v>60</v>
      </c>
      <c r="S43">
        <v>2039</v>
      </c>
    </row>
    <row r="44" spans="1:19" x14ac:dyDescent="0.3">
      <c r="A44" s="1" t="s">
        <v>162</v>
      </c>
      <c r="B44" s="4">
        <v>45310</v>
      </c>
      <c r="C44" s="1" t="s">
        <v>163</v>
      </c>
      <c r="D44" s="1" t="s">
        <v>40</v>
      </c>
      <c r="E44" s="1" t="s">
        <v>64</v>
      </c>
      <c r="F44" s="1" t="s">
        <v>65</v>
      </c>
      <c r="G44" s="1" t="s">
        <v>33</v>
      </c>
      <c r="H44" s="1" t="s">
        <v>25</v>
      </c>
      <c r="I44" s="1" t="s">
        <v>76</v>
      </c>
      <c r="J44" s="1" t="s">
        <v>77</v>
      </c>
      <c r="K44" s="1" t="s">
        <v>37</v>
      </c>
      <c r="L44">
        <v>3</v>
      </c>
      <c r="M44">
        <v>6999</v>
      </c>
      <c r="N44">
        <v>0.15</v>
      </c>
      <c r="O44">
        <v>17847.45</v>
      </c>
      <c r="P44">
        <v>4900</v>
      </c>
      <c r="Q44">
        <v>14700</v>
      </c>
      <c r="R44">
        <v>0</v>
      </c>
      <c r="S44">
        <v>3147.45</v>
      </c>
    </row>
    <row r="45" spans="1:19" x14ac:dyDescent="0.3">
      <c r="A45" s="1" t="s">
        <v>164</v>
      </c>
      <c r="B45" s="4">
        <v>45310</v>
      </c>
      <c r="C45" s="1" t="s">
        <v>165</v>
      </c>
      <c r="D45" s="1" t="s">
        <v>48</v>
      </c>
      <c r="E45" s="1" t="s">
        <v>70</v>
      </c>
      <c r="F45" s="1" t="s">
        <v>70</v>
      </c>
      <c r="G45" s="1" t="s">
        <v>42</v>
      </c>
      <c r="H45" s="1" t="s">
        <v>25</v>
      </c>
      <c r="I45" s="1" t="s">
        <v>81</v>
      </c>
      <c r="J45" s="1" t="s">
        <v>82</v>
      </c>
      <c r="K45" s="1" t="s">
        <v>61</v>
      </c>
      <c r="L45">
        <v>4</v>
      </c>
      <c r="M45">
        <v>2999</v>
      </c>
      <c r="N45">
        <v>0.05</v>
      </c>
      <c r="O45">
        <v>11396.2</v>
      </c>
      <c r="P45">
        <v>1750</v>
      </c>
      <c r="Q45">
        <v>7000</v>
      </c>
      <c r="R45">
        <v>40</v>
      </c>
      <c r="S45">
        <v>4356.2</v>
      </c>
    </row>
    <row r="46" spans="1:19" x14ac:dyDescent="0.3">
      <c r="A46" s="1" t="s">
        <v>166</v>
      </c>
      <c r="B46" s="4">
        <v>45311</v>
      </c>
      <c r="C46" s="1" t="s">
        <v>167</v>
      </c>
      <c r="D46" s="1" t="s">
        <v>21</v>
      </c>
      <c r="E46" s="1" t="s">
        <v>112</v>
      </c>
      <c r="F46" s="1" t="s">
        <v>113</v>
      </c>
      <c r="G46" s="1" t="s">
        <v>24</v>
      </c>
      <c r="H46" s="1" t="s">
        <v>34</v>
      </c>
      <c r="I46" s="1" t="s">
        <v>43</v>
      </c>
      <c r="J46" s="1" t="s">
        <v>44</v>
      </c>
      <c r="K46" s="1" t="s">
        <v>45</v>
      </c>
      <c r="L46">
        <v>4</v>
      </c>
      <c r="M46">
        <v>1799</v>
      </c>
      <c r="N46">
        <v>0.05</v>
      </c>
      <c r="O46">
        <v>6836.2</v>
      </c>
      <c r="P46">
        <v>850</v>
      </c>
      <c r="Q46">
        <v>3400</v>
      </c>
      <c r="R46">
        <v>100</v>
      </c>
      <c r="S46">
        <v>3336.2</v>
      </c>
    </row>
    <row r="47" spans="1:19" x14ac:dyDescent="0.3">
      <c r="A47" s="1" t="s">
        <v>168</v>
      </c>
      <c r="B47" s="4">
        <v>45311</v>
      </c>
      <c r="C47" s="1" t="s">
        <v>169</v>
      </c>
      <c r="D47" s="1" t="s">
        <v>21</v>
      </c>
      <c r="E47" s="1" t="s">
        <v>120</v>
      </c>
      <c r="F47" s="1" t="s">
        <v>121</v>
      </c>
      <c r="G47" s="1" t="s">
        <v>33</v>
      </c>
      <c r="H47" s="1" t="s">
        <v>89</v>
      </c>
      <c r="I47" s="1" t="s">
        <v>59</v>
      </c>
      <c r="J47" s="1" t="s">
        <v>60</v>
      </c>
      <c r="K47" s="1" t="s">
        <v>61</v>
      </c>
      <c r="L47">
        <v>3</v>
      </c>
      <c r="M47">
        <v>999</v>
      </c>
      <c r="N47">
        <v>0.05</v>
      </c>
      <c r="O47">
        <v>2847.15</v>
      </c>
      <c r="P47">
        <v>520</v>
      </c>
      <c r="Q47">
        <v>1560</v>
      </c>
      <c r="R47">
        <v>80</v>
      </c>
      <c r="S47">
        <v>1207.1500000000001</v>
      </c>
    </row>
    <row r="48" spans="1:19" x14ac:dyDescent="0.3">
      <c r="A48" s="1" t="s">
        <v>170</v>
      </c>
      <c r="B48" s="4">
        <v>45311</v>
      </c>
      <c r="C48" s="1" t="s">
        <v>75</v>
      </c>
      <c r="D48" s="1" t="s">
        <v>48</v>
      </c>
      <c r="E48" s="1" t="s">
        <v>64</v>
      </c>
      <c r="F48" s="1" t="s">
        <v>65</v>
      </c>
      <c r="G48" s="1" t="s">
        <v>24</v>
      </c>
      <c r="H48" s="1" t="s">
        <v>34</v>
      </c>
      <c r="I48" s="1" t="s">
        <v>76</v>
      </c>
      <c r="J48" s="1" t="s">
        <v>77</v>
      </c>
      <c r="K48" s="1" t="s">
        <v>37</v>
      </c>
      <c r="L48">
        <v>2</v>
      </c>
      <c r="M48">
        <v>6999</v>
      </c>
      <c r="N48">
        <v>0</v>
      </c>
      <c r="O48">
        <v>13998</v>
      </c>
      <c r="P48">
        <v>4900</v>
      </c>
      <c r="Q48">
        <v>9800</v>
      </c>
      <c r="R48">
        <v>100</v>
      </c>
      <c r="S48">
        <v>4098</v>
      </c>
    </row>
    <row r="49" spans="1:19" x14ac:dyDescent="0.3">
      <c r="A49" s="1" t="s">
        <v>171</v>
      </c>
      <c r="B49" s="4">
        <v>45312</v>
      </c>
      <c r="C49" s="1" t="s">
        <v>172</v>
      </c>
      <c r="D49" s="1" t="s">
        <v>21</v>
      </c>
      <c r="E49" s="1" t="s">
        <v>124</v>
      </c>
      <c r="F49" s="1" t="s">
        <v>125</v>
      </c>
      <c r="G49" s="1" t="s">
        <v>42</v>
      </c>
      <c r="H49" s="1" t="s">
        <v>25</v>
      </c>
      <c r="I49" s="1" t="s">
        <v>81</v>
      </c>
      <c r="J49" s="1" t="s">
        <v>82</v>
      </c>
      <c r="K49" s="1" t="s">
        <v>61</v>
      </c>
      <c r="L49">
        <v>1</v>
      </c>
      <c r="M49">
        <v>2999</v>
      </c>
      <c r="N49">
        <v>0</v>
      </c>
      <c r="O49">
        <v>2999</v>
      </c>
      <c r="P49">
        <v>1750</v>
      </c>
      <c r="Q49">
        <v>1750</v>
      </c>
      <c r="R49">
        <v>0</v>
      </c>
      <c r="S49">
        <v>1249</v>
      </c>
    </row>
    <row r="50" spans="1:19" x14ac:dyDescent="0.3">
      <c r="A50" s="1" t="s">
        <v>173</v>
      </c>
      <c r="B50" s="4">
        <v>45313</v>
      </c>
      <c r="C50" s="1" t="s">
        <v>174</v>
      </c>
      <c r="D50" s="1" t="s">
        <v>21</v>
      </c>
      <c r="E50" s="1" t="s">
        <v>49</v>
      </c>
      <c r="F50" s="1" t="s">
        <v>50</v>
      </c>
      <c r="G50" s="1" t="s">
        <v>42</v>
      </c>
      <c r="H50" s="1" t="s">
        <v>89</v>
      </c>
      <c r="I50" s="1" t="s">
        <v>134</v>
      </c>
      <c r="J50" s="1" t="s">
        <v>135</v>
      </c>
      <c r="K50" s="1" t="s">
        <v>136</v>
      </c>
      <c r="L50">
        <v>3</v>
      </c>
      <c r="M50">
        <v>299</v>
      </c>
      <c r="N50">
        <v>0</v>
      </c>
      <c r="O50">
        <v>897</v>
      </c>
      <c r="P50">
        <v>110</v>
      </c>
      <c r="Q50">
        <v>330</v>
      </c>
      <c r="R50">
        <v>60</v>
      </c>
      <c r="S50">
        <v>507</v>
      </c>
    </row>
    <row r="51" spans="1:19" x14ac:dyDescent="0.3">
      <c r="A51" s="1" t="s">
        <v>175</v>
      </c>
      <c r="B51" s="4">
        <v>45313</v>
      </c>
      <c r="C51" s="1" t="s">
        <v>176</v>
      </c>
      <c r="D51" s="1" t="s">
        <v>48</v>
      </c>
      <c r="E51" s="1" t="s">
        <v>124</v>
      </c>
      <c r="F51" s="1" t="s">
        <v>125</v>
      </c>
      <c r="G51" s="1" t="s">
        <v>42</v>
      </c>
      <c r="H51" s="1" t="s">
        <v>25</v>
      </c>
      <c r="I51" s="1" t="s">
        <v>59</v>
      </c>
      <c r="J51" s="1" t="s">
        <v>60</v>
      </c>
      <c r="K51" s="1" t="s">
        <v>61</v>
      </c>
      <c r="L51">
        <v>1</v>
      </c>
      <c r="M51">
        <v>999</v>
      </c>
      <c r="N51">
        <v>0.2</v>
      </c>
      <c r="O51">
        <v>799.2</v>
      </c>
      <c r="P51">
        <v>520</v>
      </c>
      <c r="Q51">
        <v>520</v>
      </c>
      <c r="R51">
        <v>60</v>
      </c>
      <c r="S51">
        <v>219.2</v>
      </c>
    </row>
    <row r="52" spans="1:19" x14ac:dyDescent="0.3">
      <c r="A52" s="1" t="s">
        <v>177</v>
      </c>
      <c r="B52" s="4">
        <v>45314</v>
      </c>
      <c r="C52" s="1" t="s">
        <v>178</v>
      </c>
      <c r="D52" s="1" t="s">
        <v>48</v>
      </c>
      <c r="E52" s="1" t="s">
        <v>120</v>
      </c>
      <c r="F52" s="1" t="s">
        <v>121</v>
      </c>
      <c r="G52" s="1" t="s">
        <v>42</v>
      </c>
      <c r="H52" s="1" t="s">
        <v>25</v>
      </c>
      <c r="I52" s="1" t="s">
        <v>72</v>
      </c>
      <c r="J52" s="1" t="s">
        <v>73</v>
      </c>
      <c r="K52" s="1" t="s">
        <v>28</v>
      </c>
      <c r="L52">
        <v>3</v>
      </c>
      <c r="M52">
        <v>2199</v>
      </c>
      <c r="N52">
        <v>0.15</v>
      </c>
      <c r="O52">
        <v>5607.45</v>
      </c>
      <c r="P52">
        <v>1250</v>
      </c>
      <c r="Q52">
        <v>3750</v>
      </c>
      <c r="R52">
        <v>100</v>
      </c>
      <c r="S52">
        <v>1757.45</v>
      </c>
    </row>
    <row r="53" spans="1:19" x14ac:dyDescent="0.3">
      <c r="A53" s="1" t="s">
        <v>179</v>
      </c>
      <c r="B53" s="4">
        <v>45314</v>
      </c>
      <c r="C53" s="1" t="s">
        <v>144</v>
      </c>
      <c r="D53" s="1" t="s">
        <v>21</v>
      </c>
      <c r="E53" s="1" t="s">
        <v>124</v>
      </c>
      <c r="F53" s="1" t="s">
        <v>125</v>
      </c>
      <c r="G53" s="1" t="s">
        <v>33</v>
      </c>
      <c r="H53" s="1" t="s">
        <v>25</v>
      </c>
      <c r="I53" s="1" t="s">
        <v>85</v>
      </c>
      <c r="J53" s="1" t="s">
        <v>86</v>
      </c>
      <c r="K53" s="1" t="s">
        <v>45</v>
      </c>
      <c r="L53">
        <v>1</v>
      </c>
      <c r="M53">
        <v>599</v>
      </c>
      <c r="N53">
        <v>0.1</v>
      </c>
      <c r="O53">
        <v>539.1</v>
      </c>
      <c r="P53">
        <v>240</v>
      </c>
      <c r="Q53">
        <v>240</v>
      </c>
      <c r="R53">
        <v>80</v>
      </c>
      <c r="S53">
        <v>219.1</v>
      </c>
    </row>
    <row r="54" spans="1:19" x14ac:dyDescent="0.3">
      <c r="A54" s="1" t="s">
        <v>180</v>
      </c>
      <c r="B54" s="4">
        <v>45314</v>
      </c>
      <c r="C54" s="1" t="s">
        <v>181</v>
      </c>
      <c r="D54" s="1" t="s">
        <v>21</v>
      </c>
      <c r="E54" s="1" t="s">
        <v>70</v>
      </c>
      <c r="F54" s="1" t="s">
        <v>70</v>
      </c>
      <c r="G54" s="1" t="s">
        <v>24</v>
      </c>
      <c r="H54" s="1" t="s">
        <v>25</v>
      </c>
      <c r="I54" s="1" t="s">
        <v>92</v>
      </c>
      <c r="J54" s="1" t="s">
        <v>93</v>
      </c>
      <c r="K54" s="1" t="s">
        <v>28</v>
      </c>
      <c r="L54">
        <v>5</v>
      </c>
      <c r="M54">
        <v>1599</v>
      </c>
      <c r="N54">
        <v>0.05</v>
      </c>
      <c r="O54">
        <v>7595.25</v>
      </c>
      <c r="P54">
        <v>900</v>
      </c>
      <c r="Q54">
        <v>4500</v>
      </c>
      <c r="R54">
        <v>60</v>
      </c>
      <c r="S54">
        <v>3035.25</v>
      </c>
    </row>
    <row r="55" spans="1:19" x14ac:dyDescent="0.3">
      <c r="A55" s="1" t="s">
        <v>182</v>
      </c>
      <c r="B55" s="4">
        <v>45314</v>
      </c>
      <c r="C55" s="1" t="s">
        <v>183</v>
      </c>
      <c r="D55" s="1" t="s">
        <v>48</v>
      </c>
      <c r="E55" s="1" t="s">
        <v>70</v>
      </c>
      <c r="F55" s="1" t="s">
        <v>70</v>
      </c>
      <c r="G55" s="1" t="s">
        <v>24</v>
      </c>
      <c r="H55" s="1" t="s">
        <v>25</v>
      </c>
      <c r="I55" s="1" t="s">
        <v>51</v>
      </c>
      <c r="J55" s="1" t="s">
        <v>52</v>
      </c>
      <c r="K55" s="1" t="s">
        <v>37</v>
      </c>
      <c r="L55">
        <v>1</v>
      </c>
      <c r="M55">
        <v>499</v>
      </c>
      <c r="N55">
        <v>0.15</v>
      </c>
      <c r="O55">
        <v>424.15</v>
      </c>
      <c r="P55">
        <v>180</v>
      </c>
      <c r="Q55">
        <v>180</v>
      </c>
      <c r="R55">
        <v>100</v>
      </c>
      <c r="S55">
        <v>144.15</v>
      </c>
    </row>
    <row r="56" spans="1:19" x14ac:dyDescent="0.3">
      <c r="A56" s="1" t="s">
        <v>184</v>
      </c>
      <c r="B56" s="4">
        <v>45315</v>
      </c>
      <c r="C56" s="1" t="s">
        <v>185</v>
      </c>
      <c r="D56" s="1" t="s">
        <v>40</v>
      </c>
      <c r="E56" s="1" t="s">
        <v>124</v>
      </c>
      <c r="F56" s="1" t="s">
        <v>125</v>
      </c>
      <c r="G56" s="1" t="s">
        <v>33</v>
      </c>
      <c r="H56" s="1" t="s">
        <v>71</v>
      </c>
      <c r="I56" s="1" t="s">
        <v>134</v>
      </c>
      <c r="J56" s="1" t="s">
        <v>135</v>
      </c>
      <c r="K56" s="1" t="s">
        <v>136</v>
      </c>
      <c r="L56">
        <v>3</v>
      </c>
      <c r="M56">
        <v>299</v>
      </c>
      <c r="N56">
        <v>0.2</v>
      </c>
      <c r="O56">
        <v>717.6</v>
      </c>
      <c r="P56">
        <v>110</v>
      </c>
      <c r="Q56">
        <v>330</v>
      </c>
      <c r="R56">
        <v>40</v>
      </c>
      <c r="S56">
        <v>347.6</v>
      </c>
    </row>
    <row r="57" spans="1:19" x14ac:dyDescent="0.3">
      <c r="A57" s="1" t="s">
        <v>186</v>
      </c>
      <c r="B57" s="4">
        <v>45315</v>
      </c>
      <c r="C57" s="1" t="s">
        <v>187</v>
      </c>
      <c r="D57" s="1" t="s">
        <v>48</v>
      </c>
      <c r="E57" s="1" t="s">
        <v>124</v>
      </c>
      <c r="F57" s="1" t="s">
        <v>125</v>
      </c>
      <c r="G57" s="1" t="s">
        <v>24</v>
      </c>
      <c r="H57" s="1" t="s">
        <v>89</v>
      </c>
      <c r="I57" s="1" t="s">
        <v>134</v>
      </c>
      <c r="J57" s="1" t="s">
        <v>135</v>
      </c>
      <c r="K57" s="1" t="s">
        <v>136</v>
      </c>
      <c r="L57">
        <v>3</v>
      </c>
      <c r="M57">
        <v>299</v>
      </c>
      <c r="N57">
        <v>0</v>
      </c>
      <c r="O57">
        <v>897</v>
      </c>
      <c r="P57">
        <v>110</v>
      </c>
      <c r="Q57">
        <v>330</v>
      </c>
      <c r="R57">
        <v>40</v>
      </c>
      <c r="S57">
        <v>527</v>
      </c>
    </row>
    <row r="58" spans="1:19" x14ac:dyDescent="0.3">
      <c r="A58" s="1" t="s">
        <v>188</v>
      </c>
      <c r="B58" s="4">
        <v>45315</v>
      </c>
      <c r="C58" s="1" t="s">
        <v>101</v>
      </c>
      <c r="D58" s="1" t="s">
        <v>40</v>
      </c>
      <c r="E58" s="1" t="s">
        <v>80</v>
      </c>
      <c r="F58" s="1" t="s">
        <v>55</v>
      </c>
      <c r="G58" s="1" t="s">
        <v>33</v>
      </c>
      <c r="H58" s="1" t="s">
        <v>34</v>
      </c>
      <c r="I58" s="1" t="s">
        <v>76</v>
      </c>
      <c r="J58" s="1" t="s">
        <v>77</v>
      </c>
      <c r="K58" s="1" t="s">
        <v>37</v>
      </c>
      <c r="L58">
        <v>1</v>
      </c>
      <c r="M58">
        <v>6999</v>
      </c>
      <c r="N58">
        <v>0.05</v>
      </c>
      <c r="O58">
        <v>6649.05</v>
      </c>
      <c r="P58">
        <v>4900</v>
      </c>
      <c r="Q58">
        <v>4900</v>
      </c>
      <c r="R58">
        <v>40</v>
      </c>
      <c r="S58">
        <v>1709.05</v>
      </c>
    </row>
    <row r="59" spans="1:19" x14ac:dyDescent="0.3">
      <c r="A59" s="1" t="s">
        <v>189</v>
      </c>
      <c r="B59" s="4">
        <v>45315</v>
      </c>
      <c r="C59" s="1" t="s">
        <v>190</v>
      </c>
      <c r="D59" s="1" t="s">
        <v>21</v>
      </c>
      <c r="E59" s="1" t="s">
        <v>22</v>
      </c>
      <c r="F59" s="1" t="s">
        <v>23</v>
      </c>
      <c r="G59" s="1" t="s">
        <v>24</v>
      </c>
      <c r="H59" s="1" t="s">
        <v>34</v>
      </c>
      <c r="I59" s="1" t="s">
        <v>26</v>
      </c>
      <c r="J59" s="1" t="s">
        <v>27</v>
      </c>
      <c r="K59" s="1" t="s">
        <v>28</v>
      </c>
      <c r="L59">
        <v>4</v>
      </c>
      <c r="M59">
        <v>799</v>
      </c>
      <c r="N59">
        <v>0.15</v>
      </c>
      <c r="O59">
        <v>2716.6</v>
      </c>
      <c r="P59">
        <v>420</v>
      </c>
      <c r="Q59">
        <v>1680</v>
      </c>
      <c r="R59">
        <v>100</v>
      </c>
      <c r="S59">
        <v>936.6</v>
      </c>
    </row>
    <row r="60" spans="1:19" x14ac:dyDescent="0.3">
      <c r="A60" s="1" t="s">
        <v>191</v>
      </c>
      <c r="B60" s="4">
        <v>45316</v>
      </c>
      <c r="C60" s="1" t="s">
        <v>192</v>
      </c>
      <c r="D60" s="1" t="s">
        <v>40</v>
      </c>
      <c r="E60" s="1" t="s">
        <v>80</v>
      </c>
      <c r="F60" s="1" t="s">
        <v>55</v>
      </c>
      <c r="G60" s="1" t="s">
        <v>33</v>
      </c>
      <c r="H60" s="1" t="s">
        <v>89</v>
      </c>
      <c r="I60" s="1" t="s">
        <v>43</v>
      </c>
      <c r="J60" s="1" t="s">
        <v>44</v>
      </c>
      <c r="K60" s="1" t="s">
        <v>45</v>
      </c>
      <c r="L60">
        <v>2</v>
      </c>
      <c r="M60">
        <v>1799</v>
      </c>
      <c r="N60">
        <v>0</v>
      </c>
      <c r="O60">
        <v>3598</v>
      </c>
      <c r="P60">
        <v>850</v>
      </c>
      <c r="Q60">
        <v>1700</v>
      </c>
      <c r="R60">
        <v>0</v>
      </c>
      <c r="S60">
        <v>1898</v>
      </c>
    </row>
    <row r="61" spans="1:19" x14ac:dyDescent="0.3">
      <c r="A61" s="1" t="s">
        <v>193</v>
      </c>
      <c r="B61" s="4">
        <v>45317</v>
      </c>
      <c r="C61" s="1" t="s">
        <v>194</v>
      </c>
      <c r="D61" s="1" t="s">
        <v>21</v>
      </c>
      <c r="E61" s="1" t="s">
        <v>64</v>
      </c>
      <c r="F61" s="1" t="s">
        <v>65</v>
      </c>
      <c r="G61" s="1" t="s">
        <v>33</v>
      </c>
      <c r="H61" s="1" t="s">
        <v>56</v>
      </c>
      <c r="I61" s="1" t="s">
        <v>92</v>
      </c>
      <c r="J61" s="1" t="s">
        <v>93</v>
      </c>
      <c r="K61" s="1" t="s">
        <v>28</v>
      </c>
      <c r="L61">
        <v>2</v>
      </c>
      <c r="M61">
        <v>1599</v>
      </c>
      <c r="N61">
        <v>0.2</v>
      </c>
      <c r="O61">
        <v>2558.4</v>
      </c>
      <c r="P61">
        <v>900</v>
      </c>
      <c r="Q61">
        <v>1800</v>
      </c>
      <c r="R61">
        <v>40</v>
      </c>
      <c r="S61">
        <v>718.4</v>
      </c>
    </row>
    <row r="62" spans="1:19" x14ac:dyDescent="0.3">
      <c r="A62" s="1" t="s">
        <v>195</v>
      </c>
      <c r="B62" s="4">
        <v>45317</v>
      </c>
      <c r="C62" s="1" t="s">
        <v>196</v>
      </c>
      <c r="D62" s="1" t="s">
        <v>21</v>
      </c>
      <c r="E62" s="1" t="s">
        <v>112</v>
      </c>
      <c r="F62" s="1" t="s">
        <v>113</v>
      </c>
      <c r="G62" s="1" t="s">
        <v>33</v>
      </c>
      <c r="H62" s="1" t="s">
        <v>71</v>
      </c>
      <c r="I62" s="1" t="s">
        <v>81</v>
      </c>
      <c r="J62" s="1" t="s">
        <v>82</v>
      </c>
      <c r="K62" s="1" t="s">
        <v>61</v>
      </c>
      <c r="L62">
        <v>2</v>
      </c>
      <c r="M62">
        <v>2999</v>
      </c>
      <c r="N62">
        <v>0.05</v>
      </c>
      <c r="O62">
        <v>5698.1</v>
      </c>
      <c r="P62">
        <v>1750</v>
      </c>
      <c r="Q62">
        <v>3500</v>
      </c>
      <c r="R62">
        <v>60</v>
      </c>
      <c r="S62">
        <v>2138.1</v>
      </c>
    </row>
    <row r="63" spans="1:19" x14ac:dyDescent="0.3">
      <c r="A63" s="1" t="s">
        <v>197</v>
      </c>
      <c r="B63" s="4">
        <v>45317</v>
      </c>
      <c r="C63" s="1" t="s">
        <v>198</v>
      </c>
      <c r="D63" s="1" t="s">
        <v>40</v>
      </c>
      <c r="E63" s="1" t="s">
        <v>49</v>
      </c>
      <c r="F63" s="1" t="s">
        <v>50</v>
      </c>
      <c r="G63" s="1" t="s">
        <v>33</v>
      </c>
      <c r="H63" s="1" t="s">
        <v>71</v>
      </c>
      <c r="I63" s="1" t="s">
        <v>59</v>
      </c>
      <c r="J63" s="1" t="s">
        <v>60</v>
      </c>
      <c r="K63" s="1" t="s">
        <v>61</v>
      </c>
      <c r="L63">
        <v>1</v>
      </c>
      <c r="M63">
        <v>999</v>
      </c>
      <c r="N63">
        <v>0.2</v>
      </c>
      <c r="O63">
        <v>799.2</v>
      </c>
      <c r="P63">
        <v>520</v>
      </c>
      <c r="Q63">
        <v>520</v>
      </c>
      <c r="R63">
        <v>0</v>
      </c>
      <c r="S63">
        <v>279.2</v>
      </c>
    </row>
    <row r="64" spans="1:19" x14ac:dyDescent="0.3">
      <c r="A64" s="1" t="s">
        <v>199</v>
      </c>
      <c r="B64" s="4">
        <v>45317</v>
      </c>
      <c r="C64" s="1" t="s">
        <v>200</v>
      </c>
      <c r="D64" s="1" t="s">
        <v>21</v>
      </c>
      <c r="E64" s="1" t="s">
        <v>124</v>
      </c>
      <c r="F64" s="1" t="s">
        <v>125</v>
      </c>
      <c r="G64" s="1" t="s">
        <v>42</v>
      </c>
      <c r="H64" s="1" t="s">
        <v>89</v>
      </c>
      <c r="I64" s="1" t="s">
        <v>59</v>
      </c>
      <c r="J64" s="1" t="s">
        <v>60</v>
      </c>
      <c r="K64" s="1" t="s">
        <v>61</v>
      </c>
      <c r="L64">
        <v>2</v>
      </c>
      <c r="M64">
        <v>999</v>
      </c>
      <c r="N64">
        <v>0</v>
      </c>
      <c r="O64">
        <v>1998</v>
      </c>
      <c r="P64">
        <v>520</v>
      </c>
      <c r="Q64">
        <v>1040</v>
      </c>
      <c r="R64">
        <v>80</v>
      </c>
      <c r="S64">
        <v>878</v>
      </c>
    </row>
    <row r="65" spans="1:19" x14ac:dyDescent="0.3">
      <c r="A65" s="1" t="s">
        <v>201</v>
      </c>
      <c r="B65" s="4">
        <v>45318</v>
      </c>
      <c r="C65" s="1" t="s">
        <v>202</v>
      </c>
      <c r="D65" s="1" t="s">
        <v>40</v>
      </c>
      <c r="E65" s="1" t="s">
        <v>120</v>
      </c>
      <c r="F65" s="1" t="s">
        <v>121</v>
      </c>
      <c r="G65" s="1" t="s">
        <v>33</v>
      </c>
      <c r="H65" s="1" t="s">
        <v>34</v>
      </c>
      <c r="I65" s="1" t="s">
        <v>51</v>
      </c>
      <c r="J65" s="1" t="s">
        <v>52</v>
      </c>
      <c r="K65" s="1" t="s">
        <v>37</v>
      </c>
      <c r="L65">
        <v>2</v>
      </c>
      <c r="M65">
        <v>499</v>
      </c>
      <c r="N65">
        <v>0.1</v>
      </c>
      <c r="O65">
        <v>898.2</v>
      </c>
      <c r="P65">
        <v>180</v>
      </c>
      <c r="Q65">
        <v>360</v>
      </c>
      <c r="R65">
        <v>0</v>
      </c>
      <c r="S65">
        <v>538.20000000000005</v>
      </c>
    </row>
    <row r="66" spans="1:19" x14ac:dyDescent="0.3">
      <c r="A66" s="1" t="s">
        <v>203</v>
      </c>
      <c r="B66" s="4">
        <v>45318</v>
      </c>
      <c r="C66" s="1" t="s">
        <v>204</v>
      </c>
      <c r="D66" s="1" t="s">
        <v>48</v>
      </c>
      <c r="E66" s="1" t="s">
        <v>96</v>
      </c>
      <c r="F66" s="1" t="s">
        <v>97</v>
      </c>
      <c r="G66" s="1" t="s">
        <v>24</v>
      </c>
      <c r="H66" s="1" t="s">
        <v>25</v>
      </c>
      <c r="I66" s="1" t="s">
        <v>72</v>
      </c>
      <c r="J66" s="1" t="s">
        <v>73</v>
      </c>
      <c r="K66" s="1" t="s">
        <v>28</v>
      </c>
      <c r="L66">
        <v>5</v>
      </c>
      <c r="M66">
        <v>2199</v>
      </c>
      <c r="N66">
        <v>0.05</v>
      </c>
      <c r="O66">
        <v>10445.25</v>
      </c>
      <c r="P66">
        <v>1250</v>
      </c>
      <c r="Q66">
        <v>6250</v>
      </c>
      <c r="R66">
        <v>0</v>
      </c>
      <c r="S66">
        <v>4195.25</v>
      </c>
    </row>
    <row r="67" spans="1:19" x14ac:dyDescent="0.3">
      <c r="A67" s="1" t="s">
        <v>205</v>
      </c>
      <c r="B67" s="4">
        <v>45318</v>
      </c>
      <c r="C67" s="1" t="s">
        <v>206</v>
      </c>
      <c r="D67" s="1" t="s">
        <v>21</v>
      </c>
      <c r="E67" s="1" t="s">
        <v>112</v>
      </c>
      <c r="F67" s="1" t="s">
        <v>113</v>
      </c>
      <c r="G67" s="1" t="s">
        <v>24</v>
      </c>
      <c r="H67" s="1" t="s">
        <v>25</v>
      </c>
      <c r="I67" s="1" t="s">
        <v>76</v>
      </c>
      <c r="J67" s="1" t="s">
        <v>77</v>
      </c>
      <c r="K67" s="1" t="s">
        <v>37</v>
      </c>
      <c r="L67">
        <v>2</v>
      </c>
      <c r="M67">
        <v>6999</v>
      </c>
      <c r="N67">
        <v>0.05</v>
      </c>
      <c r="O67">
        <v>13298.1</v>
      </c>
      <c r="P67">
        <v>4900</v>
      </c>
      <c r="Q67">
        <v>9800</v>
      </c>
      <c r="R67">
        <v>60</v>
      </c>
      <c r="S67">
        <v>3438.1</v>
      </c>
    </row>
    <row r="68" spans="1:19" x14ac:dyDescent="0.3">
      <c r="A68" s="1" t="s">
        <v>207</v>
      </c>
      <c r="B68" s="4">
        <v>45319</v>
      </c>
      <c r="C68" s="1" t="s">
        <v>208</v>
      </c>
      <c r="D68" s="1" t="s">
        <v>48</v>
      </c>
      <c r="E68" s="1" t="s">
        <v>112</v>
      </c>
      <c r="F68" s="1" t="s">
        <v>113</v>
      </c>
      <c r="G68" s="1" t="s">
        <v>24</v>
      </c>
      <c r="H68" s="1" t="s">
        <v>56</v>
      </c>
      <c r="I68" s="1" t="s">
        <v>51</v>
      </c>
      <c r="J68" s="1" t="s">
        <v>52</v>
      </c>
      <c r="K68" s="1" t="s">
        <v>37</v>
      </c>
      <c r="L68">
        <v>2</v>
      </c>
      <c r="M68">
        <v>499</v>
      </c>
      <c r="N68">
        <v>0</v>
      </c>
      <c r="O68">
        <v>998</v>
      </c>
      <c r="P68">
        <v>180</v>
      </c>
      <c r="Q68">
        <v>360</v>
      </c>
      <c r="R68">
        <v>40</v>
      </c>
      <c r="S68">
        <v>598</v>
      </c>
    </row>
    <row r="69" spans="1:19" x14ac:dyDescent="0.3">
      <c r="A69" s="1" t="s">
        <v>209</v>
      </c>
      <c r="B69" s="4">
        <v>45319</v>
      </c>
      <c r="C69" s="1" t="s">
        <v>210</v>
      </c>
      <c r="D69" s="1" t="s">
        <v>21</v>
      </c>
      <c r="E69" s="1" t="s">
        <v>124</v>
      </c>
      <c r="F69" s="1" t="s">
        <v>125</v>
      </c>
      <c r="G69" s="1" t="s">
        <v>33</v>
      </c>
      <c r="H69" s="1" t="s">
        <v>25</v>
      </c>
      <c r="I69" s="1" t="s">
        <v>76</v>
      </c>
      <c r="J69" s="1" t="s">
        <v>77</v>
      </c>
      <c r="K69" s="1" t="s">
        <v>37</v>
      </c>
      <c r="L69">
        <v>1</v>
      </c>
      <c r="M69">
        <v>6999</v>
      </c>
      <c r="N69">
        <v>0</v>
      </c>
      <c r="O69">
        <v>6999</v>
      </c>
      <c r="P69">
        <v>4900</v>
      </c>
      <c r="Q69">
        <v>4900</v>
      </c>
      <c r="R69">
        <v>80</v>
      </c>
      <c r="S69">
        <v>2019</v>
      </c>
    </row>
    <row r="70" spans="1:19" x14ac:dyDescent="0.3">
      <c r="A70" s="1" t="s">
        <v>211</v>
      </c>
      <c r="B70" s="4">
        <v>45320</v>
      </c>
      <c r="C70" s="1" t="s">
        <v>212</v>
      </c>
      <c r="D70" s="1" t="s">
        <v>21</v>
      </c>
      <c r="E70" s="1" t="s">
        <v>54</v>
      </c>
      <c r="F70" s="1" t="s">
        <v>55</v>
      </c>
      <c r="G70" s="1" t="s">
        <v>42</v>
      </c>
      <c r="H70" s="1" t="s">
        <v>56</v>
      </c>
      <c r="I70" s="1" t="s">
        <v>92</v>
      </c>
      <c r="J70" s="1" t="s">
        <v>93</v>
      </c>
      <c r="K70" s="1" t="s">
        <v>28</v>
      </c>
      <c r="L70">
        <v>1</v>
      </c>
      <c r="M70">
        <v>1599</v>
      </c>
      <c r="N70">
        <v>0.15</v>
      </c>
      <c r="O70">
        <v>1359.15</v>
      </c>
      <c r="P70">
        <v>900</v>
      </c>
      <c r="Q70">
        <v>900</v>
      </c>
      <c r="R70">
        <v>80</v>
      </c>
      <c r="S70">
        <v>379.15</v>
      </c>
    </row>
    <row r="71" spans="1:19" x14ac:dyDescent="0.3">
      <c r="A71" s="1" t="s">
        <v>213</v>
      </c>
      <c r="B71" s="4">
        <v>45320</v>
      </c>
      <c r="C71" s="1" t="s">
        <v>214</v>
      </c>
      <c r="D71" s="1" t="s">
        <v>40</v>
      </c>
      <c r="E71" s="1" t="s">
        <v>49</v>
      </c>
      <c r="F71" s="1" t="s">
        <v>50</v>
      </c>
      <c r="G71" s="1" t="s">
        <v>24</v>
      </c>
      <c r="H71" s="1" t="s">
        <v>56</v>
      </c>
      <c r="I71" s="1" t="s">
        <v>59</v>
      </c>
      <c r="J71" s="1" t="s">
        <v>60</v>
      </c>
      <c r="K71" s="1" t="s">
        <v>61</v>
      </c>
      <c r="L71">
        <v>1</v>
      </c>
      <c r="M71">
        <v>999</v>
      </c>
      <c r="N71">
        <v>0.15</v>
      </c>
      <c r="O71">
        <v>849.15</v>
      </c>
      <c r="P71">
        <v>520</v>
      </c>
      <c r="Q71">
        <v>520</v>
      </c>
      <c r="R71">
        <v>40</v>
      </c>
      <c r="S71">
        <v>289.14999999999998</v>
      </c>
    </row>
    <row r="72" spans="1:19" x14ac:dyDescent="0.3">
      <c r="A72" s="1" t="s">
        <v>215</v>
      </c>
      <c r="B72" s="4">
        <v>45320</v>
      </c>
      <c r="C72" s="1" t="s">
        <v>216</v>
      </c>
      <c r="D72" s="1" t="s">
        <v>21</v>
      </c>
      <c r="E72" s="1" t="s">
        <v>41</v>
      </c>
      <c r="F72" s="1" t="s">
        <v>32</v>
      </c>
      <c r="G72" s="1" t="s">
        <v>42</v>
      </c>
      <c r="H72" s="1" t="s">
        <v>25</v>
      </c>
      <c r="I72" s="1" t="s">
        <v>43</v>
      </c>
      <c r="J72" s="1" t="s">
        <v>44</v>
      </c>
      <c r="K72" s="1" t="s">
        <v>45</v>
      </c>
      <c r="L72">
        <v>2</v>
      </c>
      <c r="M72">
        <v>1799</v>
      </c>
      <c r="N72">
        <v>0</v>
      </c>
      <c r="O72">
        <v>3598</v>
      </c>
      <c r="P72">
        <v>850</v>
      </c>
      <c r="Q72">
        <v>1700</v>
      </c>
      <c r="R72">
        <v>100</v>
      </c>
      <c r="S72">
        <v>1798</v>
      </c>
    </row>
    <row r="73" spans="1:19" x14ac:dyDescent="0.3">
      <c r="A73" s="1" t="s">
        <v>217</v>
      </c>
      <c r="B73" s="4">
        <v>45320</v>
      </c>
      <c r="C73" s="1" t="s">
        <v>218</v>
      </c>
      <c r="D73" s="1" t="s">
        <v>21</v>
      </c>
      <c r="E73" s="1" t="s">
        <v>70</v>
      </c>
      <c r="F73" s="1" t="s">
        <v>70</v>
      </c>
      <c r="G73" s="1" t="s">
        <v>42</v>
      </c>
      <c r="H73" s="1" t="s">
        <v>89</v>
      </c>
      <c r="I73" s="1" t="s">
        <v>85</v>
      </c>
      <c r="J73" s="1" t="s">
        <v>86</v>
      </c>
      <c r="K73" s="1" t="s">
        <v>45</v>
      </c>
      <c r="L73">
        <v>1</v>
      </c>
      <c r="M73">
        <v>599</v>
      </c>
      <c r="N73">
        <v>0.1</v>
      </c>
      <c r="O73">
        <v>539.1</v>
      </c>
      <c r="P73">
        <v>240</v>
      </c>
      <c r="Q73">
        <v>240</v>
      </c>
      <c r="R73">
        <v>0</v>
      </c>
      <c r="S73">
        <v>299.10000000000002</v>
      </c>
    </row>
    <row r="74" spans="1:19" x14ac:dyDescent="0.3">
      <c r="A74" s="1" t="s">
        <v>219</v>
      </c>
      <c r="B74" s="4">
        <v>45321</v>
      </c>
      <c r="C74" s="1" t="s">
        <v>220</v>
      </c>
      <c r="D74" s="1" t="s">
        <v>48</v>
      </c>
      <c r="E74" s="1" t="s">
        <v>22</v>
      </c>
      <c r="F74" s="1" t="s">
        <v>23</v>
      </c>
      <c r="G74" s="1" t="s">
        <v>42</v>
      </c>
      <c r="H74" s="1" t="s">
        <v>71</v>
      </c>
      <c r="I74" s="1" t="s">
        <v>43</v>
      </c>
      <c r="J74" s="1" t="s">
        <v>44</v>
      </c>
      <c r="K74" s="1" t="s">
        <v>45</v>
      </c>
      <c r="L74">
        <v>2</v>
      </c>
      <c r="M74">
        <v>1799</v>
      </c>
      <c r="N74">
        <v>0.1</v>
      </c>
      <c r="O74">
        <v>3238.2</v>
      </c>
      <c r="P74">
        <v>850</v>
      </c>
      <c r="Q74">
        <v>1700</v>
      </c>
      <c r="R74">
        <v>60</v>
      </c>
      <c r="S74">
        <v>1478.2</v>
      </c>
    </row>
    <row r="75" spans="1:19" x14ac:dyDescent="0.3">
      <c r="A75" s="1" t="s">
        <v>221</v>
      </c>
      <c r="B75" s="4">
        <v>45321</v>
      </c>
      <c r="C75" s="1" t="s">
        <v>222</v>
      </c>
      <c r="D75" s="1" t="s">
        <v>48</v>
      </c>
      <c r="E75" s="1" t="s">
        <v>80</v>
      </c>
      <c r="F75" s="1" t="s">
        <v>55</v>
      </c>
      <c r="G75" s="1" t="s">
        <v>24</v>
      </c>
      <c r="H75" s="1" t="s">
        <v>34</v>
      </c>
      <c r="I75" s="1" t="s">
        <v>51</v>
      </c>
      <c r="J75" s="1" t="s">
        <v>52</v>
      </c>
      <c r="K75" s="1" t="s">
        <v>37</v>
      </c>
      <c r="L75">
        <v>1</v>
      </c>
      <c r="M75">
        <v>499</v>
      </c>
      <c r="N75">
        <v>0</v>
      </c>
      <c r="O75">
        <v>499</v>
      </c>
      <c r="P75">
        <v>180</v>
      </c>
      <c r="Q75">
        <v>180</v>
      </c>
      <c r="R75">
        <v>40</v>
      </c>
      <c r="S75">
        <v>279</v>
      </c>
    </row>
    <row r="76" spans="1:19" x14ac:dyDescent="0.3">
      <c r="A76" s="1" t="s">
        <v>223</v>
      </c>
      <c r="B76" s="4">
        <v>45322</v>
      </c>
      <c r="C76" s="1" t="s">
        <v>224</v>
      </c>
      <c r="D76" s="1" t="s">
        <v>21</v>
      </c>
      <c r="E76" s="1" t="s">
        <v>80</v>
      </c>
      <c r="F76" s="1" t="s">
        <v>55</v>
      </c>
      <c r="G76" s="1" t="s">
        <v>33</v>
      </c>
      <c r="H76" s="1" t="s">
        <v>34</v>
      </c>
      <c r="I76" s="1" t="s">
        <v>43</v>
      </c>
      <c r="J76" s="1" t="s">
        <v>44</v>
      </c>
      <c r="K76" s="1" t="s">
        <v>45</v>
      </c>
      <c r="L76">
        <v>1</v>
      </c>
      <c r="M76">
        <v>1799</v>
      </c>
      <c r="N76">
        <v>0</v>
      </c>
      <c r="O76">
        <v>1799</v>
      </c>
      <c r="P76">
        <v>850</v>
      </c>
      <c r="Q76">
        <v>850</v>
      </c>
      <c r="R76">
        <v>100</v>
      </c>
      <c r="S76">
        <v>849</v>
      </c>
    </row>
    <row r="77" spans="1:19" x14ac:dyDescent="0.3">
      <c r="A77" s="1" t="s">
        <v>225</v>
      </c>
      <c r="B77" s="4">
        <v>45322</v>
      </c>
      <c r="C77" s="1" t="s">
        <v>226</v>
      </c>
      <c r="D77" s="1" t="s">
        <v>21</v>
      </c>
      <c r="E77" s="1" t="s">
        <v>64</v>
      </c>
      <c r="F77" s="1" t="s">
        <v>65</v>
      </c>
      <c r="G77" s="1" t="s">
        <v>33</v>
      </c>
      <c r="H77" s="1" t="s">
        <v>56</v>
      </c>
      <c r="I77" s="1" t="s">
        <v>72</v>
      </c>
      <c r="J77" s="1" t="s">
        <v>73</v>
      </c>
      <c r="K77" s="1" t="s">
        <v>28</v>
      </c>
      <c r="L77">
        <v>1</v>
      </c>
      <c r="M77">
        <v>2199</v>
      </c>
      <c r="N77">
        <v>0</v>
      </c>
      <c r="O77">
        <v>2199</v>
      </c>
      <c r="P77">
        <v>1250</v>
      </c>
      <c r="Q77">
        <v>1250</v>
      </c>
      <c r="R77">
        <v>0</v>
      </c>
      <c r="S77">
        <v>949</v>
      </c>
    </row>
    <row r="78" spans="1:19" x14ac:dyDescent="0.3">
      <c r="A78" s="1" t="s">
        <v>227</v>
      </c>
      <c r="B78" s="4">
        <v>45324</v>
      </c>
      <c r="C78" s="1" t="s">
        <v>228</v>
      </c>
      <c r="D78" s="1" t="s">
        <v>21</v>
      </c>
      <c r="E78" s="1" t="s">
        <v>41</v>
      </c>
      <c r="F78" s="1" t="s">
        <v>32</v>
      </c>
      <c r="G78" s="1" t="s">
        <v>42</v>
      </c>
      <c r="H78" s="1" t="s">
        <v>34</v>
      </c>
      <c r="I78" s="1" t="s">
        <v>92</v>
      </c>
      <c r="J78" s="1" t="s">
        <v>93</v>
      </c>
      <c r="K78" s="1" t="s">
        <v>28</v>
      </c>
      <c r="L78">
        <v>2</v>
      </c>
      <c r="M78">
        <v>1599</v>
      </c>
      <c r="N78">
        <v>0</v>
      </c>
      <c r="O78">
        <v>3198</v>
      </c>
      <c r="P78">
        <v>900</v>
      </c>
      <c r="Q78">
        <v>1800</v>
      </c>
      <c r="R78">
        <v>60</v>
      </c>
      <c r="S78">
        <v>1338</v>
      </c>
    </row>
    <row r="79" spans="1:19" x14ac:dyDescent="0.3">
      <c r="A79" s="1" t="s">
        <v>229</v>
      </c>
      <c r="B79" s="4">
        <v>45324</v>
      </c>
      <c r="C79" s="1" t="s">
        <v>230</v>
      </c>
      <c r="D79" s="1" t="s">
        <v>40</v>
      </c>
      <c r="E79" s="1" t="s">
        <v>112</v>
      </c>
      <c r="F79" s="1" t="s">
        <v>113</v>
      </c>
      <c r="G79" s="1" t="s">
        <v>42</v>
      </c>
      <c r="H79" s="1" t="s">
        <v>56</v>
      </c>
      <c r="I79" s="1" t="s">
        <v>134</v>
      </c>
      <c r="J79" s="1" t="s">
        <v>135</v>
      </c>
      <c r="K79" s="1" t="s">
        <v>136</v>
      </c>
      <c r="L79">
        <v>3</v>
      </c>
      <c r="M79">
        <v>299</v>
      </c>
      <c r="N79">
        <v>0</v>
      </c>
      <c r="O79">
        <v>897</v>
      </c>
      <c r="P79">
        <v>110</v>
      </c>
      <c r="Q79">
        <v>330</v>
      </c>
      <c r="R79">
        <v>60</v>
      </c>
      <c r="S79">
        <v>507</v>
      </c>
    </row>
    <row r="80" spans="1:19" x14ac:dyDescent="0.3">
      <c r="A80" s="1" t="s">
        <v>231</v>
      </c>
      <c r="B80" s="4">
        <v>45324</v>
      </c>
      <c r="C80" s="1" t="s">
        <v>232</v>
      </c>
      <c r="D80" s="1" t="s">
        <v>48</v>
      </c>
      <c r="E80" s="1" t="s">
        <v>31</v>
      </c>
      <c r="F80" s="1" t="s">
        <v>32</v>
      </c>
      <c r="G80" s="1" t="s">
        <v>33</v>
      </c>
      <c r="H80" s="1" t="s">
        <v>56</v>
      </c>
      <c r="I80" s="1" t="s">
        <v>81</v>
      </c>
      <c r="J80" s="1" t="s">
        <v>82</v>
      </c>
      <c r="K80" s="1" t="s">
        <v>61</v>
      </c>
      <c r="L80">
        <v>1</v>
      </c>
      <c r="M80">
        <v>2999</v>
      </c>
      <c r="N80">
        <v>0</v>
      </c>
      <c r="O80">
        <v>2999</v>
      </c>
      <c r="P80">
        <v>1750</v>
      </c>
      <c r="Q80">
        <v>1750</v>
      </c>
      <c r="R80">
        <v>40</v>
      </c>
      <c r="S80">
        <v>1209</v>
      </c>
    </row>
    <row r="81" spans="1:19" x14ac:dyDescent="0.3">
      <c r="A81" s="1" t="s">
        <v>233</v>
      </c>
      <c r="B81" s="4">
        <v>45324</v>
      </c>
      <c r="C81" s="1" t="s">
        <v>234</v>
      </c>
      <c r="D81" s="1" t="s">
        <v>40</v>
      </c>
      <c r="E81" s="1" t="s">
        <v>112</v>
      </c>
      <c r="F81" s="1" t="s">
        <v>113</v>
      </c>
      <c r="G81" s="1" t="s">
        <v>33</v>
      </c>
      <c r="H81" s="1" t="s">
        <v>71</v>
      </c>
      <c r="I81" s="1" t="s">
        <v>43</v>
      </c>
      <c r="J81" s="1" t="s">
        <v>44</v>
      </c>
      <c r="K81" s="1" t="s">
        <v>45</v>
      </c>
      <c r="L81">
        <v>4</v>
      </c>
      <c r="M81">
        <v>1799</v>
      </c>
      <c r="N81">
        <v>0</v>
      </c>
      <c r="O81">
        <v>7196</v>
      </c>
      <c r="P81">
        <v>850</v>
      </c>
      <c r="Q81">
        <v>3400</v>
      </c>
      <c r="R81">
        <v>80</v>
      </c>
      <c r="S81">
        <v>3716</v>
      </c>
    </row>
    <row r="82" spans="1:19" x14ac:dyDescent="0.3">
      <c r="A82" s="1" t="s">
        <v>235</v>
      </c>
      <c r="B82" s="4">
        <v>45325</v>
      </c>
      <c r="C82" s="1" t="s">
        <v>236</v>
      </c>
      <c r="D82" s="1" t="s">
        <v>21</v>
      </c>
      <c r="E82" s="1" t="s">
        <v>22</v>
      </c>
      <c r="F82" s="1" t="s">
        <v>23</v>
      </c>
      <c r="G82" s="1" t="s">
        <v>24</v>
      </c>
      <c r="H82" s="1" t="s">
        <v>34</v>
      </c>
      <c r="I82" s="1" t="s">
        <v>43</v>
      </c>
      <c r="J82" s="1" t="s">
        <v>44</v>
      </c>
      <c r="K82" s="1" t="s">
        <v>45</v>
      </c>
      <c r="L82">
        <v>1</v>
      </c>
      <c r="M82">
        <v>1799</v>
      </c>
      <c r="N82">
        <v>0.05</v>
      </c>
      <c r="O82">
        <v>1709.05</v>
      </c>
      <c r="P82">
        <v>850</v>
      </c>
      <c r="Q82">
        <v>850</v>
      </c>
      <c r="R82">
        <v>40</v>
      </c>
      <c r="S82">
        <v>819.05</v>
      </c>
    </row>
    <row r="83" spans="1:19" x14ac:dyDescent="0.3">
      <c r="A83" s="1" t="s">
        <v>237</v>
      </c>
      <c r="B83" s="4">
        <v>45325</v>
      </c>
      <c r="C83" s="1" t="s">
        <v>238</v>
      </c>
      <c r="D83" s="1" t="s">
        <v>21</v>
      </c>
      <c r="E83" s="1" t="s">
        <v>49</v>
      </c>
      <c r="F83" s="1" t="s">
        <v>50</v>
      </c>
      <c r="G83" s="1" t="s">
        <v>24</v>
      </c>
      <c r="H83" s="1" t="s">
        <v>34</v>
      </c>
      <c r="I83" s="1" t="s">
        <v>76</v>
      </c>
      <c r="J83" s="1" t="s">
        <v>77</v>
      </c>
      <c r="K83" s="1" t="s">
        <v>37</v>
      </c>
      <c r="L83">
        <v>1</v>
      </c>
      <c r="M83">
        <v>6999</v>
      </c>
      <c r="N83">
        <v>0.1</v>
      </c>
      <c r="O83">
        <v>6299.1</v>
      </c>
      <c r="P83">
        <v>4900</v>
      </c>
      <c r="Q83">
        <v>4900</v>
      </c>
      <c r="R83">
        <v>40</v>
      </c>
      <c r="S83">
        <v>1359.1</v>
      </c>
    </row>
    <row r="84" spans="1:19" x14ac:dyDescent="0.3">
      <c r="A84" s="1" t="s">
        <v>239</v>
      </c>
      <c r="B84" s="4">
        <v>45326</v>
      </c>
      <c r="C84" s="1" t="s">
        <v>240</v>
      </c>
      <c r="D84" s="1" t="s">
        <v>21</v>
      </c>
      <c r="E84" s="1" t="s">
        <v>64</v>
      </c>
      <c r="F84" s="1" t="s">
        <v>65</v>
      </c>
      <c r="G84" s="1" t="s">
        <v>42</v>
      </c>
      <c r="H84" s="1" t="s">
        <v>34</v>
      </c>
      <c r="I84" s="1" t="s">
        <v>76</v>
      </c>
      <c r="J84" s="1" t="s">
        <v>77</v>
      </c>
      <c r="K84" s="1" t="s">
        <v>37</v>
      </c>
      <c r="L84">
        <v>2</v>
      </c>
      <c r="M84">
        <v>6999</v>
      </c>
      <c r="N84">
        <v>0.2</v>
      </c>
      <c r="O84">
        <v>11198.4</v>
      </c>
      <c r="P84">
        <v>4900</v>
      </c>
      <c r="Q84">
        <v>9800</v>
      </c>
      <c r="R84">
        <v>100</v>
      </c>
      <c r="S84">
        <v>1298.4000000000001</v>
      </c>
    </row>
    <row r="85" spans="1:19" x14ac:dyDescent="0.3">
      <c r="A85" s="1" t="s">
        <v>241</v>
      </c>
      <c r="B85" s="4">
        <v>45327</v>
      </c>
      <c r="C85" s="1" t="s">
        <v>242</v>
      </c>
      <c r="D85" s="1" t="s">
        <v>48</v>
      </c>
      <c r="E85" s="1" t="s">
        <v>41</v>
      </c>
      <c r="F85" s="1" t="s">
        <v>32</v>
      </c>
      <c r="G85" s="1" t="s">
        <v>24</v>
      </c>
      <c r="H85" s="1" t="s">
        <v>25</v>
      </c>
      <c r="I85" s="1" t="s">
        <v>76</v>
      </c>
      <c r="J85" s="1" t="s">
        <v>77</v>
      </c>
      <c r="K85" s="1" t="s">
        <v>37</v>
      </c>
      <c r="L85">
        <v>2</v>
      </c>
      <c r="M85">
        <v>6999</v>
      </c>
      <c r="N85">
        <v>0.1</v>
      </c>
      <c r="O85">
        <v>12598.2</v>
      </c>
      <c r="P85">
        <v>4900</v>
      </c>
      <c r="Q85">
        <v>9800</v>
      </c>
      <c r="R85">
        <v>0</v>
      </c>
      <c r="S85">
        <v>2798.2</v>
      </c>
    </row>
    <row r="86" spans="1:19" x14ac:dyDescent="0.3">
      <c r="A86" s="1" t="s">
        <v>243</v>
      </c>
      <c r="B86" s="4">
        <v>45328</v>
      </c>
      <c r="C86" s="1" t="s">
        <v>244</v>
      </c>
      <c r="D86" s="1" t="s">
        <v>48</v>
      </c>
      <c r="E86" s="1" t="s">
        <v>124</v>
      </c>
      <c r="F86" s="1" t="s">
        <v>125</v>
      </c>
      <c r="G86" s="1" t="s">
        <v>33</v>
      </c>
      <c r="H86" s="1" t="s">
        <v>71</v>
      </c>
      <c r="I86" s="1" t="s">
        <v>43</v>
      </c>
      <c r="J86" s="1" t="s">
        <v>44</v>
      </c>
      <c r="K86" s="1" t="s">
        <v>45</v>
      </c>
      <c r="L86">
        <v>4</v>
      </c>
      <c r="M86">
        <v>1799</v>
      </c>
      <c r="N86">
        <v>0.1</v>
      </c>
      <c r="O86">
        <v>6476.4</v>
      </c>
      <c r="P86">
        <v>850</v>
      </c>
      <c r="Q86">
        <v>3400</v>
      </c>
      <c r="R86">
        <v>0</v>
      </c>
      <c r="S86">
        <v>3076.4</v>
      </c>
    </row>
    <row r="87" spans="1:19" x14ac:dyDescent="0.3">
      <c r="A87" s="1" t="s">
        <v>245</v>
      </c>
      <c r="B87" s="4">
        <v>45329</v>
      </c>
      <c r="C87" s="1" t="s">
        <v>246</v>
      </c>
      <c r="D87" s="1" t="s">
        <v>21</v>
      </c>
      <c r="E87" s="1" t="s">
        <v>80</v>
      </c>
      <c r="F87" s="1" t="s">
        <v>55</v>
      </c>
      <c r="G87" s="1" t="s">
        <v>42</v>
      </c>
      <c r="H87" s="1" t="s">
        <v>89</v>
      </c>
      <c r="I87" s="1" t="s">
        <v>92</v>
      </c>
      <c r="J87" s="1" t="s">
        <v>93</v>
      </c>
      <c r="K87" s="1" t="s">
        <v>28</v>
      </c>
      <c r="L87">
        <v>2</v>
      </c>
      <c r="M87">
        <v>1599</v>
      </c>
      <c r="N87">
        <v>0.15</v>
      </c>
      <c r="O87">
        <v>2718.3</v>
      </c>
      <c r="P87">
        <v>900</v>
      </c>
      <c r="Q87">
        <v>1800</v>
      </c>
      <c r="R87">
        <v>60</v>
      </c>
      <c r="S87">
        <v>858.3</v>
      </c>
    </row>
    <row r="88" spans="1:19" x14ac:dyDescent="0.3">
      <c r="A88" s="1" t="s">
        <v>247</v>
      </c>
      <c r="B88" s="4">
        <v>45329</v>
      </c>
      <c r="C88" s="1" t="s">
        <v>248</v>
      </c>
      <c r="D88" s="1" t="s">
        <v>40</v>
      </c>
      <c r="E88" s="1" t="s">
        <v>96</v>
      </c>
      <c r="F88" s="1" t="s">
        <v>97</v>
      </c>
      <c r="G88" s="1" t="s">
        <v>24</v>
      </c>
      <c r="H88" s="1" t="s">
        <v>34</v>
      </c>
      <c r="I88" s="1" t="s">
        <v>51</v>
      </c>
      <c r="J88" s="1" t="s">
        <v>52</v>
      </c>
      <c r="K88" s="1" t="s">
        <v>37</v>
      </c>
      <c r="L88">
        <v>3</v>
      </c>
      <c r="M88">
        <v>499</v>
      </c>
      <c r="N88">
        <v>0</v>
      </c>
      <c r="O88">
        <v>1497</v>
      </c>
      <c r="P88">
        <v>180</v>
      </c>
      <c r="Q88">
        <v>540</v>
      </c>
      <c r="R88">
        <v>80</v>
      </c>
      <c r="S88">
        <v>877</v>
      </c>
    </row>
    <row r="89" spans="1:19" x14ac:dyDescent="0.3">
      <c r="A89" s="1" t="s">
        <v>249</v>
      </c>
      <c r="B89" s="4">
        <v>45329</v>
      </c>
      <c r="C89" s="1" t="s">
        <v>244</v>
      </c>
      <c r="D89" s="1" t="s">
        <v>40</v>
      </c>
      <c r="E89" s="1" t="s">
        <v>49</v>
      </c>
      <c r="F89" s="1" t="s">
        <v>50</v>
      </c>
      <c r="G89" s="1" t="s">
        <v>24</v>
      </c>
      <c r="H89" s="1" t="s">
        <v>34</v>
      </c>
      <c r="I89" s="1" t="s">
        <v>35</v>
      </c>
      <c r="J89" s="1" t="s">
        <v>36</v>
      </c>
      <c r="K89" s="1" t="s">
        <v>37</v>
      </c>
      <c r="L89">
        <v>2</v>
      </c>
      <c r="M89">
        <v>1299</v>
      </c>
      <c r="N89">
        <v>0.2</v>
      </c>
      <c r="O89">
        <v>2078.4</v>
      </c>
      <c r="P89">
        <v>700</v>
      </c>
      <c r="Q89">
        <v>1400</v>
      </c>
      <c r="R89">
        <v>100</v>
      </c>
      <c r="S89">
        <v>578.4</v>
      </c>
    </row>
    <row r="90" spans="1:19" x14ac:dyDescent="0.3">
      <c r="A90" s="1" t="s">
        <v>250</v>
      </c>
      <c r="B90" s="4">
        <v>45329</v>
      </c>
      <c r="C90" s="1" t="s">
        <v>251</v>
      </c>
      <c r="D90" s="1" t="s">
        <v>21</v>
      </c>
      <c r="E90" s="1" t="s">
        <v>31</v>
      </c>
      <c r="F90" s="1" t="s">
        <v>32</v>
      </c>
      <c r="G90" s="1" t="s">
        <v>42</v>
      </c>
      <c r="H90" s="1" t="s">
        <v>25</v>
      </c>
      <c r="I90" s="1" t="s">
        <v>92</v>
      </c>
      <c r="J90" s="1" t="s">
        <v>93</v>
      </c>
      <c r="K90" s="1" t="s">
        <v>28</v>
      </c>
      <c r="L90">
        <v>3</v>
      </c>
      <c r="M90">
        <v>1599</v>
      </c>
      <c r="N90">
        <v>0.2</v>
      </c>
      <c r="O90">
        <v>3837.6</v>
      </c>
      <c r="P90">
        <v>900</v>
      </c>
      <c r="Q90">
        <v>2700</v>
      </c>
      <c r="R90">
        <v>100</v>
      </c>
      <c r="S90">
        <v>1037.5999999999999</v>
      </c>
    </row>
    <row r="91" spans="1:19" x14ac:dyDescent="0.3">
      <c r="A91" s="1" t="s">
        <v>252</v>
      </c>
      <c r="B91" s="4">
        <v>45330</v>
      </c>
      <c r="C91" s="1" t="s">
        <v>253</v>
      </c>
      <c r="D91" s="1" t="s">
        <v>40</v>
      </c>
      <c r="E91" s="1" t="s">
        <v>80</v>
      </c>
      <c r="F91" s="1" t="s">
        <v>55</v>
      </c>
      <c r="G91" s="1" t="s">
        <v>24</v>
      </c>
      <c r="H91" s="1" t="s">
        <v>56</v>
      </c>
      <c r="I91" s="1" t="s">
        <v>35</v>
      </c>
      <c r="J91" s="1" t="s">
        <v>36</v>
      </c>
      <c r="K91" s="1" t="s">
        <v>37</v>
      </c>
      <c r="L91">
        <v>1</v>
      </c>
      <c r="M91">
        <v>1299</v>
      </c>
      <c r="N91">
        <v>0.2</v>
      </c>
      <c r="O91">
        <v>1039.2</v>
      </c>
      <c r="P91">
        <v>700</v>
      </c>
      <c r="Q91">
        <v>700</v>
      </c>
      <c r="R91">
        <v>80</v>
      </c>
      <c r="S91">
        <v>259.2</v>
      </c>
    </row>
    <row r="92" spans="1:19" x14ac:dyDescent="0.3">
      <c r="A92" s="1" t="s">
        <v>254</v>
      </c>
      <c r="B92" s="4">
        <v>45330</v>
      </c>
      <c r="C92" s="1" t="s">
        <v>255</v>
      </c>
      <c r="D92" s="1" t="s">
        <v>40</v>
      </c>
      <c r="E92" s="1" t="s">
        <v>124</v>
      </c>
      <c r="F92" s="1" t="s">
        <v>125</v>
      </c>
      <c r="G92" s="1" t="s">
        <v>42</v>
      </c>
      <c r="H92" s="1" t="s">
        <v>71</v>
      </c>
      <c r="I92" s="1" t="s">
        <v>43</v>
      </c>
      <c r="J92" s="1" t="s">
        <v>44</v>
      </c>
      <c r="K92" s="1" t="s">
        <v>45</v>
      </c>
      <c r="L92">
        <v>1</v>
      </c>
      <c r="M92">
        <v>1799</v>
      </c>
      <c r="N92">
        <v>0</v>
      </c>
      <c r="O92">
        <v>1799</v>
      </c>
      <c r="P92">
        <v>850</v>
      </c>
      <c r="Q92">
        <v>850</v>
      </c>
      <c r="R92">
        <v>60</v>
      </c>
      <c r="S92">
        <v>889</v>
      </c>
    </row>
    <row r="93" spans="1:19" x14ac:dyDescent="0.3">
      <c r="A93" s="1" t="s">
        <v>256</v>
      </c>
      <c r="B93" s="4">
        <v>45332</v>
      </c>
      <c r="C93" s="1" t="s">
        <v>257</v>
      </c>
      <c r="D93" s="1" t="s">
        <v>21</v>
      </c>
      <c r="E93" s="1" t="s">
        <v>31</v>
      </c>
      <c r="F93" s="1" t="s">
        <v>32</v>
      </c>
      <c r="G93" s="1" t="s">
        <v>33</v>
      </c>
      <c r="H93" s="1" t="s">
        <v>56</v>
      </c>
      <c r="I93" s="1" t="s">
        <v>134</v>
      </c>
      <c r="J93" s="1" t="s">
        <v>135</v>
      </c>
      <c r="K93" s="1" t="s">
        <v>136</v>
      </c>
      <c r="L93">
        <v>1</v>
      </c>
      <c r="M93">
        <v>299</v>
      </c>
      <c r="N93">
        <v>0.2</v>
      </c>
      <c r="O93">
        <v>239.2</v>
      </c>
      <c r="P93">
        <v>110</v>
      </c>
      <c r="Q93">
        <v>110</v>
      </c>
      <c r="R93">
        <v>100</v>
      </c>
      <c r="S93">
        <v>29.2</v>
      </c>
    </row>
    <row r="94" spans="1:19" x14ac:dyDescent="0.3">
      <c r="A94" s="1" t="s">
        <v>258</v>
      </c>
      <c r="B94" s="4">
        <v>45332</v>
      </c>
      <c r="C94" s="1" t="s">
        <v>259</v>
      </c>
      <c r="D94" s="1" t="s">
        <v>40</v>
      </c>
      <c r="E94" s="1" t="s">
        <v>49</v>
      </c>
      <c r="F94" s="1" t="s">
        <v>50</v>
      </c>
      <c r="G94" s="1" t="s">
        <v>33</v>
      </c>
      <c r="H94" s="1" t="s">
        <v>71</v>
      </c>
      <c r="I94" s="1" t="s">
        <v>66</v>
      </c>
      <c r="J94" s="1" t="s">
        <v>67</v>
      </c>
      <c r="K94" s="1" t="s">
        <v>28</v>
      </c>
      <c r="L94">
        <v>1</v>
      </c>
      <c r="M94">
        <v>2499</v>
      </c>
      <c r="N94">
        <v>0.15</v>
      </c>
      <c r="O94">
        <v>2124.15</v>
      </c>
      <c r="P94">
        <v>1450</v>
      </c>
      <c r="Q94">
        <v>1450</v>
      </c>
      <c r="R94">
        <v>100</v>
      </c>
      <c r="S94">
        <v>574.15</v>
      </c>
    </row>
    <row r="95" spans="1:19" x14ac:dyDescent="0.3">
      <c r="A95" s="1" t="s">
        <v>260</v>
      </c>
      <c r="B95" s="4">
        <v>45332</v>
      </c>
      <c r="C95" s="1" t="s">
        <v>261</v>
      </c>
      <c r="D95" s="1" t="s">
        <v>40</v>
      </c>
      <c r="E95" s="1" t="s">
        <v>124</v>
      </c>
      <c r="F95" s="1" t="s">
        <v>125</v>
      </c>
      <c r="G95" s="1" t="s">
        <v>42</v>
      </c>
      <c r="H95" s="1" t="s">
        <v>25</v>
      </c>
      <c r="I95" s="1" t="s">
        <v>85</v>
      </c>
      <c r="J95" s="1" t="s">
        <v>86</v>
      </c>
      <c r="K95" s="1" t="s">
        <v>45</v>
      </c>
      <c r="L95">
        <v>2</v>
      </c>
      <c r="M95">
        <v>599</v>
      </c>
      <c r="N95">
        <v>0</v>
      </c>
      <c r="O95">
        <v>1198</v>
      </c>
      <c r="P95">
        <v>240</v>
      </c>
      <c r="Q95">
        <v>480</v>
      </c>
      <c r="R95">
        <v>80</v>
      </c>
      <c r="S95">
        <v>638</v>
      </c>
    </row>
    <row r="96" spans="1:19" x14ac:dyDescent="0.3">
      <c r="A96" s="1" t="s">
        <v>262</v>
      </c>
      <c r="B96" s="4">
        <v>45333</v>
      </c>
      <c r="C96" s="1" t="s">
        <v>263</v>
      </c>
      <c r="D96" s="1" t="s">
        <v>48</v>
      </c>
      <c r="E96" s="1" t="s">
        <v>22</v>
      </c>
      <c r="F96" s="1" t="s">
        <v>23</v>
      </c>
      <c r="G96" s="1" t="s">
        <v>33</v>
      </c>
      <c r="H96" s="1" t="s">
        <v>34</v>
      </c>
      <c r="I96" s="1" t="s">
        <v>92</v>
      </c>
      <c r="J96" s="1" t="s">
        <v>93</v>
      </c>
      <c r="K96" s="1" t="s">
        <v>28</v>
      </c>
      <c r="L96">
        <v>2</v>
      </c>
      <c r="M96">
        <v>1599</v>
      </c>
      <c r="N96">
        <v>0.2</v>
      </c>
      <c r="O96">
        <v>2558.4</v>
      </c>
      <c r="P96">
        <v>900</v>
      </c>
      <c r="Q96">
        <v>1800</v>
      </c>
      <c r="R96">
        <v>80</v>
      </c>
      <c r="S96">
        <v>678.4</v>
      </c>
    </row>
    <row r="97" spans="1:19" x14ac:dyDescent="0.3">
      <c r="A97" s="1" t="s">
        <v>264</v>
      </c>
      <c r="B97" s="4">
        <v>45333</v>
      </c>
      <c r="C97" s="1" t="s">
        <v>265</v>
      </c>
      <c r="D97" s="1" t="s">
        <v>21</v>
      </c>
      <c r="E97" s="1" t="s">
        <v>54</v>
      </c>
      <c r="F97" s="1" t="s">
        <v>55</v>
      </c>
      <c r="G97" s="1" t="s">
        <v>42</v>
      </c>
      <c r="H97" s="1" t="s">
        <v>34</v>
      </c>
      <c r="I97" s="1" t="s">
        <v>51</v>
      </c>
      <c r="J97" s="1" t="s">
        <v>52</v>
      </c>
      <c r="K97" s="1" t="s">
        <v>37</v>
      </c>
      <c r="L97">
        <v>1</v>
      </c>
      <c r="M97">
        <v>499</v>
      </c>
      <c r="N97">
        <v>0.15</v>
      </c>
      <c r="O97">
        <v>424.15</v>
      </c>
      <c r="P97">
        <v>180</v>
      </c>
      <c r="Q97">
        <v>180</v>
      </c>
      <c r="R97">
        <v>0</v>
      </c>
      <c r="S97">
        <v>244.15</v>
      </c>
    </row>
    <row r="98" spans="1:19" x14ac:dyDescent="0.3">
      <c r="A98" s="1" t="s">
        <v>266</v>
      </c>
      <c r="B98" s="4">
        <v>45333</v>
      </c>
      <c r="C98" s="1" t="s">
        <v>119</v>
      </c>
      <c r="D98" s="1" t="s">
        <v>40</v>
      </c>
      <c r="E98" s="1" t="s">
        <v>80</v>
      </c>
      <c r="F98" s="1" t="s">
        <v>55</v>
      </c>
      <c r="G98" s="1" t="s">
        <v>33</v>
      </c>
      <c r="H98" s="1" t="s">
        <v>34</v>
      </c>
      <c r="I98" s="1" t="s">
        <v>51</v>
      </c>
      <c r="J98" s="1" t="s">
        <v>52</v>
      </c>
      <c r="K98" s="1" t="s">
        <v>37</v>
      </c>
      <c r="L98">
        <v>3</v>
      </c>
      <c r="M98">
        <v>499</v>
      </c>
      <c r="N98">
        <v>0.05</v>
      </c>
      <c r="O98">
        <v>1422.15</v>
      </c>
      <c r="P98">
        <v>180</v>
      </c>
      <c r="Q98">
        <v>540</v>
      </c>
      <c r="R98">
        <v>40</v>
      </c>
      <c r="S98">
        <v>842.15</v>
      </c>
    </row>
    <row r="99" spans="1:19" x14ac:dyDescent="0.3">
      <c r="A99" s="1" t="s">
        <v>267</v>
      </c>
      <c r="B99" s="4">
        <v>45334</v>
      </c>
      <c r="C99" s="1" t="s">
        <v>268</v>
      </c>
      <c r="D99" s="1" t="s">
        <v>21</v>
      </c>
      <c r="E99" s="1" t="s">
        <v>31</v>
      </c>
      <c r="F99" s="1" t="s">
        <v>32</v>
      </c>
      <c r="G99" s="1" t="s">
        <v>33</v>
      </c>
      <c r="H99" s="1" t="s">
        <v>34</v>
      </c>
      <c r="I99" s="1" t="s">
        <v>66</v>
      </c>
      <c r="J99" s="1" t="s">
        <v>67</v>
      </c>
      <c r="K99" s="1" t="s">
        <v>28</v>
      </c>
      <c r="L99">
        <v>1</v>
      </c>
      <c r="M99">
        <v>2499</v>
      </c>
      <c r="N99">
        <v>0</v>
      </c>
      <c r="O99">
        <v>2499</v>
      </c>
      <c r="P99">
        <v>1450</v>
      </c>
      <c r="Q99">
        <v>1450</v>
      </c>
      <c r="R99">
        <v>80</v>
      </c>
      <c r="S99">
        <v>969</v>
      </c>
    </row>
    <row r="100" spans="1:19" x14ac:dyDescent="0.3">
      <c r="A100" s="1" t="s">
        <v>269</v>
      </c>
      <c r="B100" s="4">
        <v>45335</v>
      </c>
      <c r="C100" s="1" t="s">
        <v>30</v>
      </c>
      <c r="D100" s="1" t="s">
        <v>21</v>
      </c>
      <c r="E100" s="1" t="s">
        <v>64</v>
      </c>
      <c r="F100" s="1" t="s">
        <v>65</v>
      </c>
      <c r="G100" s="1" t="s">
        <v>24</v>
      </c>
      <c r="H100" s="1" t="s">
        <v>34</v>
      </c>
      <c r="I100" s="1" t="s">
        <v>35</v>
      </c>
      <c r="J100" s="1" t="s">
        <v>36</v>
      </c>
      <c r="K100" s="1" t="s">
        <v>37</v>
      </c>
      <c r="L100">
        <v>4</v>
      </c>
      <c r="M100">
        <v>1299</v>
      </c>
      <c r="N100">
        <v>0</v>
      </c>
      <c r="O100">
        <v>5196</v>
      </c>
      <c r="P100">
        <v>700</v>
      </c>
      <c r="Q100">
        <v>2800</v>
      </c>
      <c r="R100">
        <v>60</v>
      </c>
      <c r="S100">
        <v>2336</v>
      </c>
    </row>
    <row r="101" spans="1:19" x14ac:dyDescent="0.3">
      <c r="A101" s="1" t="s">
        <v>270</v>
      </c>
      <c r="B101" s="4">
        <v>45336</v>
      </c>
      <c r="C101" s="1" t="s">
        <v>271</v>
      </c>
      <c r="D101" s="1" t="s">
        <v>40</v>
      </c>
      <c r="E101" s="1" t="s">
        <v>80</v>
      </c>
      <c r="F101" s="1" t="s">
        <v>55</v>
      </c>
      <c r="G101" s="1" t="s">
        <v>24</v>
      </c>
      <c r="H101" s="1" t="s">
        <v>56</v>
      </c>
      <c r="I101" s="1" t="s">
        <v>66</v>
      </c>
      <c r="J101" s="1" t="s">
        <v>67</v>
      </c>
      <c r="K101" s="1" t="s">
        <v>28</v>
      </c>
      <c r="L101">
        <v>1</v>
      </c>
      <c r="M101">
        <v>2499</v>
      </c>
      <c r="N101">
        <v>0</v>
      </c>
      <c r="O101">
        <v>2499</v>
      </c>
      <c r="P101">
        <v>1450</v>
      </c>
      <c r="Q101">
        <v>1450</v>
      </c>
      <c r="R101">
        <v>0</v>
      </c>
      <c r="S101">
        <v>1049</v>
      </c>
    </row>
    <row r="102" spans="1:19" x14ac:dyDescent="0.3">
      <c r="A102" s="1" t="s">
        <v>272</v>
      </c>
      <c r="B102" s="4">
        <v>45336</v>
      </c>
      <c r="C102" s="1" t="s">
        <v>273</v>
      </c>
      <c r="D102" s="1" t="s">
        <v>48</v>
      </c>
      <c r="E102" s="1" t="s">
        <v>22</v>
      </c>
      <c r="F102" s="1" t="s">
        <v>23</v>
      </c>
      <c r="G102" s="1" t="s">
        <v>24</v>
      </c>
      <c r="H102" s="1" t="s">
        <v>34</v>
      </c>
      <c r="I102" s="1" t="s">
        <v>66</v>
      </c>
      <c r="J102" s="1" t="s">
        <v>67</v>
      </c>
      <c r="K102" s="1" t="s">
        <v>28</v>
      </c>
      <c r="L102">
        <v>1</v>
      </c>
      <c r="M102">
        <v>2499</v>
      </c>
      <c r="N102">
        <v>0.05</v>
      </c>
      <c r="O102">
        <v>2374.0500000000002</v>
      </c>
      <c r="P102">
        <v>1450</v>
      </c>
      <c r="Q102">
        <v>1450</v>
      </c>
      <c r="R102">
        <v>0</v>
      </c>
      <c r="S102">
        <v>924.05</v>
      </c>
    </row>
    <row r="103" spans="1:19" x14ac:dyDescent="0.3">
      <c r="A103" s="1" t="s">
        <v>274</v>
      </c>
      <c r="B103" s="4">
        <v>45336</v>
      </c>
      <c r="C103" s="1" t="s">
        <v>275</v>
      </c>
      <c r="D103" s="1" t="s">
        <v>40</v>
      </c>
      <c r="E103" s="1" t="s">
        <v>80</v>
      </c>
      <c r="F103" s="1" t="s">
        <v>55</v>
      </c>
      <c r="G103" s="1" t="s">
        <v>42</v>
      </c>
      <c r="H103" s="1" t="s">
        <v>25</v>
      </c>
      <c r="I103" s="1" t="s">
        <v>92</v>
      </c>
      <c r="J103" s="1" t="s">
        <v>93</v>
      </c>
      <c r="K103" s="1" t="s">
        <v>28</v>
      </c>
      <c r="L103">
        <v>1</v>
      </c>
      <c r="M103">
        <v>1599</v>
      </c>
      <c r="N103">
        <v>0</v>
      </c>
      <c r="O103">
        <v>1599</v>
      </c>
      <c r="P103">
        <v>900</v>
      </c>
      <c r="Q103">
        <v>900</v>
      </c>
      <c r="R103">
        <v>40</v>
      </c>
      <c r="S103">
        <v>659</v>
      </c>
    </row>
    <row r="104" spans="1:19" x14ac:dyDescent="0.3">
      <c r="A104" s="1" t="s">
        <v>276</v>
      </c>
      <c r="B104" s="4">
        <v>45337</v>
      </c>
      <c r="C104" s="1" t="s">
        <v>277</v>
      </c>
      <c r="D104" s="1" t="s">
        <v>48</v>
      </c>
      <c r="E104" s="1" t="s">
        <v>112</v>
      </c>
      <c r="F104" s="1" t="s">
        <v>113</v>
      </c>
      <c r="G104" s="1" t="s">
        <v>33</v>
      </c>
      <c r="H104" s="1" t="s">
        <v>56</v>
      </c>
      <c r="I104" s="1" t="s">
        <v>43</v>
      </c>
      <c r="J104" s="1" t="s">
        <v>44</v>
      </c>
      <c r="K104" s="1" t="s">
        <v>45</v>
      </c>
      <c r="L104">
        <v>1</v>
      </c>
      <c r="M104">
        <v>1799</v>
      </c>
      <c r="N104">
        <v>0.2</v>
      </c>
      <c r="O104">
        <v>1439.2</v>
      </c>
      <c r="P104">
        <v>850</v>
      </c>
      <c r="Q104">
        <v>850</v>
      </c>
      <c r="R104">
        <v>80</v>
      </c>
      <c r="S104">
        <v>509.2</v>
      </c>
    </row>
    <row r="105" spans="1:19" x14ac:dyDescent="0.3">
      <c r="A105" s="1" t="s">
        <v>278</v>
      </c>
      <c r="B105" s="4">
        <v>45337</v>
      </c>
      <c r="C105" s="1" t="s">
        <v>279</v>
      </c>
      <c r="D105" s="1" t="s">
        <v>48</v>
      </c>
      <c r="E105" s="1" t="s">
        <v>120</v>
      </c>
      <c r="F105" s="1" t="s">
        <v>121</v>
      </c>
      <c r="G105" s="1" t="s">
        <v>33</v>
      </c>
      <c r="H105" s="1" t="s">
        <v>25</v>
      </c>
      <c r="I105" s="1" t="s">
        <v>51</v>
      </c>
      <c r="J105" s="1" t="s">
        <v>52</v>
      </c>
      <c r="K105" s="1" t="s">
        <v>37</v>
      </c>
      <c r="L105">
        <v>1</v>
      </c>
      <c r="M105">
        <v>499</v>
      </c>
      <c r="N105">
        <v>0</v>
      </c>
      <c r="O105">
        <v>499</v>
      </c>
      <c r="P105">
        <v>180</v>
      </c>
      <c r="Q105">
        <v>180</v>
      </c>
      <c r="R105">
        <v>80</v>
      </c>
      <c r="S105">
        <v>239</v>
      </c>
    </row>
    <row r="106" spans="1:19" x14ac:dyDescent="0.3">
      <c r="A106" s="1" t="s">
        <v>280</v>
      </c>
      <c r="B106" s="4">
        <v>45337</v>
      </c>
      <c r="C106" s="1" t="s">
        <v>281</v>
      </c>
      <c r="D106" s="1" t="s">
        <v>21</v>
      </c>
      <c r="E106" s="1" t="s">
        <v>124</v>
      </c>
      <c r="F106" s="1" t="s">
        <v>125</v>
      </c>
      <c r="G106" s="1" t="s">
        <v>42</v>
      </c>
      <c r="H106" s="1" t="s">
        <v>25</v>
      </c>
      <c r="I106" s="1" t="s">
        <v>134</v>
      </c>
      <c r="J106" s="1" t="s">
        <v>135</v>
      </c>
      <c r="K106" s="1" t="s">
        <v>136</v>
      </c>
      <c r="L106">
        <v>5</v>
      </c>
      <c r="M106">
        <v>299</v>
      </c>
      <c r="N106">
        <v>0.2</v>
      </c>
      <c r="O106">
        <v>1196</v>
      </c>
      <c r="P106">
        <v>110</v>
      </c>
      <c r="Q106">
        <v>550</v>
      </c>
      <c r="R106">
        <v>80</v>
      </c>
      <c r="S106">
        <v>566</v>
      </c>
    </row>
    <row r="107" spans="1:19" x14ac:dyDescent="0.3">
      <c r="A107" s="1" t="s">
        <v>282</v>
      </c>
      <c r="B107" s="4">
        <v>45338</v>
      </c>
      <c r="C107" s="1" t="s">
        <v>283</v>
      </c>
      <c r="D107" s="1" t="s">
        <v>21</v>
      </c>
      <c r="E107" s="1" t="s">
        <v>54</v>
      </c>
      <c r="F107" s="1" t="s">
        <v>55</v>
      </c>
      <c r="G107" s="1" t="s">
        <v>42</v>
      </c>
      <c r="H107" s="1" t="s">
        <v>71</v>
      </c>
      <c r="I107" s="1" t="s">
        <v>59</v>
      </c>
      <c r="J107" s="1" t="s">
        <v>60</v>
      </c>
      <c r="K107" s="1" t="s">
        <v>61</v>
      </c>
      <c r="L107">
        <v>1</v>
      </c>
      <c r="M107">
        <v>999</v>
      </c>
      <c r="N107">
        <v>0</v>
      </c>
      <c r="O107">
        <v>999</v>
      </c>
      <c r="P107">
        <v>520</v>
      </c>
      <c r="Q107">
        <v>520</v>
      </c>
      <c r="R107">
        <v>100</v>
      </c>
      <c r="S107">
        <v>379</v>
      </c>
    </row>
    <row r="108" spans="1:19" x14ac:dyDescent="0.3">
      <c r="A108" s="1" t="s">
        <v>284</v>
      </c>
      <c r="B108" s="4">
        <v>45339</v>
      </c>
      <c r="C108" s="1" t="s">
        <v>285</v>
      </c>
      <c r="D108" s="1" t="s">
        <v>40</v>
      </c>
      <c r="E108" s="1" t="s">
        <v>22</v>
      </c>
      <c r="F108" s="1" t="s">
        <v>23</v>
      </c>
      <c r="G108" s="1" t="s">
        <v>24</v>
      </c>
      <c r="H108" s="1" t="s">
        <v>34</v>
      </c>
      <c r="I108" s="1" t="s">
        <v>59</v>
      </c>
      <c r="J108" s="1" t="s">
        <v>60</v>
      </c>
      <c r="K108" s="1" t="s">
        <v>61</v>
      </c>
      <c r="L108">
        <v>1</v>
      </c>
      <c r="M108">
        <v>999</v>
      </c>
      <c r="N108">
        <v>0.1</v>
      </c>
      <c r="O108">
        <v>899.1</v>
      </c>
      <c r="P108">
        <v>520</v>
      </c>
      <c r="Q108">
        <v>520</v>
      </c>
      <c r="R108">
        <v>60</v>
      </c>
      <c r="S108">
        <v>319.10000000000002</v>
      </c>
    </row>
    <row r="109" spans="1:19" x14ac:dyDescent="0.3">
      <c r="A109" s="1" t="s">
        <v>286</v>
      </c>
      <c r="B109" s="4">
        <v>45339</v>
      </c>
      <c r="C109" s="1" t="s">
        <v>131</v>
      </c>
      <c r="D109" s="1" t="s">
        <v>48</v>
      </c>
      <c r="E109" s="1" t="s">
        <v>64</v>
      </c>
      <c r="F109" s="1" t="s">
        <v>65</v>
      </c>
      <c r="G109" s="1" t="s">
        <v>24</v>
      </c>
      <c r="H109" s="1" t="s">
        <v>56</v>
      </c>
      <c r="I109" s="1" t="s">
        <v>51</v>
      </c>
      <c r="J109" s="1" t="s">
        <v>52</v>
      </c>
      <c r="K109" s="1" t="s">
        <v>37</v>
      </c>
      <c r="L109">
        <v>5</v>
      </c>
      <c r="M109">
        <v>499</v>
      </c>
      <c r="N109">
        <v>0.15</v>
      </c>
      <c r="O109">
        <v>2120.75</v>
      </c>
      <c r="P109">
        <v>180</v>
      </c>
      <c r="Q109">
        <v>900</v>
      </c>
      <c r="R109">
        <v>0</v>
      </c>
      <c r="S109">
        <v>1220.75</v>
      </c>
    </row>
    <row r="110" spans="1:19" x14ac:dyDescent="0.3">
      <c r="A110" s="1" t="s">
        <v>287</v>
      </c>
      <c r="B110" s="4">
        <v>45339</v>
      </c>
      <c r="C110" s="1" t="s">
        <v>288</v>
      </c>
      <c r="D110" s="1" t="s">
        <v>48</v>
      </c>
      <c r="E110" s="1" t="s">
        <v>96</v>
      </c>
      <c r="F110" s="1" t="s">
        <v>97</v>
      </c>
      <c r="G110" s="1" t="s">
        <v>24</v>
      </c>
      <c r="H110" s="1" t="s">
        <v>89</v>
      </c>
      <c r="I110" s="1" t="s">
        <v>66</v>
      </c>
      <c r="J110" s="1" t="s">
        <v>67</v>
      </c>
      <c r="K110" s="1" t="s">
        <v>28</v>
      </c>
      <c r="L110">
        <v>1</v>
      </c>
      <c r="M110">
        <v>2499</v>
      </c>
      <c r="N110">
        <v>0.05</v>
      </c>
      <c r="O110">
        <v>2374.0500000000002</v>
      </c>
      <c r="P110">
        <v>1450</v>
      </c>
      <c r="Q110">
        <v>1450</v>
      </c>
      <c r="R110">
        <v>0</v>
      </c>
      <c r="S110">
        <v>924.05</v>
      </c>
    </row>
    <row r="111" spans="1:19" x14ac:dyDescent="0.3">
      <c r="A111" s="1" t="s">
        <v>289</v>
      </c>
      <c r="B111" s="4">
        <v>45340</v>
      </c>
      <c r="C111" s="1" t="s">
        <v>290</v>
      </c>
      <c r="D111" s="1" t="s">
        <v>21</v>
      </c>
      <c r="E111" s="1" t="s">
        <v>41</v>
      </c>
      <c r="F111" s="1" t="s">
        <v>32</v>
      </c>
      <c r="G111" s="1" t="s">
        <v>24</v>
      </c>
      <c r="H111" s="1" t="s">
        <v>25</v>
      </c>
      <c r="I111" s="1" t="s">
        <v>59</v>
      </c>
      <c r="J111" s="1" t="s">
        <v>60</v>
      </c>
      <c r="K111" s="1" t="s">
        <v>61</v>
      </c>
      <c r="L111">
        <v>1</v>
      </c>
      <c r="M111">
        <v>999</v>
      </c>
      <c r="N111">
        <v>0.1</v>
      </c>
      <c r="O111">
        <v>899.1</v>
      </c>
      <c r="P111">
        <v>520</v>
      </c>
      <c r="Q111">
        <v>520</v>
      </c>
      <c r="R111">
        <v>80</v>
      </c>
      <c r="S111">
        <v>299.10000000000002</v>
      </c>
    </row>
    <row r="112" spans="1:19" x14ac:dyDescent="0.3">
      <c r="A112" s="1" t="s">
        <v>291</v>
      </c>
      <c r="B112" s="4">
        <v>45340</v>
      </c>
      <c r="C112" s="1" t="s">
        <v>292</v>
      </c>
      <c r="D112" s="1" t="s">
        <v>48</v>
      </c>
      <c r="E112" s="1" t="s">
        <v>31</v>
      </c>
      <c r="F112" s="1" t="s">
        <v>32</v>
      </c>
      <c r="G112" s="1" t="s">
        <v>24</v>
      </c>
      <c r="H112" s="1" t="s">
        <v>71</v>
      </c>
      <c r="I112" s="1" t="s">
        <v>92</v>
      </c>
      <c r="J112" s="1" t="s">
        <v>93</v>
      </c>
      <c r="K112" s="1" t="s">
        <v>28</v>
      </c>
      <c r="L112">
        <v>1</v>
      </c>
      <c r="M112">
        <v>1599</v>
      </c>
      <c r="N112">
        <v>0.1</v>
      </c>
      <c r="O112">
        <v>1439.1</v>
      </c>
      <c r="P112">
        <v>900</v>
      </c>
      <c r="Q112">
        <v>900</v>
      </c>
      <c r="R112">
        <v>40</v>
      </c>
      <c r="S112">
        <v>499.1</v>
      </c>
    </row>
    <row r="113" spans="1:19" x14ac:dyDescent="0.3">
      <c r="A113" s="1" t="s">
        <v>293</v>
      </c>
      <c r="B113" s="4">
        <v>45341</v>
      </c>
      <c r="C113" s="1" t="s">
        <v>294</v>
      </c>
      <c r="D113" s="1" t="s">
        <v>21</v>
      </c>
      <c r="E113" s="1" t="s">
        <v>112</v>
      </c>
      <c r="F113" s="1" t="s">
        <v>113</v>
      </c>
      <c r="G113" s="1" t="s">
        <v>33</v>
      </c>
      <c r="H113" s="1" t="s">
        <v>89</v>
      </c>
      <c r="I113" s="1" t="s">
        <v>59</v>
      </c>
      <c r="J113" s="1" t="s">
        <v>60</v>
      </c>
      <c r="K113" s="1" t="s">
        <v>61</v>
      </c>
      <c r="L113">
        <v>2</v>
      </c>
      <c r="M113">
        <v>999</v>
      </c>
      <c r="N113">
        <v>0.1</v>
      </c>
      <c r="O113">
        <v>1798.2</v>
      </c>
      <c r="P113">
        <v>520</v>
      </c>
      <c r="Q113">
        <v>1040</v>
      </c>
      <c r="R113">
        <v>40</v>
      </c>
      <c r="S113">
        <v>718.2</v>
      </c>
    </row>
    <row r="114" spans="1:19" x14ac:dyDescent="0.3">
      <c r="A114" s="1" t="s">
        <v>295</v>
      </c>
      <c r="B114" s="4">
        <v>45342</v>
      </c>
      <c r="C114" s="1" t="s">
        <v>296</v>
      </c>
      <c r="D114" s="1" t="s">
        <v>48</v>
      </c>
      <c r="E114" s="1" t="s">
        <v>54</v>
      </c>
      <c r="F114" s="1" t="s">
        <v>55</v>
      </c>
      <c r="G114" s="1" t="s">
        <v>33</v>
      </c>
      <c r="H114" s="1" t="s">
        <v>25</v>
      </c>
      <c r="I114" s="1" t="s">
        <v>81</v>
      </c>
      <c r="J114" s="1" t="s">
        <v>82</v>
      </c>
      <c r="K114" s="1" t="s">
        <v>61</v>
      </c>
      <c r="L114">
        <v>1</v>
      </c>
      <c r="M114">
        <v>2999</v>
      </c>
      <c r="N114">
        <v>0.2</v>
      </c>
      <c r="O114">
        <v>2399.1999999999998</v>
      </c>
      <c r="P114">
        <v>1750</v>
      </c>
      <c r="Q114">
        <v>1750</v>
      </c>
      <c r="R114">
        <v>0</v>
      </c>
      <c r="S114">
        <v>649.20000000000005</v>
      </c>
    </row>
    <row r="115" spans="1:19" x14ac:dyDescent="0.3">
      <c r="A115" s="1" t="s">
        <v>297</v>
      </c>
      <c r="B115" s="4">
        <v>45342</v>
      </c>
      <c r="C115" s="1" t="s">
        <v>298</v>
      </c>
      <c r="D115" s="1" t="s">
        <v>21</v>
      </c>
      <c r="E115" s="1" t="s">
        <v>54</v>
      </c>
      <c r="F115" s="1" t="s">
        <v>55</v>
      </c>
      <c r="G115" s="1" t="s">
        <v>33</v>
      </c>
      <c r="H115" s="1" t="s">
        <v>71</v>
      </c>
      <c r="I115" s="1" t="s">
        <v>72</v>
      </c>
      <c r="J115" s="1" t="s">
        <v>73</v>
      </c>
      <c r="K115" s="1" t="s">
        <v>28</v>
      </c>
      <c r="L115">
        <v>2</v>
      </c>
      <c r="M115">
        <v>2199</v>
      </c>
      <c r="N115">
        <v>0.05</v>
      </c>
      <c r="O115">
        <v>4178.1000000000004</v>
      </c>
      <c r="P115">
        <v>1250</v>
      </c>
      <c r="Q115">
        <v>2500</v>
      </c>
      <c r="R115">
        <v>60</v>
      </c>
      <c r="S115">
        <v>1618.1</v>
      </c>
    </row>
    <row r="116" spans="1:19" x14ac:dyDescent="0.3">
      <c r="A116" s="1" t="s">
        <v>299</v>
      </c>
      <c r="B116" s="4">
        <v>45345</v>
      </c>
      <c r="C116" s="1" t="s">
        <v>300</v>
      </c>
      <c r="D116" s="1" t="s">
        <v>21</v>
      </c>
      <c r="E116" s="1" t="s">
        <v>96</v>
      </c>
      <c r="F116" s="1" t="s">
        <v>97</v>
      </c>
      <c r="G116" s="1" t="s">
        <v>33</v>
      </c>
      <c r="H116" s="1" t="s">
        <v>71</v>
      </c>
      <c r="I116" s="1" t="s">
        <v>76</v>
      </c>
      <c r="J116" s="1" t="s">
        <v>77</v>
      </c>
      <c r="K116" s="1" t="s">
        <v>37</v>
      </c>
      <c r="L116">
        <v>3</v>
      </c>
      <c r="M116">
        <v>6999</v>
      </c>
      <c r="N116">
        <v>0.1</v>
      </c>
      <c r="O116">
        <v>18897.3</v>
      </c>
      <c r="P116">
        <v>4900</v>
      </c>
      <c r="Q116">
        <v>14700</v>
      </c>
      <c r="R116">
        <v>100</v>
      </c>
      <c r="S116">
        <v>4097.3</v>
      </c>
    </row>
    <row r="117" spans="1:19" x14ac:dyDescent="0.3">
      <c r="A117" s="1" t="s">
        <v>301</v>
      </c>
      <c r="B117" s="4">
        <v>45345</v>
      </c>
      <c r="C117" s="1" t="s">
        <v>302</v>
      </c>
      <c r="D117" s="1" t="s">
        <v>48</v>
      </c>
      <c r="E117" s="1" t="s">
        <v>80</v>
      </c>
      <c r="F117" s="1" t="s">
        <v>55</v>
      </c>
      <c r="G117" s="1" t="s">
        <v>24</v>
      </c>
      <c r="H117" s="1" t="s">
        <v>56</v>
      </c>
      <c r="I117" s="1" t="s">
        <v>76</v>
      </c>
      <c r="J117" s="1" t="s">
        <v>77</v>
      </c>
      <c r="K117" s="1" t="s">
        <v>37</v>
      </c>
      <c r="L117">
        <v>5</v>
      </c>
      <c r="M117">
        <v>6999</v>
      </c>
      <c r="N117">
        <v>0</v>
      </c>
      <c r="O117">
        <v>34995</v>
      </c>
      <c r="P117">
        <v>4900</v>
      </c>
      <c r="Q117">
        <v>24500</v>
      </c>
      <c r="R117">
        <v>40</v>
      </c>
      <c r="S117">
        <v>10455</v>
      </c>
    </row>
    <row r="118" spans="1:19" x14ac:dyDescent="0.3">
      <c r="A118" s="1" t="s">
        <v>303</v>
      </c>
      <c r="B118" s="4">
        <v>45345</v>
      </c>
      <c r="C118" s="1" t="s">
        <v>304</v>
      </c>
      <c r="D118" s="1" t="s">
        <v>48</v>
      </c>
      <c r="E118" s="1" t="s">
        <v>80</v>
      </c>
      <c r="F118" s="1" t="s">
        <v>55</v>
      </c>
      <c r="G118" s="1" t="s">
        <v>33</v>
      </c>
      <c r="H118" s="1" t="s">
        <v>71</v>
      </c>
      <c r="I118" s="1" t="s">
        <v>76</v>
      </c>
      <c r="J118" s="1" t="s">
        <v>77</v>
      </c>
      <c r="K118" s="1" t="s">
        <v>37</v>
      </c>
      <c r="L118">
        <v>2</v>
      </c>
      <c r="M118">
        <v>6999</v>
      </c>
      <c r="N118">
        <v>0</v>
      </c>
      <c r="O118">
        <v>13998</v>
      </c>
      <c r="P118">
        <v>4900</v>
      </c>
      <c r="Q118">
        <v>9800</v>
      </c>
      <c r="R118">
        <v>60</v>
      </c>
      <c r="S118">
        <v>4138</v>
      </c>
    </row>
    <row r="119" spans="1:19" x14ac:dyDescent="0.3">
      <c r="A119" s="1" t="s">
        <v>305</v>
      </c>
      <c r="B119" s="4">
        <v>45347</v>
      </c>
      <c r="C119" s="1" t="s">
        <v>306</v>
      </c>
      <c r="D119" s="1" t="s">
        <v>40</v>
      </c>
      <c r="E119" s="1" t="s">
        <v>41</v>
      </c>
      <c r="F119" s="1" t="s">
        <v>32</v>
      </c>
      <c r="G119" s="1" t="s">
        <v>24</v>
      </c>
      <c r="H119" s="1" t="s">
        <v>89</v>
      </c>
      <c r="I119" s="1" t="s">
        <v>72</v>
      </c>
      <c r="J119" s="1" t="s">
        <v>73</v>
      </c>
      <c r="K119" s="1" t="s">
        <v>28</v>
      </c>
      <c r="L119">
        <v>2</v>
      </c>
      <c r="M119">
        <v>2199</v>
      </c>
      <c r="N119">
        <v>0</v>
      </c>
      <c r="O119">
        <v>4398</v>
      </c>
      <c r="P119">
        <v>1250</v>
      </c>
      <c r="Q119">
        <v>2500</v>
      </c>
      <c r="R119">
        <v>80</v>
      </c>
      <c r="S119">
        <v>1818</v>
      </c>
    </row>
    <row r="120" spans="1:19" x14ac:dyDescent="0.3">
      <c r="A120" s="1" t="s">
        <v>307</v>
      </c>
      <c r="B120" s="4">
        <v>45347</v>
      </c>
      <c r="C120" s="1" t="s">
        <v>308</v>
      </c>
      <c r="D120" s="1" t="s">
        <v>40</v>
      </c>
      <c r="E120" s="1" t="s">
        <v>64</v>
      </c>
      <c r="F120" s="1" t="s">
        <v>65</v>
      </c>
      <c r="G120" s="1" t="s">
        <v>24</v>
      </c>
      <c r="H120" s="1" t="s">
        <v>71</v>
      </c>
      <c r="I120" s="1" t="s">
        <v>26</v>
      </c>
      <c r="J120" s="1" t="s">
        <v>27</v>
      </c>
      <c r="K120" s="1" t="s">
        <v>28</v>
      </c>
      <c r="L120">
        <v>3</v>
      </c>
      <c r="M120">
        <v>799</v>
      </c>
      <c r="N120">
        <v>0</v>
      </c>
      <c r="O120">
        <v>2397</v>
      </c>
      <c r="P120">
        <v>420</v>
      </c>
      <c r="Q120">
        <v>1260</v>
      </c>
      <c r="R120">
        <v>100</v>
      </c>
      <c r="S120">
        <v>1037</v>
      </c>
    </row>
    <row r="121" spans="1:19" x14ac:dyDescent="0.3">
      <c r="A121" s="1" t="s">
        <v>309</v>
      </c>
      <c r="B121" s="4">
        <v>45347</v>
      </c>
      <c r="C121" s="1" t="s">
        <v>310</v>
      </c>
      <c r="D121" s="1" t="s">
        <v>40</v>
      </c>
      <c r="E121" s="1" t="s">
        <v>41</v>
      </c>
      <c r="F121" s="1" t="s">
        <v>32</v>
      </c>
      <c r="G121" s="1" t="s">
        <v>42</v>
      </c>
      <c r="H121" s="1" t="s">
        <v>71</v>
      </c>
      <c r="I121" s="1" t="s">
        <v>51</v>
      </c>
      <c r="J121" s="1" t="s">
        <v>52</v>
      </c>
      <c r="K121" s="1" t="s">
        <v>37</v>
      </c>
      <c r="L121">
        <v>2</v>
      </c>
      <c r="M121">
        <v>499</v>
      </c>
      <c r="N121">
        <v>0.15</v>
      </c>
      <c r="O121">
        <v>848.3</v>
      </c>
      <c r="P121">
        <v>180</v>
      </c>
      <c r="Q121">
        <v>360</v>
      </c>
      <c r="R121">
        <v>80</v>
      </c>
      <c r="S121">
        <v>408.3</v>
      </c>
    </row>
    <row r="122" spans="1:19" x14ac:dyDescent="0.3">
      <c r="A122" s="1" t="s">
        <v>311</v>
      </c>
      <c r="B122" s="4">
        <v>45347</v>
      </c>
      <c r="C122" s="1" t="s">
        <v>312</v>
      </c>
      <c r="D122" s="1" t="s">
        <v>40</v>
      </c>
      <c r="E122" s="1" t="s">
        <v>22</v>
      </c>
      <c r="F122" s="1" t="s">
        <v>23</v>
      </c>
      <c r="G122" s="1" t="s">
        <v>33</v>
      </c>
      <c r="H122" s="1" t="s">
        <v>34</v>
      </c>
      <c r="I122" s="1" t="s">
        <v>66</v>
      </c>
      <c r="J122" s="1" t="s">
        <v>67</v>
      </c>
      <c r="K122" s="1" t="s">
        <v>28</v>
      </c>
      <c r="L122">
        <v>4</v>
      </c>
      <c r="M122">
        <v>2499</v>
      </c>
      <c r="N122">
        <v>0.1</v>
      </c>
      <c r="O122">
        <v>8996.4</v>
      </c>
      <c r="P122">
        <v>1450</v>
      </c>
      <c r="Q122">
        <v>5800</v>
      </c>
      <c r="R122">
        <v>60</v>
      </c>
      <c r="S122">
        <v>3136.4</v>
      </c>
    </row>
    <row r="123" spans="1:19" x14ac:dyDescent="0.3">
      <c r="A123" s="1" t="s">
        <v>313</v>
      </c>
      <c r="B123" s="4">
        <v>45347</v>
      </c>
      <c r="C123" s="1" t="s">
        <v>314</v>
      </c>
      <c r="D123" s="1" t="s">
        <v>48</v>
      </c>
      <c r="E123" s="1" t="s">
        <v>80</v>
      </c>
      <c r="F123" s="1" t="s">
        <v>55</v>
      </c>
      <c r="G123" s="1" t="s">
        <v>42</v>
      </c>
      <c r="H123" s="1" t="s">
        <v>25</v>
      </c>
      <c r="I123" s="1" t="s">
        <v>26</v>
      </c>
      <c r="J123" s="1" t="s">
        <v>27</v>
      </c>
      <c r="K123" s="1" t="s">
        <v>28</v>
      </c>
      <c r="L123">
        <v>3</v>
      </c>
      <c r="M123">
        <v>799</v>
      </c>
      <c r="N123">
        <v>0.15</v>
      </c>
      <c r="O123">
        <v>2037.45</v>
      </c>
      <c r="P123">
        <v>420</v>
      </c>
      <c r="Q123">
        <v>1260</v>
      </c>
      <c r="R123">
        <v>0</v>
      </c>
      <c r="S123">
        <v>777.45</v>
      </c>
    </row>
    <row r="124" spans="1:19" x14ac:dyDescent="0.3">
      <c r="A124" s="1" t="s">
        <v>315</v>
      </c>
      <c r="B124" s="4">
        <v>45347</v>
      </c>
      <c r="C124" s="1" t="s">
        <v>216</v>
      </c>
      <c r="D124" s="1" t="s">
        <v>48</v>
      </c>
      <c r="E124" s="1" t="s">
        <v>22</v>
      </c>
      <c r="F124" s="1" t="s">
        <v>23</v>
      </c>
      <c r="G124" s="1" t="s">
        <v>33</v>
      </c>
      <c r="H124" s="1" t="s">
        <v>25</v>
      </c>
      <c r="I124" s="1" t="s">
        <v>76</v>
      </c>
      <c r="J124" s="1" t="s">
        <v>77</v>
      </c>
      <c r="K124" s="1" t="s">
        <v>37</v>
      </c>
      <c r="L124">
        <v>1</v>
      </c>
      <c r="M124">
        <v>6999</v>
      </c>
      <c r="N124">
        <v>0</v>
      </c>
      <c r="O124">
        <v>6999</v>
      </c>
      <c r="P124">
        <v>4900</v>
      </c>
      <c r="Q124">
        <v>4900</v>
      </c>
      <c r="R124">
        <v>80</v>
      </c>
      <c r="S124">
        <v>2019</v>
      </c>
    </row>
    <row r="125" spans="1:19" x14ac:dyDescent="0.3">
      <c r="A125" s="1" t="s">
        <v>316</v>
      </c>
      <c r="B125" s="4">
        <v>45349</v>
      </c>
      <c r="C125" s="1" t="s">
        <v>317</v>
      </c>
      <c r="D125" s="1" t="s">
        <v>21</v>
      </c>
      <c r="E125" s="1" t="s">
        <v>49</v>
      </c>
      <c r="F125" s="1" t="s">
        <v>50</v>
      </c>
      <c r="G125" s="1" t="s">
        <v>24</v>
      </c>
      <c r="H125" s="1" t="s">
        <v>56</v>
      </c>
      <c r="I125" s="1" t="s">
        <v>35</v>
      </c>
      <c r="J125" s="1" t="s">
        <v>36</v>
      </c>
      <c r="K125" s="1" t="s">
        <v>37</v>
      </c>
      <c r="L125">
        <v>1</v>
      </c>
      <c r="M125">
        <v>1299</v>
      </c>
      <c r="N125">
        <v>0.1</v>
      </c>
      <c r="O125">
        <v>1169.0999999999999</v>
      </c>
      <c r="P125">
        <v>700</v>
      </c>
      <c r="Q125">
        <v>700</v>
      </c>
      <c r="R125">
        <v>40</v>
      </c>
      <c r="S125">
        <v>429.1</v>
      </c>
    </row>
    <row r="126" spans="1:19" x14ac:dyDescent="0.3">
      <c r="A126" s="1" t="s">
        <v>318</v>
      </c>
      <c r="B126" s="4">
        <v>45350</v>
      </c>
      <c r="C126" s="1" t="s">
        <v>319</v>
      </c>
      <c r="D126" s="1" t="s">
        <v>21</v>
      </c>
      <c r="E126" s="1" t="s">
        <v>22</v>
      </c>
      <c r="F126" s="1" t="s">
        <v>23</v>
      </c>
      <c r="G126" s="1" t="s">
        <v>33</v>
      </c>
      <c r="H126" s="1" t="s">
        <v>89</v>
      </c>
      <c r="I126" s="1" t="s">
        <v>66</v>
      </c>
      <c r="J126" s="1" t="s">
        <v>67</v>
      </c>
      <c r="K126" s="1" t="s">
        <v>28</v>
      </c>
      <c r="L126">
        <v>1</v>
      </c>
      <c r="M126">
        <v>2499</v>
      </c>
      <c r="N126">
        <v>0.1</v>
      </c>
      <c r="O126">
        <v>2249.1</v>
      </c>
      <c r="P126">
        <v>1450</v>
      </c>
      <c r="Q126">
        <v>1450</v>
      </c>
      <c r="R126">
        <v>40</v>
      </c>
      <c r="S126">
        <v>759.1</v>
      </c>
    </row>
    <row r="127" spans="1:19" x14ac:dyDescent="0.3">
      <c r="A127" s="1" t="s">
        <v>320</v>
      </c>
      <c r="B127" s="4">
        <v>45351</v>
      </c>
      <c r="C127" s="1" t="s">
        <v>321</v>
      </c>
      <c r="D127" s="1" t="s">
        <v>40</v>
      </c>
      <c r="E127" s="1" t="s">
        <v>70</v>
      </c>
      <c r="F127" s="1" t="s">
        <v>70</v>
      </c>
      <c r="G127" s="1" t="s">
        <v>24</v>
      </c>
      <c r="H127" s="1" t="s">
        <v>56</v>
      </c>
      <c r="I127" s="1" t="s">
        <v>43</v>
      </c>
      <c r="J127" s="1" t="s">
        <v>44</v>
      </c>
      <c r="K127" s="1" t="s">
        <v>45</v>
      </c>
      <c r="L127">
        <v>2</v>
      </c>
      <c r="M127">
        <v>1799</v>
      </c>
      <c r="N127">
        <v>0.15</v>
      </c>
      <c r="O127">
        <v>3058.3</v>
      </c>
      <c r="P127">
        <v>850</v>
      </c>
      <c r="Q127">
        <v>1700</v>
      </c>
      <c r="R127">
        <v>40</v>
      </c>
      <c r="S127">
        <v>1318.3</v>
      </c>
    </row>
    <row r="128" spans="1:19" x14ac:dyDescent="0.3">
      <c r="A128" s="1" t="s">
        <v>322</v>
      </c>
      <c r="B128" s="4">
        <v>45352</v>
      </c>
      <c r="C128" s="1" t="s">
        <v>323</v>
      </c>
      <c r="D128" s="1" t="s">
        <v>21</v>
      </c>
      <c r="E128" s="1" t="s">
        <v>70</v>
      </c>
      <c r="F128" s="1" t="s">
        <v>70</v>
      </c>
      <c r="G128" s="1" t="s">
        <v>24</v>
      </c>
      <c r="H128" s="1" t="s">
        <v>89</v>
      </c>
      <c r="I128" s="1" t="s">
        <v>43</v>
      </c>
      <c r="J128" s="1" t="s">
        <v>44</v>
      </c>
      <c r="K128" s="1" t="s">
        <v>45</v>
      </c>
      <c r="L128">
        <v>1</v>
      </c>
      <c r="M128">
        <v>1799</v>
      </c>
      <c r="N128">
        <v>0.05</v>
      </c>
      <c r="O128">
        <v>1709.05</v>
      </c>
      <c r="P128">
        <v>850</v>
      </c>
      <c r="Q128">
        <v>850</v>
      </c>
      <c r="R128">
        <v>60</v>
      </c>
      <c r="S128">
        <v>799.05</v>
      </c>
    </row>
    <row r="129" spans="1:19" x14ac:dyDescent="0.3">
      <c r="A129" s="1" t="s">
        <v>324</v>
      </c>
      <c r="B129" s="4">
        <v>45352</v>
      </c>
      <c r="C129" s="1" t="s">
        <v>325</v>
      </c>
      <c r="D129" s="1" t="s">
        <v>48</v>
      </c>
      <c r="E129" s="1" t="s">
        <v>112</v>
      </c>
      <c r="F129" s="1" t="s">
        <v>113</v>
      </c>
      <c r="G129" s="1" t="s">
        <v>24</v>
      </c>
      <c r="H129" s="1" t="s">
        <v>25</v>
      </c>
      <c r="I129" s="1" t="s">
        <v>72</v>
      </c>
      <c r="J129" s="1" t="s">
        <v>73</v>
      </c>
      <c r="K129" s="1" t="s">
        <v>28</v>
      </c>
      <c r="L129">
        <v>1</v>
      </c>
      <c r="M129">
        <v>2199</v>
      </c>
      <c r="N129">
        <v>0</v>
      </c>
      <c r="O129">
        <v>2199</v>
      </c>
      <c r="P129">
        <v>1250</v>
      </c>
      <c r="Q129">
        <v>1250</v>
      </c>
      <c r="R129">
        <v>60</v>
      </c>
      <c r="S129">
        <v>889</v>
      </c>
    </row>
    <row r="130" spans="1:19" x14ac:dyDescent="0.3">
      <c r="A130" s="1" t="s">
        <v>326</v>
      </c>
      <c r="B130" s="4">
        <v>45353</v>
      </c>
      <c r="C130" s="1" t="s">
        <v>327</v>
      </c>
      <c r="D130" s="1" t="s">
        <v>21</v>
      </c>
      <c r="E130" s="1" t="s">
        <v>54</v>
      </c>
      <c r="F130" s="1" t="s">
        <v>55</v>
      </c>
      <c r="G130" s="1" t="s">
        <v>33</v>
      </c>
      <c r="H130" s="1" t="s">
        <v>34</v>
      </c>
      <c r="I130" s="1" t="s">
        <v>35</v>
      </c>
      <c r="J130" s="1" t="s">
        <v>36</v>
      </c>
      <c r="K130" s="1" t="s">
        <v>37</v>
      </c>
      <c r="L130">
        <v>3</v>
      </c>
      <c r="M130">
        <v>1299</v>
      </c>
      <c r="N130">
        <v>0.1</v>
      </c>
      <c r="O130">
        <v>3507.3</v>
      </c>
      <c r="P130">
        <v>700</v>
      </c>
      <c r="Q130">
        <v>2100</v>
      </c>
      <c r="R130">
        <v>80</v>
      </c>
      <c r="S130">
        <v>1327.3</v>
      </c>
    </row>
    <row r="131" spans="1:19" x14ac:dyDescent="0.3">
      <c r="A131" s="1" t="s">
        <v>328</v>
      </c>
      <c r="B131" s="4">
        <v>45353</v>
      </c>
      <c r="C131" s="1" t="s">
        <v>329</v>
      </c>
      <c r="D131" s="1" t="s">
        <v>21</v>
      </c>
      <c r="E131" s="1" t="s">
        <v>80</v>
      </c>
      <c r="F131" s="1" t="s">
        <v>55</v>
      </c>
      <c r="G131" s="1" t="s">
        <v>42</v>
      </c>
      <c r="H131" s="1" t="s">
        <v>71</v>
      </c>
      <c r="I131" s="1" t="s">
        <v>81</v>
      </c>
      <c r="J131" s="1" t="s">
        <v>82</v>
      </c>
      <c r="K131" s="1" t="s">
        <v>61</v>
      </c>
      <c r="L131">
        <v>2</v>
      </c>
      <c r="M131">
        <v>2999</v>
      </c>
      <c r="N131">
        <v>0.2</v>
      </c>
      <c r="O131">
        <v>4798.3999999999996</v>
      </c>
      <c r="P131">
        <v>1750</v>
      </c>
      <c r="Q131">
        <v>3500</v>
      </c>
      <c r="R131">
        <v>100</v>
      </c>
      <c r="S131">
        <v>1198.4000000000001</v>
      </c>
    </row>
    <row r="132" spans="1:19" x14ac:dyDescent="0.3">
      <c r="A132" s="1" t="s">
        <v>330</v>
      </c>
      <c r="B132" s="4">
        <v>45354</v>
      </c>
      <c r="C132" s="1" t="s">
        <v>331</v>
      </c>
      <c r="D132" s="1" t="s">
        <v>21</v>
      </c>
      <c r="E132" s="1" t="s">
        <v>41</v>
      </c>
      <c r="F132" s="1" t="s">
        <v>32</v>
      </c>
      <c r="G132" s="1" t="s">
        <v>24</v>
      </c>
      <c r="H132" s="1" t="s">
        <v>25</v>
      </c>
      <c r="I132" s="1" t="s">
        <v>72</v>
      </c>
      <c r="J132" s="1" t="s">
        <v>73</v>
      </c>
      <c r="K132" s="1" t="s">
        <v>28</v>
      </c>
      <c r="L132">
        <v>5</v>
      </c>
      <c r="M132">
        <v>2199</v>
      </c>
      <c r="N132">
        <v>0.05</v>
      </c>
      <c r="O132">
        <v>10445.25</v>
      </c>
      <c r="P132">
        <v>1250</v>
      </c>
      <c r="Q132">
        <v>6250</v>
      </c>
      <c r="R132">
        <v>0</v>
      </c>
      <c r="S132">
        <v>4195.25</v>
      </c>
    </row>
    <row r="133" spans="1:19" x14ac:dyDescent="0.3">
      <c r="A133" s="1" t="s">
        <v>332</v>
      </c>
      <c r="B133" s="4">
        <v>45355</v>
      </c>
      <c r="C133" s="1" t="s">
        <v>333</v>
      </c>
      <c r="D133" s="1" t="s">
        <v>48</v>
      </c>
      <c r="E133" s="1" t="s">
        <v>112</v>
      </c>
      <c r="F133" s="1" t="s">
        <v>113</v>
      </c>
      <c r="G133" s="1" t="s">
        <v>24</v>
      </c>
      <c r="H133" s="1" t="s">
        <v>71</v>
      </c>
      <c r="I133" s="1" t="s">
        <v>76</v>
      </c>
      <c r="J133" s="1" t="s">
        <v>77</v>
      </c>
      <c r="K133" s="1" t="s">
        <v>37</v>
      </c>
      <c r="L133">
        <v>1</v>
      </c>
      <c r="M133">
        <v>6999</v>
      </c>
      <c r="N133">
        <v>0.05</v>
      </c>
      <c r="O133">
        <v>6649.05</v>
      </c>
      <c r="P133">
        <v>4900</v>
      </c>
      <c r="Q133">
        <v>4900</v>
      </c>
      <c r="R133">
        <v>40</v>
      </c>
      <c r="S133">
        <v>1709.05</v>
      </c>
    </row>
    <row r="134" spans="1:19" x14ac:dyDescent="0.3">
      <c r="A134" s="1" t="s">
        <v>334</v>
      </c>
      <c r="B134" s="4">
        <v>45356</v>
      </c>
      <c r="C134" s="1" t="s">
        <v>335</v>
      </c>
      <c r="D134" s="1" t="s">
        <v>21</v>
      </c>
      <c r="E134" s="1" t="s">
        <v>120</v>
      </c>
      <c r="F134" s="1" t="s">
        <v>121</v>
      </c>
      <c r="G134" s="1" t="s">
        <v>24</v>
      </c>
      <c r="H134" s="1" t="s">
        <v>56</v>
      </c>
      <c r="I134" s="1" t="s">
        <v>76</v>
      </c>
      <c r="J134" s="1" t="s">
        <v>77</v>
      </c>
      <c r="K134" s="1" t="s">
        <v>37</v>
      </c>
      <c r="L134">
        <v>5</v>
      </c>
      <c r="M134">
        <v>6999</v>
      </c>
      <c r="N134">
        <v>0.1</v>
      </c>
      <c r="O134">
        <v>31495.5</v>
      </c>
      <c r="P134">
        <v>4900</v>
      </c>
      <c r="Q134">
        <v>24500</v>
      </c>
      <c r="R134">
        <v>40</v>
      </c>
      <c r="S134">
        <v>6955.5</v>
      </c>
    </row>
    <row r="135" spans="1:19" x14ac:dyDescent="0.3">
      <c r="A135" s="1" t="s">
        <v>336</v>
      </c>
      <c r="B135" s="4">
        <v>45357</v>
      </c>
      <c r="C135" s="1" t="s">
        <v>140</v>
      </c>
      <c r="D135" s="1" t="s">
        <v>40</v>
      </c>
      <c r="E135" s="1" t="s">
        <v>22</v>
      </c>
      <c r="F135" s="1" t="s">
        <v>23</v>
      </c>
      <c r="G135" s="1" t="s">
        <v>24</v>
      </c>
      <c r="H135" s="1" t="s">
        <v>25</v>
      </c>
      <c r="I135" s="1" t="s">
        <v>59</v>
      </c>
      <c r="J135" s="1" t="s">
        <v>60</v>
      </c>
      <c r="K135" s="1" t="s">
        <v>61</v>
      </c>
      <c r="L135">
        <v>1</v>
      </c>
      <c r="M135">
        <v>999</v>
      </c>
      <c r="N135">
        <v>0.1</v>
      </c>
      <c r="O135">
        <v>899.1</v>
      </c>
      <c r="P135">
        <v>520</v>
      </c>
      <c r="Q135">
        <v>520</v>
      </c>
      <c r="R135">
        <v>100</v>
      </c>
      <c r="S135">
        <v>279.10000000000002</v>
      </c>
    </row>
    <row r="136" spans="1:19" x14ac:dyDescent="0.3">
      <c r="A136" s="1" t="s">
        <v>337</v>
      </c>
      <c r="B136" s="4">
        <v>45357</v>
      </c>
      <c r="C136" s="1" t="s">
        <v>338</v>
      </c>
      <c r="D136" s="1" t="s">
        <v>48</v>
      </c>
      <c r="E136" s="1" t="s">
        <v>22</v>
      </c>
      <c r="F136" s="1" t="s">
        <v>23</v>
      </c>
      <c r="G136" s="1" t="s">
        <v>24</v>
      </c>
      <c r="H136" s="1" t="s">
        <v>71</v>
      </c>
      <c r="I136" s="1" t="s">
        <v>81</v>
      </c>
      <c r="J136" s="1" t="s">
        <v>82</v>
      </c>
      <c r="K136" s="1" t="s">
        <v>61</v>
      </c>
      <c r="L136">
        <v>5</v>
      </c>
      <c r="M136">
        <v>2999</v>
      </c>
      <c r="N136">
        <v>0.2</v>
      </c>
      <c r="O136">
        <v>11996</v>
      </c>
      <c r="P136">
        <v>1750</v>
      </c>
      <c r="Q136">
        <v>8750</v>
      </c>
      <c r="R136">
        <v>60</v>
      </c>
      <c r="S136">
        <v>3186</v>
      </c>
    </row>
    <row r="137" spans="1:19" x14ac:dyDescent="0.3">
      <c r="A137" s="1" t="s">
        <v>339</v>
      </c>
      <c r="B137" s="4">
        <v>45358</v>
      </c>
      <c r="C137" s="1" t="s">
        <v>155</v>
      </c>
      <c r="D137" s="1" t="s">
        <v>48</v>
      </c>
      <c r="E137" s="1" t="s">
        <v>124</v>
      </c>
      <c r="F137" s="1" t="s">
        <v>125</v>
      </c>
      <c r="G137" s="1" t="s">
        <v>33</v>
      </c>
      <c r="H137" s="1" t="s">
        <v>56</v>
      </c>
      <c r="I137" s="1" t="s">
        <v>92</v>
      </c>
      <c r="J137" s="1" t="s">
        <v>93</v>
      </c>
      <c r="K137" s="1" t="s">
        <v>28</v>
      </c>
      <c r="L137">
        <v>2</v>
      </c>
      <c r="M137">
        <v>1599</v>
      </c>
      <c r="N137">
        <v>0.2</v>
      </c>
      <c r="O137">
        <v>2558.4</v>
      </c>
      <c r="P137">
        <v>900</v>
      </c>
      <c r="Q137">
        <v>1800</v>
      </c>
      <c r="R137">
        <v>100</v>
      </c>
      <c r="S137">
        <v>658.4</v>
      </c>
    </row>
    <row r="138" spans="1:19" x14ac:dyDescent="0.3">
      <c r="A138" s="1" t="s">
        <v>340</v>
      </c>
      <c r="B138" s="4">
        <v>45358</v>
      </c>
      <c r="C138" s="1" t="s">
        <v>341</v>
      </c>
      <c r="D138" s="1" t="s">
        <v>21</v>
      </c>
      <c r="E138" s="1" t="s">
        <v>80</v>
      </c>
      <c r="F138" s="1" t="s">
        <v>55</v>
      </c>
      <c r="G138" s="1" t="s">
        <v>42</v>
      </c>
      <c r="H138" s="1" t="s">
        <v>25</v>
      </c>
      <c r="I138" s="1" t="s">
        <v>51</v>
      </c>
      <c r="J138" s="1" t="s">
        <v>52</v>
      </c>
      <c r="K138" s="1" t="s">
        <v>37</v>
      </c>
      <c r="L138">
        <v>4</v>
      </c>
      <c r="M138">
        <v>499</v>
      </c>
      <c r="N138">
        <v>0.1</v>
      </c>
      <c r="O138">
        <v>1796.4</v>
      </c>
      <c r="P138">
        <v>180</v>
      </c>
      <c r="Q138">
        <v>720</v>
      </c>
      <c r="R138">
        <v>40</v>
      </c>
      <c r="S138">
        <v>1036.4000000000001</v>
      </c>
    </row>
    <row r="139" spans="1:19" x14ac:dyDescent="0.3">
      <c r="A139" s="1" t="s">
        <v>342</v>
      </c>
      <c r="B139" s="4">
        <v>45360</v>
      </c>
      <c r="C139" s="1" t="s">
        <v>343</v>
      </c>
      <c r="D139" s="1" t="s">
        <v>21</v>
      </c>
      <c r="E139" s="1" t="s">
        <v>80</v>
      </c>
      <c r="F139" s="1" t="s">
        <v>55</v>
      </c>
      <c r="G139" s="1" t="s">
        <v>24</v>
      </c>
      <c r="H139" s="1" t="s">
        <v>34</v>
      </c>
      <c r="I139" s="1" t="s">
        <v>59</v>
      </c>
      <c r="J139" s="1" t="s">
        <v>60</v>
      </c>
      <c r="K139" s="1" t="s">
        <v>61</v>
      </c>
      <c r="L139">
        <v>2</v>
      </c>
      <c r="M139">
        <v>999</v>
      </c>
      <c r="N139">
        <v>0.2</v>
      </c>
      <c r="O139">
        <v>1598.4</v>
      </c>
      <c r="P139">
        <v>520</v>
      </c>
      <c r="Q139">
        <v>1040</v>
      </c>
      <c r="R139">
        <v>60</v>
      </c>
      <c r="S139">
        <v>498.4</v>
      </c>
    </row>
    <row r="140" spans="1:19" x14ac:dyDescent="0.3">
      <c r="A140" s="1" t="s">
        <v>344</v>
      </c>
      <c r="B140" s="4">
        <v>45360</v>
      </c>
      <c r="C140" s="1" t="s">
        <v>138</v>
      </c>
      <c r="D140" s="1" t="s">
        <v>21</v>
      </c>
      <c r="E140" s="1" t="s">
        <v>124</v>
      </c>
      <c r="F140" s="1" t="s">
        <v>125</v>
      </c>
      <c r="G140" s="1" t="s">
        <v>24</v>
      </c>
      <c r="H140" s="1" t="s">
        <v>34</v>
      </c>
      <c r="I140" s="1" t="s">
        <v>66</v>
      </c>
      <c r="J140" s="1" t="s">
        <v>67</v>
      </c>
      <c r="K140" s="1" t="s">
        <v>28</v>
      </c>
      <c r="L140">
        <v>1</v>
      </c>
      <c r="M140">
        <v>2499</v>
      </c>
      <c r="N140">
        <v>0.1</v>
      </c>
      <c r="O140">
        <v>2249.1</v>
      </c>
      <c r="P140">
        <v>1450</v>
      </c>
      <c r="Q140">
        <v>1450</v>
      </c>
      <c r="R140">
        <v>100</v>
      </c>
      <c r="S140">
        <v>699.1</v>
      </c>
    </row>
    <row r="141" spans="1:19" x14ac:dyDescent="0.3">
      <c r="A141" s="1" t="s">
        <v>345</v>
      </c>
      <c r="B141" s="4">
        <v>45360</v>
      </c>
      <c r="C141" s="1" t="s">
        <v>346</v>
      </c>
      <c r="D141" s="1" t="s">
        <v>40</v>
      </c>
      <c r="E141" s="1" t="s">
        <v>41</v>
      </c>
      <c r="F141" s="1" t="s">
        <v>32</v>
      </c>
      <c r="G141" s="1" t="s">
        <v>33</v>
      </c>
      <c r="H141" s="1" t="s">
        <v>71</v>
      </c>
      <c r="I141" s="1" t="s">
        <v>81</v>
      </c>
      <c r="J141" s="1" t="s">
        <v>82</v>
      </c>
      <c r="K141" s="1" t="s">
        <v>61</v>
      </c>
      <c r="L141">
        <v>2</v>
      </c>
      <c r="M141">
        <v>2999</v>
      </c>
      <c r="N141">
        <v>0</v>
      </c>
      <c r="O141">
        <v>5998</v>
      </c>
      <c r="P141">
        <v>1750</v>
      </c>
      <c r="Q141">
        <v>3500</v>
      </c>
      <c r="R141">
        <v>60</v>
      </c>
      <c r="S141">
        <v>2438</v>
      </c>
    </row>
    <row r="142" spans="1:19" x14ac:dyDescent="0.3">
      <c r="A142" s="1" t="s">
        <v>347</v>
      </c>
      <c r="B142" s="4">
        <v>45360</v>
      </c>
      <c r="C142" s="1" t="s">
        <v>187</v>
      </c>
      <c r="D142" s="1" t="s">
        <v>40</v>
      </c>
      <c r="E142" s="1" t="s">
        <v>112</v>
      </c>
      <c r="F142" s="1" t="s">
        <v>113</v>
      </c>
      <c r="G142" s="1" t="s">
        <v>24</v>
      </c>
      <c r="H142" s="1" t="s">
        <v>56</v>
      </c>
      <c r="I142" s="1" t="s">
        <v>51</v>
      </c>
      <c r="J142" s="1" t="s">
        <v>52</v>
      </c>
      <c r="K142" s="1" t="s">
        <v>37</v>
      </c>
      <c r="L142">
        <v>3</v>
      </c>
      <c r="M142">
        <v>499</v>
      </c>
      <c r="N142">
        <v>0.05</v>
      </c>
      <c r="O142">
        <v>1422.15</v>
      </c>
      <c r="P142">
        <v>180</v>
      </c>
      <c r="Q142">
        <v>540</v>
      </c>
      <c r="R142">
        <v>60</v>
      </c>
      <c r="S142">
        <v>822.15</v>
      </c>
    </row>
    <row r="143" spans="1:19" x14ac:dyDescent="0.3">
      <c r="A143" s="1" t="s">
        <v>348</v>
      </c>
      <c r="B143" s="4">
        <v>45361</v>
      </c>
      <c r="C143" s="1" t="s">
        <v>349</v>
      </c>
      <c r="D143" s="1" t="s">
        <v>21</v>
      </c>
      <c r="E143" s="1" t="s">
        <v>54</v>
      </c>
      <c r="F143" s="1" t="s">
        <v>55</v>
      </c>
      <c r="G143" s="1" t="s">
        <v>42</v>
      </c>
      <c r="H143" s="1" t="s">
        <v>34</v>
      </c>
      <c r="I143" s="1" t="s">
        <v>85</v>
      </c>
      <c r="J143" s="1" t="s">
        <v>86</v>
      </c>
      <c r="K143" s="1" t="s">
        <v>45</v>
      </c>
      <c r="L143">
        <v>2</v>
      </c>
      <c r="M143">
        <v>599</v>
      </c>
      <c r="N143">
        <v>0.15</v>
      </c>
      <c r="O143">
        <v>1018.3</v>
      </c>
      <c r="P143">
        <v>240</v>
      </c>
      <c r="Q143">
        <v>480</v>
      </c>
      <c r="R143">
        <v>100</v>
      </c>
      <c r="S143">
        <v>438.3</v>
      </c>
    </row>
    <row r="144" spans="1:19" x14ac:dyDescent="0.3">
      <c r="A144" s="1" t="s">
        <v>350</v>
      </c>
      <c r="B144" s="4">
        <v>45362</v>
      </c>
      <c r="C144" s="1" t="s">
        <v>351</v>
      </c>
      <c r="D144" s="1" t="s">
        <v>40</v>
      </c>
      <c r="E144" s="1" t="s">
        <v>124</v>
      </c>
      <c r="F144" s="1" t="s">
        <v>125</v>
      </c>
      <c r="G144" s="1" t="s">
        <v>24</v>
      </c>
      <c r="H144" s="1" t="s">
        <v>25</v>
      </c>
      <c r="I144" s="1" t="s">
        <v>85</v>
      </c>
      <c r="J144" s="1" t="s">
        <v>86</v>
      </c>
      <c r="K144" s="1" t="s">
        <v>45</v>
      </c>
      <c r="L144">
        <v>1</v>
      </c>
      <c r="M144">
        <v>599</v>
      </c>
      <c r="N144">
        <v>0</v>
      </c>
      <c r="O144">
        <v>599</v>
      </c>
      <c r="P144">
        <v>240</v>
      </c>
      <c r="Q144">
        <v>240</v>
      </c>
      <c r="R144">
        <v>40</v>
      </c>
      <c r="S144">
        <v>319</v>
      </c>
    </row>
    <row r="145" spans="1:19" x14ac:dyDescent="0.3">
      <c r="A145" s="1" t="s">
        <v>352</v>
      </c>
      <c r="B145" s="4">
        <v>45362</v>
      </c>
      <c r="C145" s="1" t="s">
        <v>353</v>
      </c>
      <c r="D145" s="1" t="s">
        <v>21</v>
      </c>
      <c r="E145" s="1" t="s">
        <v>120</v>
      </c>
      <c r="F145" s="1" t="s">
        <v>121</v>
      </c>
      <c r="G145" s="1" t="s">
        <v>42</v>
      </c>
      <c r="H145" s="1" t="s">
        <v>89</v>
      </c>
      <c r="I145" s="1" t="s">
        <v>85</v>
      </c>
      <c r="J145" s="1" t="s">
        <v>86</v>
      </c>
      <c r="K145" s="1" t="s">
        <v>45</v>
      </c>
      <c r="L145">
        <v>1</v>
      </c>
      <c r="M145">
        <v>599</v>
      </c>
      <c r="N145">
        <v>0.05</v>
      </c>
      <c r="O145">
        <v>569.04999999999995</v>
      </c>
      <c r="P145">
        <v>240</v>
      </c>
      <c r="Q145">
        <v>240</v>
      </c>
      <c r="R145">
        <v>60</v>
      </c>
      <c r="S145">
        <v>269.05</v>
      </c>
    </row>
    <row r="146" spans="1:19" x14ac:dyDescent="0.3">
      <c r="A146" s="1" t="s">
        <v>354</v>
      </c>
      <c r="B146" s="4">
        <v>45363</v>
      </c>
      <c r="C146" s="1" t="s">
        <v>198</v>
      </c>
      <c r="D146" s="1" t="s">
        <v>40</v>
      </c>
      <c r="E146" s="1" t="s">
        <v>120</v>
      </c>
      <c r="F146" s="1" t="s">
        <v>121</v>
      </c>
      <c r="G146" s="1" t="s">
        <v>33</v>
      </c>
      <c r="H146" s="1" t="s">
        <v>71</v>
      </c>
      <c r="I146" s="1" t="s">
        <v>35</v>
      </c>
      <c r="J146" s="1" t="s">
        <v>36</v>
      </c>
      <c r="K146" s="1" t="s">
        <v>37</v>
      </c>
      <c r="L146">
        <v>3</v>
      </c>
      <c r="M146">
        <v>1299</v>
      </c>
      <c r="N146">
        <v>0.1</v>
      </c>
      <c r="O146">
        <v>3507.3</v>
      </c>
      <c r="P146">
        <v>700</v>
      </c>
      <c r="Q146">
        <v>2100</v>
      </c>
      <c r="R146">
        <v>60</v>
      </c>
      <c r="S146">
        <v>1347.3</v>
      </c>
    </row>
    <row r="147" spans="1:19" x14ac:dyDescent="0.3">
      <c r="A147" s="1" t="s">
        <v>355</v>
      </c>
      <c r="B147" s="4">
        <v>45364</v>
      </c>
      <c r="C147" s="1" t="s">
        <v>356</v>
      </c>
      <c r="D147" s="1" t="s">
        <v>48</v>
      </c>
      <c r="E147" s="1" t="s">
        <v>112</v>
      </c>
      <c r="F147" s="1" t="s">
        <v>113</v>
      </c>
      <c r="G147" s="1" t="s">
        <v>33</v>
      </c>
      <c r="H147" s="1" t="s">
        <v>34</v>
      </c>
      <c r="I147" s="1" t="s">
        <v>134</v>
      </c>
      <c r="J147" s="1" t="s">
        <v>135</v>
      </c>
      <c r="K147" s="1" t="s">
        <v>136</v>
      </c>
      <c r="L147">
        <v>3</v>
      </c>
      <c r="M147">
        <v>299</v>
      </c>
      <c r="N147">
        <v>0.05</v>
      </c>
      <c r="O147">
        <v>852.15</v>
      </c>
      <c r="P147">
        <v>110</v>
      </c>
      <c r="Q147">
        <v>330</v>
      </c>
      <c r="R147">
        <v>80</v>
      </c>
      <c r="S147">
        <v>442.15</v>
      </c>
    </row>
    <row r="148" spans="1:19" x14ac:dyDescent="0.3">
      <c r="A148" s="1" t="s">
        <v>357</v>
      </c>
      <c r="B148" s="4">
        <v>45364</v>
      </c>
      <c r="C148" s="1" t="s">
        <v>109</v>
      </c>
      <c r="D148" s="1" t="s">
        <v>21</v>
      </c>
      <c r="E148" s="1" t="s">
        <v>124</v>
      </c>
      <c r="F148" s="1" t="s">
        <v>125</v>
      </c>
      <c r="G148" s="1" t="s">
        <v>24</v>
      </c>
      <c r="H148" s="1" t="s">
        <v>34</v>
      </c>
      <c r="I148" s="1" t="s">
        <v>85</v>
      </c>
      <c r="J148" s="1" t="s">
        <v>86</v>
      </c>
      <c r="K148" s="1" t="s">
        <v>45</v>
      </c>
      <c r="L148">
        <v>4</v>
      </c>
      <c r="M148">
        <v>599</v>
      </c>
      <c r="N148">
        <v>0</v>
      </c>
      <c r="O148">
        <v>2396</v>
      </c>
      <c r="P148">
        <v>240</v>
      </c>
      <c r="Q148">
        <v>960</v>
      </c>
      <c r="R148">
        <v>60</v>
      </c>
      <c r="S148">
        <v>1376</v>
      </c>
    </row>
    <row r="149" spans="1:19" x14ac:dyDescent="0.3">
      <c r="A149" s="1" t="s">
        <v>358</v>
      </c>
      <c r="B149" s="4">
        <v>45364</v>
      </c>
      <c r="C149" s="1" t="s">
        <v>359</v>
      </c>
      <c r="D149" s="1" t="s">
        <v>40</v>
      </c>
      <c r="E149" s="1" t="s">
        <v>41</v>
      </c>
      <c r="F149" s="1" t="s">
        <v>32</v>
      </c>
      <c r="G149" s="1" t="s">
        <v>33</v>
      </c>
      <c r="H149" s="1" t="s">
        <v>25</v>
      </c>
      <c r="I149" s="1" t="s">
        <v>76</v>
      </c>
      <c r="J149" s="1" t="s">
        <v>77</v>
      </c>
      <c r="K149" s="1" t="s">
        <v>37</v>
      </c>
      <c r="L149">
        <v>1</v>
      </c>
      <c r="M149">
        <v>6999</v>
      </c>
      <c r="N149">
        <v>0.05</v>
      </c>
      <c r="O149">
        <v>6649.05</v>
      </c>
      <c r="P149">
        <v>4900</v>
      </c>
      <c r="Q149">
        <v>4900</v>
      </c>
      <c r="R149">
        <v>100</v>
      </c>
      <c r="S149">
        <v>1649.05</v>
      </c>
    </row>
    <row r="150" spans="1:19" x14ac:dyDescent="0.3">
      <c r="A150" s="1" t="s">
        <v>360</v>
      </c>
      <c r="B150" s="4">
        <v>45366</v>
      </c>
      <c r="C150" s="1" t="s">
        <v>361</v>
      </c>
      <c r="D150" s="1" t="s">
        <v>21</v>
      </c>
      <c r="E150" s="1" t="s">
        <v>124</v>
      </c>
      <c r="F150" s="1" t="s">
        <v>125</v>
      </c>
      <c r="G150" s="1" t="s">
        <v>24</v>
      </c>
      <c r="H150" s="1" t="s">
        <v>89</v>
      </c>
      <c r="I150" s="1" t="s">
        <v>134</v>
      </c>
      <c r="J150" s="1" t="s">
        <v>135</v>
      </c>
      <c r="K150" s="1" t="s">
        <v>136</v>
      </c>
      <c r="L150">
        <v>4</v>
      </c>
      <c r="M150">
        <v>299</v>
      </c>
      <c r="N150">
        <v>0.2</v>
      </c>
      <c r="O150">
        <v>956.8</v>
      </c>
      <c r="P150">
        <v>110</v>
      </c>
      <c r="Q150">
        <v>440</v>
      </c>
      <c r="R150">
        <v>0</v>
      </c>
      <c r="S150">
        <v>516.79999999999995</v>
      </c>
    </row>
    <row r="151" spans="1:19" x14ac:dyDescent="0.3">
      <c r="A151" s="1" t="s">
        <v>362</v>
      </c>
      <c r="B151" s="4">
        <v>45367</v>
      </c>
      <c r="C151" s="1" t="s">
        <v>363</v>
      </c>
      <c r="D151" s="1" t="s">
        <v>21</v>
      </c>
      <c r="E151" s="1" t="s">
        <v>124</v>
      </c>
      <c r="F151" s="1" t="s">
        <v>125</v>
      </c>
      <c r="G151" s="1" t="s">
        <v>42</v>
      </c>
      <c r="H151" s="1" t="s">
        <v>25</v>
      </c>
      <c r="I151" s="1" t="s">
        <v>35</v>
      </c>
      <c r="J151" s="1" t="s">
        <v>36</v>
      </c>
      <c r="K151" s="1" t="s">
        <v>37</v>
      </c>
      <c r="L151">
        <v>2</v>
      </c>
      <c r="M151">
        <v>1299</v>
      </c>
      <c r="N151">
        <v>0</v>
      </c>
      <c r="O151">
        <v>2598</v>
      </c>
      <c r="P151">
        <v>700</v>
      </c>
      <c r="Q151">
        <v>1400</v>
      </c>
      <c r="R151">
        <v>0</v>
      </c>
      <c r="S151">
        <v>1198</v>
      </c>
    </row>
    <row r="152" spans="1:19" x14ac:dyDescent="0.3">
      <c r="A152" s="1" t="s">
        <v>364</v>
      </c>
      <c r="B152" s="4">
        <v>45368</v>
      </c>
      <c r="C152" s="1" t="s">
        <v>365</v>
      </c>
      <c r="D152" s="1" t="s">
        <v>21</v>
      </c>
      <c r="E152" s="1" t="s">
        <v>54</v>
      </c>
      <c r="F152" s="1" t="s">
        <v>55</v>
      </c>
      <c r="G152" s="1" t="s">
        <v>33</v>
      </c>
      <c r="H152" s="1" t="s">
        <v>56</v>
      </c>
      <c r="I152" s="1" t="s">
        <v>81</v>
      </c>
      <c r="J152" s="1" t="s">
        <v>82</v>
      </c>
      <c r="K152" s="1" t="s">
        <v>61</v>
      </c>
      <c r="L152">
        <v>3</v>
      </c>
      <c r="M152">
        <v>2999</v>
      </c>
      <c r="N152">
        <v>0.15</v>
      </c>
      <c r="O152">
        <v>7647.45</v>
      </c>
      <c r="P152">
        <v>1750</v>
      </c>
      <c r="Q152">
        <v>5250</v>
      </c>
      <c r="R152">
        <v>60</v>
      </c>
      <c r="S152">
        <v>2337.4499999999998</v>
      </c>
    </row>
    <row r="153" spans="1:19" x14ac:dyDescent="0.3">
      <c r="A153" s="1" t="s">
        <v>366</v>
      </c>
      <c r="B153" s="4">
        <v>45369</v>
      </c>
      <c r="C153" s="1" t="s">
        <v>367</v>
      </c>
      <c r="D153" s="1" t="s">
        <v>21</v>
      </c>
      <c r="E153" s="1" t="s">
        <v>80</v>
      </c>
      <c r="F153" s="1" t="s">
        <v>55</v>
      </c>
      <c r="G153" s="1" t="s">
        <v>24</v>
      </c>
      <c r="H153" s="1" t="s">
        <v>89</v>
      </c>
      <c r="I153" s="1" t="s">
        <v>134</v>
      </c>
      <c r="J153" s="1" t="s">
        <v>135</v>
      </c>
      <c r="K153" s="1" t="s">
        <v>136</v>
      </c>
      <c r="L153">
        <v>2</v>
      </c>
      <c r="M153">
        <v>299</v>
      </c>
      <c r="N153">
        <v>0.2</v>
      </c>
      <c r="O153">
        <v>478.4</v>
      </c>
      <c r="P153">
        <v>110</v>
      </c>
      <c r="Q153">
        <v>220</v>
      </c>
      <c r="R153">
        <v>40</v>
      </c>
      <c r="S153">
        <v>218.4</v>
      </c>
    </row>
    <row r="154" spans="1:19" x14ac:dyDescent="0.3">
      <c r="A154" s="1" t="s">
        <v>368</v>
      </c>
      <c r="B154" s="4">
        <v>45370</v>
      </c>
      <c r="C154" s="1" t="s">
        <v>312</v>
      </c>
      <c r="D154" s="1" t="s">
        <v>21</v>
      </c>
      <c r="E154" s="1" t="s">
        <v>64</v>
      </c>
      <c r="F154" s="1" t="s">
        <v>65</v>
      </c>
      <c r="G154" s="1" t="s">
        <v>42</v>
      </c>
      <c r="H154" s="1" t="s">
        <v>89</v>
      </c>
      <c r="I154" s="1" t="s">
        <v>66</v>
      </c>
      <c r="J154" s="1" t="s">
        <v>67</v>
      </c>
      <c r="K154" s="1" t="s">
        <v>28</v>
      </c>
      <c r="L154">
        <v>2</v>
      </c>
      <c r="M154">
        <v>2499</v>
      </c>
      <c r="N154">
        <v>0.05</v>
      </c>
      <c r="O154">
        <v>4748.1000000000004</v>
      </c>
      <c r="P154">
        <v>1450</v>
      </c>
      <c r="Q154">
        <v>2900</v>
      </c>
      <c r="R154">
        <v>80</v>
      </c>
      <c r="S154">
        <v>1768.1</v>
      </c>
    </row>
    <row r="155" spans="1:19" x14ac:dyDescent="0.3">
      <c r="A155" s="1" t="s">
        <v>369</v>
      </c>
      <c r="B155" s="4">
        <v>45370</v>
      </c>
      <c r="C155" s="1" t="s">
        <v>370</v>
      </c>
      <c r="D155" s="1" t="s">
        <v>48</v>
      </c>
      <c r="E155" s="1" t="s">
        <v>112</v>
      </c>
      <c r="F155" s="1" t="s">
        <v>113</v>
      </c>
      <c r="G155" s="1" t="s">
        <v>33</v>
      </c>
      <c r="H155" s="1" t="s">
        <v>34</v>
      </c>
      <c r="I155" s="1" t="s">
        <v>35</v>
      </c>
      <c r="J155" s="1" t="s">
        <v>36</v>
      </c>
      <c r="K155" s="1" t="s">
        <v>37</v>
      </c>
      <c r="L155">
        <v>1</v>
      </c>
      <c r="M155">
        <v>1299</v>
      </c>
      <c r="N155">
        <v>0</v>
      </c>
      <c r="O155">
        <v>1299</v>
      </c>
      <c r="P155">
        <v>700</v>
      </c>
      <c r="Q155">
        <v>700</v>
      </c>
      <c r="R155">
        <v>100</v>
      </c>
      <c r="S155">
        <v>499</v>
      </c>
    </row>
    <row r="156" spans="1:19" x14ac:dyDescent="0.3">
      <c r="A156" s="1" t="s">
        <v>371</v>
      </c>
      <c r="B156" s="4">
        <v>45370</v>
      </c>
      <c r="C156" s="1" t="s">
        <v>372</v>
      </c>
      <c r="D156" s="1" t="s">
        <v>21</v>
      </c>
      <c r="E156" s="1" t="s">
        <v>96</v>
      </c>
      <c r="F156" s="1" t="s">
        <v>97</v>
      </c>
      <c r="G156" s="1" t="s">
        <v>42</v>
      </c>
      <c r="H156" s="1" t="s">
        <v>34</v>
      </c>
      <c r="I156" s="1" t="s">
        <v>35</v>
      </c>
      <c r="J156" s="1" t="s">
        <v>36</v>
      </c>
      <c r="K156" s="1" t="s">
        <v>37</v>
      </c>
      <c r="L156">
        <v>4</v>
      </c>
      <c r="M156">
        <v>1299</v>
      </c>
      <c r="N156">
        <v>0</v>
      </c>
      <c r="O156">
        <v>5196</v>
      </c>
      <c r="P156">
        <v>700</v>
      </c>
      <c r="Q156">
        <v>2800</v>
      </c>
      <c r="R156">
        <v>80</v>
      </c>
      <c r="S156">
        <v>2316</v>
      </c>
    </row>
    <row r="157" spans="1:19" x14ac:dyDescent="0.3">
      <c r="A157" s="1" t="s">
        <v>373</v>
      </c>
      <c r="B157" s="4">
        <v>45371</v>
      </c>
      <c r="C157" s="1" t="s">
        <v>374</v>
      </c>
      <c r="D157" s="1" t="s">
        <v>40</v>
      </c>
      <c r="E157" s="1" t="s">
        <v>80</v>
      </c>
      <c r="F157" s="1" t="s">
        <v>55</v>
      </c>
      <c r="G157" s="1" t="s">
        <v>33</v>
      </c>
      <c r="H157" s="1" t="s">
        <v>25</v>
      </c>
      <c r="I157" s="1" t="s">
        <v>43</v>
      </c>
      <c r="J157" s="1" t="s">
        <v>44</v>
      </c>
      <c r="K157" s="1" t="s">
        <v>45</v>
      </c>
      <c r="L157">
        <v>3</v>
      </c>
      <c r="M157">
        <v>1799</v>
      </c>
      <c r="N157">
        <v>0</v>
      </c>
      <c r="O157">
        <v>5397</v>
      </c>
      <c r="P157">
        <v>850</v>
      </c>
      <c r="Q157">
        <v>2550</v>
      </c>
      <c r="R157">
        <v>80</v>
      </c>
      <c r="S157">
        <v>2767</v>
      </c>
    </row>
    <row r="158" spans="1:19" x14ac:dyDescent="0.3">
      <c r="A158" s="1" t="s">
        <v>375</v>
      </c>
      <c r="B158" s="4">
        <v>45371</v>
      </c>
      <c r="C158" s="1" t="s">
        <v>167</v>
      </c>
      <c r="D158" s="1" t="s">
        <v>48</v>
      </c>
      <c r="E158" s="1" t="s">
        <v>49</v>
      </c>
      <c r="F158" s="1" t="s">
        <v>50</v>
      </c>
      <c r="G158" s="1" t="s">
        <v>42</v>
      </c>
      <c r="H158" s="1" t="s">
        <v>56</v>
      </c>
      <c r="I158" s="1" t="s">
        <v>134</v>
      </c>
      <c r="J158" s="1" t="s">
        <v>135</v>
      </c>
      <c r="K158" s="1" t="s">
        <v>136</v>
      </c>
      <c r="L158">
        <v>1</v>
      </c>
      <c r="M158">
        <v>299</v>
      </c>
      <c r="N158">
        <v>0.15</v>
      </c>
      <c r="O158">
        <v>254.15</v>
      </c>
      <c r="P158">
        <v>110</v>
      </c>
      <c r="Q158">
        <v>110</v>
      </c>
      <c r="R158">
        <v>100</v>
      </c>
      <c r="S158">
        <v>44.15</v>
      </c>
    </row>
    <row r="159" spans="1:19" x14ac:dyDescent="0.3">
      <c r="A159" s="1" t="s">
        <v>376</v>
      </c>
      <c r="B159" s="4">
        <v>45371</v>
      </c>
      <c r="C159" s="1" t="s">
        <v>377</v>
      </c>
      <c r="D159" s="1" t="s">
        <v>21</v>
      </c>
      <c r="E159" s="1" t="s">
        <v>22</v>
      </c>
      <c r="F159" s="1" t="s">
        <v>23</v>
      </c>
      <c r="G159" s="1" t="s">
        <v>24</v>
      </c>
      <c r="H159" s="1" t="s">
        <v>25</v>
      </c>
      <c r="I159" s="1" t="s">
        <v>134</v>
      </c>
      <c r="J159" s="1" t="s">
        <v>135</v>
      </c>
      <c r="K159" s="1" t="s">
        <v>136</v>
      </c>
      <c r="L159">
        <v>1</v>
      </c>
      <c r="M159">
        <v>299</v>
      </c>
      <c r="N159">
        <v>0.2</v>
      </c>
      <c r="O159">
        <v>239.2</v>
      </c>
      <c r="P159">
        <v>110</v>
      </c>
      <c r="Q159">
        <v>110</v>
      </c>
      <c r="R159">
        <v>40</v>
      </c>
      <c r="S159">
        <v>89.2</v>
      </c>
    </row>
    <row r="160" spans="1:19" x14ac:dyDescent="0.3">
      <c r="A160" s="1" t="s">
        <v>378</v>
      </c>
      <c r="B160" s="4">
        <v>45372</v>
      </c>
      <c r="C160" s="1" t="s">
        <v>379</v>
      </c>
      <c r="D160" s="1" t="s">
        <v>48</v>
      </c>
      <c r="E160" s="1" t="s">
        <v>22</v>
      </c>
      <c r="F160" s="1" t="s">
        <v>23</v>
      </c>
      <c r="G160" s="1" t="s">
        <v>42</v>
      </c>
      <c r="H160" s="1" t="s">
        <v>25</v>
      </c>
      <c r="I160" s="1" t="s">
        <v>51</v>
      </c>
      <c r="J160" s="1" t="s">
        <v>52</v>
      </c>
      <c r="K160" s="1" t="s">
        <v>37</v>
      </c>
      <c r="L160">
        <v>4</v>
      </c>
      <c r="M160">
        <v>499</v>
      </c>
      <c r="N160">
        <v>0.15</v>
      </c>
      <c r="O160">
        <v>1696.6</v>
      </c>
      <c r="P160">
        <v>180</v>
      </c>
      <c r="Q160">
        <v>720</v>
      </c>
      <c r="R160">
        <v>40</v>
      </c>
      <c r="S160">
        <v>936.6</v>
      </c>
    </row>
    <row r="161" spans="1:19" x14ac:dyDescent="0.3">
      <c r="A161" s="1" t="s">
        <v>380</v>
      </c>
      <c r="B161" s="4">
        <v>45372</v>
      </c>
      <c r="C161" s="1" t="s">
        <v>381</v>
      </c>
      <c r="D161" s="1" t="s">
        <v>48</v>
      </c>
      <c r="E161" s="1" t="s">
        <v>64</v>
      </c>
      <c r="F161" s="1" t="s">
        <v>65</v>
      </c>
      <c r="G161" s="1" t="s">
        <v>33</v>
      </c>
      <c r="H161" s="1" t="s">
        <v>56</v>
      </c>
      <c r="I161" s="1" t="s">
        <v>134</v>
      </c>
      <c r="J161" s="1" t="s">
        <v>135</v>
      </c>
      <c r="K161" s="1" t="s">
        <v>136</v>
      </c>
      <c r="L161">
        <v>1</v>
      </c>
      <c r="M161">
        <v>299</v>
      </c>
      <c r="N161">
        <v>0.2</v>
      </c>
      <c r="O161">
        <v>239.2</v>
      </c>
      <c r="P161">
        <v>110</v>
      </c>
      <c r="Q161">
        <v>110</v>
      </c>
      <c r="R161">
        <v>40</v>
      </c>
      <c r="S161">
        <v>89.2</v>
      </c>
    </row>
    <row r="162" spans="1:19" x14ac:dyDescent="0.3">
      <c r="A162" s="1" t="s">
        <v>382</v>
      </c>
      <c r="B162" s="4">
        <v>45373</v>
      </c>
      <c r="C162" s="1" t="s">
        <v>383</v>
      </c>
      <c r="D162" s="1" t="s">
        <v>21</v>
      </c>
      <c r="E162" s="1" t="s">
        <v>49</v>
      </c>
      <c r="F162" s="1" t="s">
        <v>50</v>
      </c>
      <c r="G162" s="1" t="s">
        <v>42</v>
      </c>
      <c r="H162" s="1" t="s">
        <v>25</v>
      </c>
      <c r="I162" s="1" t="s">
        <v>26</v>
      </c>
      <c r="J162" s="1" t="s">
        <v>27</v>
      </c>
      <c r="K162" s="1" t="s">
        <v>28</v>
      </c>
      <c r="L162">
        <v>1</v>
      </c>
      <c r="M162">
        <v>799</v>
      </c>
      <c r="N162">
        <v>0.1</v>
      </c>
      <c r="O162">
        <v>719.1</v>
      </c>
      <c r="P162">
        <v>420</v>
      </c>
      <c r="Q162">
        <v>420</v>
      </c>
      <c r="R162">
        <v>60</v>
      </c>
      <c r="S162">
        <v>239.1</v>
      </c>
    </row>
    <row r="163" spans="1:19" x14ac:dyDescent="0.3">
      <c r="A163" s="1" t="s">
        <v>384</v>
      </c>
      <c r="B163" s="4">
        <v>45374</v>
      </c>
      <c r="C163" s="1" t="s">
        <v>240</v>
      </c>
      <c r="D163" s="1" t="s">
        <v>40</v>
      </c>
      <c r="E163" s="1" t="s">
        <v>96</v>
      </c>
      <c r="F163" s="1" t="s">
        <v>97</v>
      </c>
      <c r="G163" s="1" t="s">
        <v>42</v>
      </c>
      <c r="H163" s="1" t="s">
        <v>34</v>
      </c>
      <c r="I163" s="1" t="s">
        <v>85</v>
      </c>
      <c r="J163" s="1" t="s">
        <v>86</v>
      </c>
      <c r="K163" s="1" t="s">
        <v>45</v>
      </c>
      <c r="L163">
        <v>2</v>
      </c>
      <c r="M163">
        <v>599</v>
      </c>
      <c r="N163">
        <v>0</v>
      </c>
      <c r="O163">
        <v>1198</v>
      </c>
      <c r="P163">
        <v>240</v>
      </c>
      <c r="Q163">
        <v>480</v>
      </c>
      <c r="R163">
        <v>60</v>
      </c>
      <c r="S163">
        <v>658</v>
      </c>
    </row>
    <row r="164" spans="1:19" x14ac:dyDescent="0.3">
      <c r="A164" s="1" t="s">
        <v>385</v>
      </c>
      <c r="B164" s="4">
        <v>45374</v>
      </c>
      <c r="C164" s="1" t="s">
        <v>386</v>
      </c>
      <c r="D164" s="1" t="s">
        <v>21</v>
      </c>
      <c r="E164" s="1" t="s">
        <v>41</v>
      </c>
      <c r="F164" s="1" t="s">
        <v>32</v>
      </c>
      <c r="G164" s="1" t="s">
        <v>42</v>
      </c>
      <c r="H164" s="1" t="s">
        <v>56</v>
      </c>
      <c r="I164" s="1" t="s">
        <v>76</v>
      </c>
      <c r="J164" s="1" t="s">
        <v>77</v>
      </c>
      <c r="K164" s="1" t="s">
        <v>37</v>
      </c>
      <c r="L164">
        <v>5</v>
      </c>
      <c r="M164">
        <v>6999</v>
      </c>
      <c r="N164">
        <v>0.15</v>
      </c>
      <c r="O164">
        <v>29745.75</v>
      </c>
      <c r="P164">
        <v>4900</v>
      </c>
      <c r="Q164">
        <v>24500</v>
      </c>
      <c r="R164">
        <v>40</v>
      </c>
      <c r="S164">
        <v>5205.75</v>
      </c>
    </row>
    <row r="165" spans="1:19" x14ac:dyDescent="0.3">
      <c r="A165" s="1" t="s">
        <v>387</v>
      </c>
      <c r="B165" s="4">
        <v>45375</v>
      </c>
      <c r="C165" s="1" t="s">
        <v>157</v>
      </c>
      <c r="D165" s="1" t="s">
        <v>40</v>
      </c>
      <c r="E165" s="1" t="s">
        <v>49</v>
      </c>
      <c r="F165" s="1" t="s">
        <v>50</v>
      </c>
      <c r="G165" s="1" t="s">
        <v>33</v>
      </c>
      <c r="H165" s="1" t="s">
        <v>89</v>
      </c>
      <c r="I165" s="1" t="s">
        <v>66</v>
      </c>
      <c r="J165" s="1" t="s">
        <v>67</v>
      </c>
      <c r="K165" s="1" t="s">
        <v>28</v>
      </c>
      <c r="L165">
        <v>1</v>
      </c>
      <c r="M165">
        <v>2499</v>
      </c>
      <c r="N165">
        <v>0</v>
      </c>
      <c r="O165">
        <v>2499</v>
      </c>
      <c r="P165">
        <v>1450</v>
      </c>
      <c r="Q165">
        <v>1450</v>
      </c>
      <c r="R165">
        <v>80</v>
      </c>
      <c r="S165">
        <v>969</v>
      </c>
    </row>
    <row r="166" spans="1:19" x14ac:dyDescent="0.3">
      <c r="A166" s="1" t="s">
        <v>388</v>
      </c>
      <c r="B166" s="4">
        <v>45375</v>
      </c>
      <c r="C166" s="1" t="s">
        <v>389</v>
      </c>
      <c r="D166" s="1" t="s">
        <v>48</v>
      </c>
      <c r="E166" s="1" t="s">
        <v>41</v>
      </c>
      <c r="F166" s="1" t="s">
        <v>32</v>
      </c>
      <c r="G166" s="1" t="s">
        <v>33</v>
      </c>
      <c r="H166" s="1" t="s">
        <v>89</v>
      </c>
      <c r="I166" s="1" t="s">
        <v>26</v>
      </c>
      <c r="J166" s="1" t="s">
        <v>27</v>
      </c>
      <c r="K166" s="1" t="s">
        <v>28</v>
      </c>
      <c r="L166">
        <v>4</v>
      </c>
      <c r="M166">
        <v>799</v>
      </c>
      <c r="N166">
        <v>0.15</v>
      </c>
      <c r="O166">
        <v>2716.6</v>
      </c>
      <c r="P166">
        <v>420</v>
      </c>
      <c r="Q166">
        <v>1680</v>
      </c>
      <c r="R166">
        <v>60</v>
      </c>
      <c r="S166">
        <v>976.6</v>
      </c>
    </row>
    <row r="167" spans="1:19" x14ac:dyDescent="0.3">
      <c r="A167" s="1" t="s">
        <v>390</v>
      </c>
      <c r="B167" s="4">
        <v>45375</v>
      </c>
      <c r="C167" s="1" t="s">
        <v>75</v>
      </c>
      <c r="D167" s="1" t="s">
        <v>48</v>
      </c>
      <c r="E167" s="1" t="s">
        <v>120</v>
      </c>
      <c r="F167" s="1" t="s">
        <v>121</v>
      </c>
      <c r="G167" s="1" t="s">
        <v>33</v>
      </c>
      <c r="H167" s="1" t="s">
        <v>56</v>
      </c>
      <c r="I167" s="1" t="s">
        <v>35</v>
      </c>
      <c r="J167" s="1" t="s">
        <v>36</v>
      </c>
      <c r="K167" s="1" t="s">
        <v>37</v>
      </c>
      <c r="L167">
        <v>3</v>
      </c>
      <c r="M167">
        <v>1299</v>
      </c>
      <c r="N167">
        <v>0.1</v>
      </c>
      <c r="O167">
        <v>3507.3</v>
      </c>
      <c r="P167">
        <v>700</v>
      </c>
      <c r="Q167">
        <v>2100</v>
      </c>
      <c r="R167">
        <v>80</v>
      </c>
      <c r="S167">
        <v>1327.3</v>
      </c>
    </row>
    <row r="168" spans="1:19" x14ac:dyDescent="0.3">
      <c r="A168" s="1" t="s">
        <v>391</v>
      </c>
      <c r="B168" s="4">
        <v>45376</v>
      </c>
      <c r="C168" s="1" t="s">
        <v>392</v>
      </c>
      <c r="D168" s="1" t="s">
        <v>21</v>
      </c>
      <c r="E168" s="1" t="s">
        <v>41</v>
      </c>
      <c r="F168" s="1" t="s">
        <v>32</v>
      </c>
      <c r="G168" s="1" t="s">
        <v>42</v>
      </c>
      <c r="H168" s="1" t="s">
        <v>25</v>
      </c>
      <c r="I168" s="1" t="s">
        <v>35</v>
      </c>
      <c r="J168" s="1" t="s">
        <v>36</v>
      </c>
      <c r="K168" s="1" t="s">
        <v>37</v>
      </c>
      <c r="L168">
        <v>3</v>
      </c>
      <c r="M168">
        <v>1299</v>
      </c>
      <c r="N168">
        <v>0.15</v>
      </c>
      <c r="O168">
        <v>3312.45</v>
      </c>
      <c r="P168">
        <v>700</v>
      </c>
      <c r="Q168">
        <v>2100</v>
      </c>
      <c r="R168">
        <v>100</v>
      </c>
      <c r="S168">
        <v>1112.45</v>
      </c>
    </row>
    <row r="169" spans="1:19" x14ac:dyDescent="0.3">
      <c r="A169" s="1" t="s">
        <v>393</v>
      </c>
      <c r="B169" s="4">
        <v>45376</v>
      </c>
      <c r="C169" s="1" t="s">
        <v>394</v>
      </c>
      <c r="D169" s="1" t="s">
        <v>48</v>
      </c>
      <c r="E169" s="1" t="s">
        <v>64</v>
      </c>
      <c r="F169" s="1" t="s">
        <v>65</v>
      </c>
      <c r="G169" s="1" t="s">
        <v>33</v>
      </c>
      <c r="H169" s="1" t="s">
        <v>34</v>
      </c>
      <c r="I169" s="1" t="s">
        <v>81</v>
      </c>
      <c r="J169" s="1" t="s">
        <v>82</v>
      </c>
      <c r="K169" s="1" t="s">
        <v>61</v>
      </c>
      <c r="L169">
        <v>2</v>
      </c>
      <c r="M169">
        <v>2999</v>
      </c>
      <c r="N169">
        <v>0.1</v>
      </c>
      <c r="O169">
        <v>5398.2</v>
      </c>
      <c r="P169">
        <v>1750</v>
      </c>
      <c r="Q169">
        <v>3500</v>
      </c>
      <c r="R169">
        <v>60</v>
      </c>
      <c r="S169">
        <v>1838.2</v>
      </c>
    </row>
    <row r="170" spans="1:19" x14ac:dyDescent="0.3">
      <c r="A170" s="1" t="s">
        <v>395</v>
      </c>
      <c r="B170" s="4">
        <v>45376</v>
      </c>
      <c r="C170" s="1" t="s">
        <v>396</v>
      </c>
      <c r="D170" s="1" t="s">
        <v>40</v>
      </c>
      <c r="E170" s="1" t="s">
        <v>31</v>
      </c>
      <c r="F170" s="1" t="s">
        <v>32</v>
      </c>
      <c r="G170" s="1" t="s">
        <v>24</v>
      </c>
      <c r="H170" s="1" t="s">
        <v>25</v>
      </c>
      <c r="I170" s="1" t="s">
        <v>43</v>
      </c>
      <c r="J170" s="1" t="s">
        <v>44</v>
      </c>
      <c r="K170" s="1" t="s">
        <v>45</v>
      </c>
      <c r="L170">
        <v>3</v>
      </c>
      <c r="M170">
        <v>1799</v>
      </c>
      <c r="N170">
        <v>0.2</v>
      </c>
      <c r="O170">
        <v>4317.6000000000004</v>
      </c>
      <c r="P170">
        <v>850</v>
      </c>
      <c r="Q170">
        <v>2550</v>
      </c>
      <c r="R170">
        <v>60</v>
      </c>
      <c r="S170">
        <v>1707.6</v>
      </c>
    </row>
    <row r="171" spans="1:19" x14ac:dyDescent="0.3">
      <c r="A171" s="1" t="s">
        <v>397</v>
      </c>
      <c r="B171" s="4">
        <v>45377</v>
      </c>
      <c r="C171" s="1" t="s">
        <v>338</v>
      </c>
      <c r="D171" s="1" t="s">
        <v>21</v>
      </c>
      <c r="E171" s="1" t="s">
        <v>54</v>
      </c>
      <c r="F171" s="1" t="s">
        <v>55</v>
      </c>
      <c r="G171" s="1" t="s">
        <v>33</v>
      </c>
      <c r="H171" s="1" t="s">
        <v>56</v>
      </c>
      <c r="I171" s="1" t="s">
        <v>76</v>
      </c>
      <c r="J171" s="1" t="s">
        <v>77</v>
      </c>
      <c r="K171" s="1" t="s">
        <v>37</v>
      </c>
      <c r="L171">
        <v>1</v>
      </c>
      <c r="M171">
        <v>6999</v>
      </c>
      <c r="N171">
        <v>0.1</v>
      </c>
      <c r="O171">
        <v>6299.1</v>
      </c>
      <c r="P171">
        <v>4900</v>
      </c>
      <c r="Q171">
        <v>4900</v>
      </c>
      <c r="R171">
        <v>40</v>
      </c>
      <c r="S171">
        <v>1359.1</v>
      </c>
    </row>
    <row r="172" spans="1:19" x14ac:dyDescent="0.3">
      <c r="A172" s="1" t="s">
        <v>398</v>
      </c>
      <c r="B172" s="4">
        <v>45378</v>
      </c>
      <c r="C172" s="1" t="s">
        <v>346</v>
      </c>
      <c r="D172" s="1" t="s">
        <v>48</v>
      </c>
      <c r="E172" s="1" t="s">
        <v>54</v>
      </c>
      <c r="F172" s="1" t="s">
        <v>55</v>
      </c>
      <c r="G172" s="1" t="s">
        <v>24</v>
      </c>
      <c r="H172" s="1" t="s">
        <v>89</v>
      </c>
      <c r="I172" s="1" t="s">
        <v>66</v>
      </c>
      <c r="J172" s="1" t="s">
        <v>67</v>
      </c>
      <c r="K172" s="1" t="s">
        <v>28</v>
      </c>
      <c r="L172">
        <v>1</v>
      </c>
      <c r="M172">
        <v>2499</v>
      </c>
      <c r="N172">
        <v>0.2</v>
      </c>
      <c r="O172">
        <v>1999.2</v>
      </c>
      <c r="P172">
        <v>1450</v>
      </c>
      <c r="Q172">
        <v>1450</v>
      </c>
      <c r="R172">
        <v>80</v>
      </c>
      <c r="S172">
        <v>469.2</v>
      </c>
    </row>
    <row r="173" spans="1:19" x14ac:dyDescent="0.3">
      <c r="A173" s="1" t="s">
        <v>399</v>
      </c>
      <c r="B173" s="4">
        <v>45378</v>
      </c>
      <c r="C173" s="1" t="s">
        <v>400</v>
      </c>
      <c r="D173" s="1" t="s">
        <v>21</v>
      </c>
      <c r="E173" s="1" t="s">
        <v>112</v>
      </c>
      <c r="F173" s="1" t="s">
        <v>113</v>
      </c>
      <c r="G173" s="1" t="s">
        <v>42</v>
      </c>
      <c r="H173" s="1" t="s">
        <v>34</v>
      </c>
      <c r="I173" s="1" t="s">
        <v>92</v>
      </c>
      <c r="J173" s="1" t="s">
        <v>93</v>
      </c>
      <c r="K173" s="1" t="s">
        <v>28</v>
      </c>
      <c r="L173">
        <v>2</v>
      </c>
      <c r="M173">
        <v>1599</v>
      </c>
      <c r="N173">
        <v>0</v>
      </c>
      <c r="O173">
        <v>3198</v>
      </c>
      <c r="P173">
        <v>900</v>
      </c>
      <c r="Q173">
        <v>1800</v>
      </c>
      <c r="R173">
        <v>80</v>
      </c>
      <c r="S173">
        <v>1318</v>
      </c>
    </row>
    <row r="174" spans="1:19" x14ac:dyDescent="0.3">
      <c r="A174" s="1" t="s">
        <v>401</v>
      </c>
      <c r="B174" s="4">
        <v>45378</v>
      </c>
      <c r="C174" s="1" t="s">
        <v>402</v>
      </c>
      <c r="D174" s="1" t="s">
        <v>40</v>
      </c>
      <c r="E174" s="1" t="s">
        <v>120</v>
      </c>
      <c r="F174" s="1" t="s">
        <v>121</v>
      </c>
      <c r="G174" s="1" t="s">
        <v>24</v>
      </c>
      <c r="H174" s="1" t="s">
        <v>25</v>
      </c>
      <c r="I174" s="1" t="s">
        <v>92</v>
      </c>
      <c r="J174" s="1" t="s">
        <v>93</v>
      </c>
      <c r="K174" s="1" t="s">
        <v>28</v>
      </c>
      <c r="L174">
        <v>3</v>
      </c>
      <c r="M174">
        <v>1599</v>
      </c>
      <c r="N174">
        <v>0.05</v>
      </c>
      <c r="O174">
        <v>4557.1499999999996</v>
      </c>
      <c r="P174">
        <v>900</v>
      </c>
      <c r="Q174">
        <v>2700</v>
      </c>
      <c r="R174">
        <v>80</v>
      </c>
      <c r="S174">
        <v>1777.15</v>
      </c>
    </row>
    <row r="175" spans="1:19" x14ac:dyDescent="0.3">
      <c r="A175" s="1" t="s">
        <v>403</v>
      </c>
      <c r="B175" s="4">
        <v>45379</v>
      </c>
      <c r="C175" s="1" t="s">
        <v>404</v>
      </c>
      <c r="D175" s="1" t="s">
        <v>40</v>
      </c>
      <c r="E175" s="1" t="s">
        <v>70</v>
      </c>
      <c r="F175" s="1" t="s">
        <v>70</v>
      </c>
      <c r="G175" s="1" t="s">
        <v>24</v>
      </c>
      <c r="H175" s="1" t="s">
        <v>89</v>
      </c>
      <c r="I175" s="1" t="s">
        <v>66</v>
      </c>
      <c r="J175" s="1" t="s">
        <v>67</v>
      </c>
      <c r="K175" s="1" t="s">
        <v>28</v>
      </c>
      <c r="L175">
        <v>2</v>
      </c>
      <c r="M175">
        <v>2499</v>
      </c>
      <c r="N175">
        <v>0.2</v>
      </c>
      <c r="O175">
        <v>3998.4</v>
      </c>
      <c r="P175">
        <v>1450</v>
      </c>
      <c r="Q175">
        <v>2900</v>
      </c>
      <c r="R175">
        <v>60</v>
      </c>
      <c r="S175">
        <v>1038.4000000000001</v>
      </c>
    </row>
    <row r="176" spans="1:19" x14ac:dyDescent="0.3">
      <c r="A176" s="1" t="s">
        <v>405</v>
      </c>
      <c r="B176" s="4">
        <v>45379</v>
      </c>
      <c r="C176" s="1" t="s">
        <v>406</v>
      </c>
      <c r="D176" s="1" t="s">
        <v>40</v>
      </c>
      <c r="E176" s="1" t="s">
        <v>80</v>
      </c>
      <c r="F176" s="1" t="s">
        <v>55</v>
      </c>
      <c r="G176" s="1" t="s">
        <v>33</v>
      </c>
      <c r="H176" s="1" t="s">
        <v>56</v>
      </c>
      <c r="I176" s="1" t="s">
        <v>134</v>
      </c>
      <c r="J176" s="1" t="s">
        <v>135</v>
      </c>
      <c r="K176" s="1" t="s">
        <v>136</v>
      </c>
      <c r="L176">
        <v>1</v>
      </c>
      <c r="M176">
        <v>299</v>
      </c>
      <c r="N176">
        <v>0</v>
      </c>
      <c r="O176">
        <v>299</v>
      </c>
      <c r="P176">
        <v>110</v>
      </c>
      <c r="Q176">
        <v>110</v>
      </c>
      <c r="R176">
        <v>0</v>
      </c>
      <c r="S176">
        <v>189</v>
      </c>
    </row>
    <row r="177" spans="1:19" x14ac:dyDescent="0.3">
      <c r="A177" s="1" t="s">
        <v>407</v>
      </c>
      <c r="B177" s="4">
        <v>45379</v>
      </c>
      <c r="C177" s="1" t="s">
        <v>84</v>
      </c>
      <c r="D177" s="1" t="s">
        <v>48</v>
      </c>
      <c r="E177" s="1" t="s">
        <v>70</v>
      </c>
      <c r="F177" s="1" t="s">
        <v>70</v>
      </c>
      <c r="G177" s="1" t="s">
        <v>33</v>
      </c>
      <c r="H177" s="1" t="s">
        <v>89</v>
      </c>
      <c r="I177" s="1" t="s">
        <v>72</v>
      </c>
      <c r="J177" s="1" t="s">
        <v>73</v>
      </c>
      <c r="K177" s="1" t="s">
        <v>28</v>
      </c>
      <c r="L177">
        <v>2</v>
      </c>
      <c r="M177">
        <v>2199</v>
      </c>
      <c r="N177">
        <v>0</v>
      </c>
      <c r="O177">
        <v>4398</v>
      </c>
      <c r="P177">
        <v>1250</v>
      </c>
      <c r="Q177">
        <v>2500</v>
      </c>
      <c r="R177">
        <v>100</v>
      </c>
      <c r="S177">
        <v>1798</v>
      </c>
    </row>
    <row r="178" spans="1:19" x14ac:dyDescent="0.3">
      <c r="A178" s="1" t="s">
        <v>408</v>
      </c>
      <c r="B178" s="4">
        <v>45380</v>
      </c>
      <c r="C178" s="1" t="s">
        <v>409</v>
      </c>
      <c r="D178" s="1" t="s">
        <v>40</v>
      </c>
      <c r="E178" s="1" t="s">
        <v>112</v>
      </c>
      <c r="F178" s="1" t="s">
        <v>113</v>
      </c>
      <c r="G178" s="1" t="s">
        <v>42</v>
      </c>
      <c r="H178" s="1" t="s">
        <v>56</v>
      </c>
      <c r="I178" s="1" t="s">
        <v>35</v>
      </c>
      <c r="J178" s="1" t="s">
        <v>36</v>
      </c>
      <c r="K178" s="1" t="s">
        <v>37</v>
      </c>
      <c r="L178">
        <v>3</v>
      </c>
      <c r="M178">
        <v>1299</v>
      </c>
      <c r="N178">
        <v>0</v>
      </c>
      <c r="O178">
        <v>3897</v>
      </c>
      <c r="P178">
        <v>700</v>
      </c>
      <c r="Q178">
        <v>2100</v>
      </c>
      <c r="R178">
        <v>80</v>
      </c>
      <c r="S178">
        <v>1717</v>
      </c>
    </row>
    <row r="179" spans="1:19" x14ac:dyDescent="0.3">
      <c r="A179" s="1" t="s">
        <v>410</v>
      </c>
      <c r="B179" s="4">
        <v>45380</v>
      </c>
      <c r="C179" s="1" t="s">
        <v>411</v>
      </c>
      <c r="D179" s="1" t="s">
        <v>40</v>
      </c>
      <c r="E179" s="1" t="s">
        <v>112</v>
      </c>
      <c r="F179" s="1" t="s">
        <v>113</v>
      </c>
      <c r="G179" s="1" t="s">
        <v>24</v>
      </c>
      <c r="H179" s="1" t="s">
        <v>25</v>
      </c>
      <c r="I179" s="1" t="s">
        <v>35</v>
      </c>
      <c r="J179" s="1" t="s">
        <v>36</v>
      </c>
      <c r="K179" s="1" t="s">
        <v>37</v>
      </c>
      <c r="L179">
        <v>3</v>
      </c>
      <c r="M179">
        <v>1299</v>
      </c>
      <c r="N179">
        <v>0.05</v>
      </c>
      <c r="O179">
        <v>3702.15</v>
      </c>
      <c r="P179">
        <v>700</v>
      </c>
      <c r="Q179">
        <v>2100</v>
      </c>
      <c r="R179">
        <v>80</v>
      </c>
      <c r="S179">
        <v>1522.15</v>
      </c>
    </row>
    <row r="180" spans="1:19" x14ac:dyDescent="0.3">
      <c r="A180" s="1" t="s">
        <v>412</v>
      </c>
      <c r="B180" s="4">
        <v>45380</v>
      </c>
      <c r="C180" s="1" t="s">
        <v>413</v>
      </c>
      <c r="D180" s="1" t="s">
        <v>48</v>
      </c>
      <c r="E180" s="1" t="s">
        <v>31</v>
      </c>
      <c r="F180" s="1" t="s">
        <v>32</v>
      </c>
      <c r="G180" s="1" t="s">
        <v>24</v>
      </c>
      <c r="H180" s="1" t="s">
        <v>34</v>
      </c>
      <c r="I180" s="1" t="s">
        <v>59</v>
      </c>
      <c r="J180" s="1" t="s">
        <v>60</v>
      </c>
      <c r="K180" s="1" t="s">
        <v>61</v>
      </c>
      <c r="L180">
        <v>1</v>
      </c>
      <c r="M180">
        <v>999</v>
      </c>
      <c r="N180">
        <v>0.2</v>
      </c>
      <c r="O180">
        <v>799.2</v>
      </c>
      <c r="P180">
        <v>520</v>
      </c>
      <c r="Q180">
        <v>520</v>
      </c>
      <c r="R180">
        <v>100</v>
      </c>
      <c r="S180">
        <v>179.2</v>
      </c>
    </row>
    <row r="181" spans="1:19" x14ac:dyDescent="0.3">
      <c r="A181" s="1" t="s">
        <v>414</v>
      </c>
      <c r="B181" s="4">
        <v>45380</v>
      </c>
      <c r="C181" s="1" t="s">
        <v>415</v>
      </c>
      <c r="D181" s="1" t="s">
        <v>21</v>
      </c>
      <c r="E181" s="1" t="s">
        <v>96</v>
      </c>
      <c r="F181" s="1" t="s">
        <v>97</v>
      </c>
      <c r="G181" s="1" t="s">
        <v>33</v>
      </c>
      <c r="H181" s="1" t="s">
        <v>71</v>
      </c>
      <c r="I181" s="1" t="s">
        <v>66</v>
      </c>
      <c r="J181" s="1" t="s">
        <v>67</v>
      </c>
      <c r="K181" s="1" t="s">
        <v>28</v>
      </c>
      <c r="L181">
        <v>1</v>
      </c>
      <c r="M181">
        <v>2499</v>
      </c>
      <c r="N181">
        <v>0</v>
      </c>
      <c r="O181">
        <v>2499</v>
      </c>
      <c r="P181">
        <v>1450</v>
      </c>
      <c r="Q181">
        <v>1450</v>
      </c>
      <c r="R181">
        <v>100</v>
      </c>
      <c r="S181">
        <v>949</v>
      </c>
    </row>
    <row r="182" spans="1:19" x14ac:dyDescent="0.3">
      <c r="A182" s="1" t="s">
        <v>416</v>
      </c>
      <c r="B182" s="4">
        <v>45381</v>
      </c>
      <c r="C182" s="1" t="s">
        <v>417</v>
      </c>
      <c r="D182" s="1" t="s">
        <v>48</v>
      </c>
      <c r="E182" s="1" t="s">
        <v>41</v>
      </c>
      <c r="F182" s="1" t="s">
        <v>32</v>
      </c>
      <c r="G182" s="1" t="s">
        <v>42</v>
      </c>
      <c r="H182" s="1" t="s">
        <v>89</v>
      </c>
      <c r="I182" s="1" t="s">
        <v>35</v>
      </c>
      <c r="J182" s="1" t="s">
        <v>36</v>
      </c>
      <c r="K182" s="1" t="s">
        <v>37</v>
      </c>
      <c r="L182">
        <v>1</v>
      </c>
      <c r="M182">
        <v>1299</v>
      </c>
      <c r="N182">
        <v>0.1</v>
      </c>
      <c r="O182">
        <v>1169.0999999999999</v>
      </c>
      <c r="P182">
        <v>700</v>
      </c>
      <c r="Q182">
        <v>700</v>
      </c>
      <c r="R182">
        <v>40</v>
      </c>
      <c r="S182">
        <v>429.1</v>
      </c>
    </row>
    <row r="183" spans="1:19" x14ac:dyDescent="0.3">
      <c r="A183" s="1" t="s">
        <v>418</v>
      </c>
      <c r="B183" s="4">
        <v>45381</v>
      </c>
      <c r="C183" s="1" t="s">
        <v>69</v>
      </c>
      <c r="D183" s="1" t="s">
        <v>21</v>
      </c>
      <c r="E183" s="1" t="s">
        <v>80</v>
      </c>
      <c r="F183" s="1" t="s">
        <v>55</v>
      </c>
      <c r="G183" s="1" t="s">
        <v>33</v>
      </c>
      <c r="H183" s="1" t="s">
        <v>89</v>
      </c>
      <c r="I183" s="1" t="s">
        <v>85</v>
      </c>
      <c r="J183" s="1" t="s">
        <v>86</v>
      </c>
      <c r="K183" s="1" t="s">
        <v>45</v>
      </c>
      <c r="L183">
        <v>1</v>
      </c>
      <c r="M183">
        <v>599</v>
      </c>
      <c r="N183">
        <v>0</v>
      </c>
      <c r="O183">
        <v>599</v>
      </c>
      <c r="P183">
        <v>240</v>
      </c>
      <c r="Q183">
        <v>240</v>
      </c>
      <c r="R183">
        <v>0</v>
      </c>
      <c r="S183">
        <v>359</v>
      </c>
    </row>
    <row r="184" spans="1:19" x14ac:dyDescent="0.3">
      <c r="A184" s="1" t="s">
        <v>419</v>
      </c>
      <c r="B184" s="4">
        <v>45381</v>
      </c>
      <c r="C184" s="1" t="s">
        <v>420</v>
      </c>
      <c r="D184" s="1" t="s">
        <v>48</v>
      </c>
      <c r="E184" s="1" t="s">
        <v>49</v>
      </c>
      <c r="F184" s="1" t="s">
        <v>50</v>
      </c>
      <c r="G184" s="1" t="s">
        <v>24</v>
      </c>
      <c r="H184" s="1" t="s">
        <v>25</v>
      </c>
      <c r="I184" s="1" t="s">
        <v>134</v>
      </c>
      <c r="J184" s="1" t="s">
        <v>135</v>
      </c>
      <c r="K184" s="1" t="s">
        <v>136</v>
      </c>
      <c r="L184">
        <v>1</v>
      </c>
      <c r="M184">
        <v>299</v>
      </c>
      <c r="N184">
        <v>0</v>
      </c>
      <c r="O184">
        <v>299</v>
      </c>
      <c r="P184">
        <v>110</v>
      </c>
      <c r="Q184">
        <v>110</v>
      </c>
      <c r="R184">
        <v>0</v>
      </c>
      <c r="S184">
        <v>189</v>
      </c>
    </row>
    <row r="185" spans="1:19" x14ac:dyDescent="0.3">
      <c r="A185" s="1" t="s">
        <v>421</v>
      </c>
      <c r="B185" s="4">
        <v>45381</v>
      </c>
      <c r="C185" s="1" t="s">
        <v>422</v>
      </c>
      <c r="D185" s="1" t="s">
        <v>40</v>
      </c>
      <c r="E185" s="1" t="s">
        <v>49</v>
      </c>
      <c r="F185" s="1" t="s">
        <v>50</v>
      </c>
      <c r="G185" s="1" t="s">
        <v>24</v>
      </c>
      <c r="H185" s="1" t="s">
        <v>71</v>
      </c>
      <c r="I185" s="1" t="s">
        <v>66</v>
      </c>
      <c r="J185" s="1" t="s">
        <v>67</v>
      </c>
      <c r="K185" s="1" t="s">
        <v>28</v>
      </c>
      <c r="L185">
        <v>1</v>
      </c>
      <c r="M185">
        <v>2499</v>
      </c>
      <c r="N185">
        <v>0.2</v>
      </c>
      <c r="O185">
        <v>1999.2</v>
      </c>
      <c r="P185">
        <v>1450</v>
      </c>
      <c r="Q185">
        <v>1450</v>
      </c>
      <c r="R185">
        <v>100</v>
      </c>
      <c r="S185">
        <v>449.2</v>
      </c>
    </row>
    <row r="186" spans="1:19" x14ac:dyDescent="0.3">
      <c r="A186" s="1" t="s">
        <v>423</v>
      </c>
      <c r="B186" s="4">
        <v>45381</v>
      </c>
      <c r="C186" s="1" t="s">
        <v>176</v>
      </c>
      <c r="D186" s="1" t="s">
        <v>48</v>
      </c>
      <c r="E186" s="1" t="s">
        <v>120</v>
      </c>
      <c r="F186" s="1" t="s">
        <v>121</v>
      </c>
      <c r="G186" s="1" t="s">
        <v>24</v>
      </c>
      <c r="H186" s="1" t="s">
        <v>71</v>
      </c>
      <c r="I186" s="1" t="s">
        <v>81</v>
      </c>
      <c r="J186" s="1" t="s">
        <v>82</v>
      </c>
      <c r="K186" s="1" t="s">
        <v>61</v>
      </c>
      <c r="L186">
        <v>2</v>
      </c>
      <c r="M186">
        <v>2999</v>
      </c>
      <c r="N186">
        <v>0</v>
      </c>
      <c r="O186">
        <v>5998</v>
      </c>
      <c r="P186">
        <v>1750</v>
      </c>
      <c r="Q186">
        <v>3500</v>
      </c>
      <c r="R186">
        <v>0</v>
      </c>
      <c r="S186">
        <v>2498</v>
      </c>
    </row>
    <row r="187" spans="1:19" x14ac:dyDescent="0.3">
      <c r="A187" s="1" t="s">
        <v>424</v>
      </c>
      <c r="B187" s="4">
        <v>45382</v>
      </c>
      <c r="C187" s="1" t="s">
        <v>425</v>
      </c>
      <c r="D187" s="1" t="s">
        <v>40</v>
      </c>
      <c r="E187" s="1" t="s">
        <v>96</v>
      </c>
      <c r="F187" s="1" t="s">
        <v>97</v>
      </c>
      <c r="G187" s="1" t="s">
        <v>42</v>
      </c>
      <c r="H187" s="1" t="s">
        <v>34</v>
      </c>
      <c r="I187" s="1" t="s">
        <v>43</v>
      </c>
      <c r="J187" s="1" t="s">
        <v>44</v>
      </c>
      <c r="K187" s="1" t="s">
        <v>45</v>
      </c>
      <c r="L187">
        <v>2</v>
      </c>
      <c r="M187">
        <v>1799</v>
      </c>
      <c r="N187">
        <v>0</v>
      </c>
      <c r="O187">
        <v>3598</v>
      </c>
      <c r="P187">
        <v>850</v>
      </c>
      <c r="Q187">
        <v>1700</v>
      </c>
      <c r="R187">
        <v>80</v>
      </c>
      <c r="S187">
        <v>1818</v>
      </c>
    </row>
    <row r="188" spans="1:19" x14ac:dyDescent="0.3">
      <c r="A188" s="1" t="s">
        <v>426</v>
      </c>
      <c r="B188" s="4">
        <v>45383</v>
      </c>
      <c r="C188" s="1" t="s">
        <v>427</v>
      </c>
      <c r="D188" s="1" t="s">
        <v>21</v>
      </c>
      <c r="E188" s="1" t="s">
        <v>70</v>
      </c>
      <c r="F188" s="1" t="s">
        <v>70</v>
      </c>
      <c r="G188" s="1" t="s">
        <v>42</v>
      </c>
      <c r="H188" s="1" t="s">
        <v>71</v>
      </c>
      <c r="I188" s="1" t="s">
        <v>134</v>
      </c>
      <c r="J188" s="1" t="s">
        <v>135</v>
      </c>
      <c r="K188" s="1" t="s">
        <v>136</v>
      </c>
      <c r="L188">
        <v>1</v>
      </c>
      <c r="M188">
        <v>299</v>
      </c>
      <c r="N188">
        <v>0.15</v>
      </c>
      <c r="O188">
        <v>254.15</v>
      </c>
      <c r="P188">
        <v>110</v>
      </c>
      <c r="Q188">
        <v>110</v>
      </c>
      <c r="R188">
        <v>80</v>
      </c>
      <c r="S188">
        <v>64.150000000000006</v>
      </c>
    </row>
    <row r="189" spans="1:19" x14ac:dyDescent="0.3">
      <c r="A189" s="1" t="s">
        <v>428</v>
      </c>
      <c r="B189" s="4">
        <v>45383</v>
      </c>
      <c r="C189" s="1" t="s">
        <v>429</v>
      </c>
      <c r="D189" s="1" t="s">
        <v>21</v>
      </c>
      <c r="E189" s="1" t="s">
        <v>124</v>
      </c>
      <c r="F189" s="1" t="s">
        <v>125</v>
      </c>
      <c r="G189" s="1" t="s">
        <v>42</v>
      </c>
      <c r="H189" s="1" t="s">
        <v>71</v>
      </c>
      <c r="I189" s="1" t="s">
        <v>81</v>
      </c>
      <c r="J189" s="1" t="s">
        <v>82</v>
      </c>
      <c r="K189" s="1" t="s">
        <v>61</v>
      </c>
      <c r="L189">
        <v>2</v>
      </c>
      <c r="M189">
        <v>2999</v>
      </c>
      <c r="N189">
        <v>0.15</v>
      </c>
      <c r="O189">
        <v>5098.3</v>
      </c>
      <c r="P189">
        <v>1750</v>
      </c>
      <c r="Q189">
        <v>3500</v>
      </c>
      <c r="R189">
        <v>100</v>
      </c>
      <c r="S189">
        <v>1498.3</v>
      </c>
    </row>
    <row r="190" spans="1:19" x14ac:dyDescent="0.3">
      <c r="A190" s="1" t="s">
        <v>430</v>
      </c>
      <c r="B190" s="4">
        <v>45384</v>
      </c>
      <c r="C190" s="1" t="s">
        <v>413</v>
      </c>
      <c r="D190" s="1" t="s">
        <v>21</v>
      </c>
      <c r="E190" s="1" t="s">
        <v>112</v>
      </c>
      <c r="F190" s="1" t="s">
        <v>113</v>
      </c>
      <c r="G190" s="1" t="s">
        <v>42</v>
      </c>
      <c r="H190" s="1" t="s">
        <v>25</v>
      </c>
      <c r="I190" s="1" t="s">
        <v>59</v>
      </c>
      <c r="J190" s="1" t="s">
        <v>60</v>
      </c>
      <c r="K190" s="1" t="s">
        <v>61</v>
      </c>
      <c r="L190">
        <v>3</v>
      </c>
      <c r="M190">
        <v>999</v>
      </c>
      <c r="N190">
        <v>0.15</v>
      </c>
      <c r="O190">
        <v>2547.4499999999998</v>
      </c>
      <c r="P190">
        <v>520</v>
      </c>
      <c r="Q190">
        <v>1560</v>
      </c>
      <c r="R190">
        <v>40</v>
      </c>
      <c r="S190">
        <v>947.45</v>
      </c>
    </row>
    <row r="191" spans="1:19" x14ac:dyDescent="0.3">
      <c r="A191" s="1" t="s">
        <v>431</v>
      </c>
      <c r="B191" s="4">
        <v>45384</v>
      </c>
      <c r="C191" s="1" t="s">
        <v>402</v>
      </c>
      <c r="D191" s="1" t="s">
        <v>40</v>
      </c>
      <c r="E191" s="1" t="s">
        <v>31</v>
      </c>
      <c r="F191" s="1" t="s">
        <v>32</v>
      </c>
      <c r="G191" s="1" t="s">
        <v>42</v>
      </c>
      <c r="H191" s="1" t="s">
        <v>71</v>
      </c>
      <c r="I191" s="1" t="s">
        <v>59</v>
      </c>
      <c r="J191" s="1" t="s">
        <v>60</v>
      </c>
      <c r="K191" s="1" t="s">
        <v>61</v>
      </c>
      <c r="L191">
        <v>2</v>
      </c>
      <c r="M191">
        <v>999</v>
      </c>
      <c r="N191">
        <v>0</v>
      </c>
      <c r="O191">
        <v>1998</v>
      </c>
      <c r="P191">
        <v>520</v>
      </c>
      <c r="Q191">
        <v>1040</v>
      </c>
      <c r="R191">
        <v>40</v>
      </c>
      <c r="S191">
        <v>918</v>
      </c>
    </row>
    <row r="192" spans="1:19" x14ac:dyDescent="0.3">
      <c r="A192" s="1" t="s">
        <v>432</v>
      </c>
      <c r="B192" s="4">
        <v>45384</v>
      </c>
      <c r="C192" s="1" t="s">
        <v>433</v>
      </c>
      <c r="D192" s="1" t="s">
        <v>48</v>
      </c>
      <c r="E192" s="1" t="s">
        <v>31</v>
      </c>
      <c r="F192" s="1" t="s">
        <v>32</v>
      </c>
      <c r="G192" s="1" t="s">
        <v>33</v>
      </c>
      <c r="H192" s="1" t="s">
        <v>34</v>
      </c>
      <c r="I192" s="1" t="s">
        <v>72</v>
      </c>
      <c r="J192" s="1" t="s">
        <v>73</v>
      </c>
      <c r="K192" s="1" t="s">
        <v>28</v>
      </c>
      <c r="L192">
        <v>1</v>
      </c>
      <c r="M192">
        <v>2199</v>
      </c>
      <c r="N192">
        <v>0</v>
      </c>
      <c r="O192">
        <v>2199</v>
      </c>
      <c r="P192">
        <v>1250</v>
      </c>
      <c r="Q192">
        <v>1250</v>
      </c>
      <c r="R192">
        <v>100</v>
      </c>
      <c r="S192">
        <v>849</v>
      </c>
    </row>
    <row r="193" spans="1:19" x14ac:dyDescent="0.3">
      <c r="A193" s="1" t="s">
        <v>434</v>
      </c>
      <c r="B193" s="4">
        <v>45384</v>
      </c>
      <c r="C193" s="1" t="s">
        <v>435</v>
      </c>
      <c r="D193" s="1" t="s">
        <v>40</v>
      </c>
      <c r="E193" s="1" t="s">
        <v>120</v>
      </c>
      <c r="F193" s="1" t="s">
        <v>121</v>
      </c>
      <c r="G193" s="1" t="s">
        <v>33</v>
      </c>
      <c r="H193" s="1" t="s">
        <v>89</v>
      </c>
      <c r="I193" s="1" t="s">
        <v>26</v>
      </c>
      <c r="J193" s="1" t="s">
        <v>27</v>
      </c>
      <c r="K193" s="1" t="s">
        <v>28</v>
      </c>
      <c r="L193">
        <v>1</v>
      </c>
      <c r="M193">
        <v>799</v>
      </c>
      <c r="N193">
        <v>0</v>
      </c>
      <c r="O193">
        <v>799</v>
      </c>
      <c r="P193">
        <v>420</v>
      </c>
      <c r="Q193">
        <v>420</v>
      </c>
      <c r="R193">
        <v>0</v>
      </c>
      <c r="S193">
        <v>379</v>
      </c>
    </row>
    <row r="194" spans="1:19" x14ac:dyDescent="0.3">
      <c r="A194" s="1" t="s">
        <v>436</v>
      </c>
      <c r="B194" s="4">
        <v>45385</v>
      </c>
      <c r="C194" s="1" t="s">
        <v>437</v>
      </c>
      <c r="D194" s="1" t="s">
        <v>48</v>
      </c>
      <c r="E194" s="1" t="s">
        <v>54</v>
      </c>
      <c r="F194" s="1" t="s">
        <v>55</v>
      </c>
      <c r="G194" s="1" t="s">
        <v>33</v>
      </c>
      <c r="H194" s="1" t="s">
        <v>89</v>
      </c>
      <c r="I194" s="1" t="s">
        <v>51</v>
      </c>
      <c r="J194" s="1" t="s">
        <v>52</v>
      </c>
      <c r="K194" s="1" t="s">
        <v>37</v>
      </c>
      <c r="L194">
        <v>5</v>
      </c>
      <c r="M194">
        <v>499</v>
      </c>
      <c r="N194">
        <v>0.15</v>
      </c>
      <c r="O194">
        <v>2120.75</v>
      </c>
      <c r="P194">
        <v>180</v>
      </c>
      <c r="Q194">
        <v>900</v>
      </c>
      <c r="R194">
        <v>100</v>
      </c>
      <c r="S194">
        <v>1120.75</v>
      </c>
    </row>
    <row r="195" spans="1:19" x14ac:dyDescent="0.3">
      <c r="A195" s="1" t="s">
        <v>438</v>
      </c>
      <c r="B195" s="4">
        <v>45385</v>
      </c>
      <c r="C195" s="1" t="s">
        <v>439</v>
      </c>
      <c r="D195" s="1" t="s">
        <v>40</v>
      </c>
      <c r="E195" s="1" t="s">
        <v>41</v>
      </c>
      <c r="F195" s="1" t="s">
        <v>32</v>
      </c>
      <c r="G195" s="1" t="s">
        <v>33</v>
      </c>
      <c r="H195" s="1" t="s">
        <v>34</v>
      </c>
      <c r="I195" s="1" t="s">
        <v>43</v>
      </c>
      <c r="J195" s="1" t="s">
        <v>44</v>
      </c>
      <c r="K195" s="1" t="s">
        <v>45</v>
      </c>
      <c r="L195">
        <v>1</v>
      </c>
      <c r="M195">
        <v>1799</v>
      </c>
      <c r="N195">
        <v>0.05</v>
      </c>
      <c r="O195">
        <v>1709.05</v>
      </c>
      <c r="P195">
        <v>850</v>
      </c>
      <c r="Q195">
        <v>850</v>
      </c>
      <c r="R195">
        <v>60</v>
      </c>
      <c r="S195">
        <v>799.05</v>
      </c>
    </row>
    <row r="196" spans="1:19" x14ac:dyDescent="0.3">
      <c r="A196" s="1" t="s">
        <v>440</v>
      </c>
      <c r="B196" s="4">
        <v>45385</v>
      </c>
      <c r="C196" s="1" t="s">
        <v>441</v>
      </c>
      <c r="D196" s="1" t="s">
        <v>40</v>
      </c>
      <c r="E196" s="1" t="s">
        <v>64</v>
      </c>
      <c r="F196" s="1" t="s">
        <v>65</v>
      </c>
      <c r="G196" s="1" t="s">
        <v>33</v>
      </c>
      <c r="H196" s="1" t="s">
        <v>71</v>
      </c>
      <c r="I196" s="1" t="s">
        <v>72</v>
      </c>
      <c r="J196" s="1" t="s">
        <v>73</v>
      </c>
      <c r="K196" s="1" t="s">
        <v>28</v>
      </c>
      <c r="L196">
        <v>2</v>
      </c>
      <c r="M196">
        <v>2199</v>
      </c>
      <c r="N196">
        <v>0.1</v>
      </c>
      <c r="O196">
        <v>3958.2</v>
      </c>
      <c r="P196">
        <v>1250</v>
      </c>
      <c r="Q196">
        <v>2500</v>
      </c>
      <c r="R196">
        <v>80</v>
      </c>
      <c r="S196">
        <v>1378.2</v>
      </c>
    </row>
    <row r="197" spans="1:19" x14ac:dyDescent="0.3">
      <c r="A197" s="1" t="s">
        <v>442</v>
      </c>
      <c r="B197" s="4">
        <v>45387</v>
      </c>
      <c r="C197" s="1" t="s">
        <v>443</v>
      </c>
      <c r="D197" s="1" t="s">
        <v>21</v>
      </c>
      <c r="E197" s="1" t="s">
        <v>96</v>
      </c>
      <c r="F197" s="1" t="s">
        <v>97</v>
      </c>
      <c r="G197" s="1" t="s">
        <v>24</v>
      </c>
      <c r="H197" s="1" t="s">
        <v>25</v>
      </c>
      <c r="I197" s="1" t="s">
        <v>26</v>
      </c>
      <c r="J197" s="1" t="s">
        <v>27</v>
      </c>
      <c r="K197" s="1" t="s">
        <v>28</v>
      </c>
      <c r="L197">
        <v>4</v>
      </c>
      <c r="M197">
        <v>799</v>
      </c>
      <c r="N197">
        <v>0.15</v>
      </c>
      <c r="O197">
        <v>2716.6</v>
      </c>
      <c r="P197">
        <v>420</v>
      </c>
      <c r="Q197">
        <v>1680</v>
      </c>
      <c r="R197">
        <v>80</v>
      </c>
      <c r="S197">
        <v>956.6</v>
      </c>
    </row>
    <row r="198" spans="1:19" x14ac:dyDescent="0.3">
      <c r="A198" s="1" t="s">
        <v>444</v>
      </c>
      <c r="B198" s="4">
        <v>45387</v>
      </c>
      <c r="C198" s="1" t="s">
        <v>445</v>
      </c>
      <c r="D198" s="1" t="s">
        <v>48</v>
      </c>
      <c r="E198" s="1" t="s">
        <v>70</v>
      </c>
      <c r="F198" s="1" t="s">
        <v>70</v>
      </c>
      <c r="G198" s="1" t="s">
        <v>24</v>
      </c>
      <c r="H198" s="1" t="s">
        <v>89</v>
      </c>
      <c r="I198" s="1" t="s">
        <v>26</v>
      </c>
      <c r="J198" s="1" t="s">
        <v>27</v>
      </c>
      <c r="K198" s="1" t="s">
        <v>28</v>
      </c>
      <c r="L198">
        <v>2</v>
      </c>
      <c r="M198">
        <v>799</v>
      </c>
      <c r="N198">
        <v>0.2</v>
      </c>
      <c r="O198">
        <v>1278.4000000000001</v>
      </c>
      <c r="P198">
        <v>420</v>
      </c>
      <c r="Q198">
        <v>840</v>
      </c>
      <c r="R198">
        <v>100</v>
      </c>
      <c r="S198">
        <v>338.4</v>
      </c>
    </row>
    <row r="199" spans="1:19" x14ac:dyDescent="0.3">
      <c r="A199" s="1" t="s">
        <v>446</v>
      </c>
      <c r="B199" s="4">
        <v>45387</v>
      </c>
      <c r="C199" s="1" t="s">
        <v>447</v>
      </c>
      <c r="D199" s="1" t="s">
        <v>48</v>
      </c>
      <c r="E199" s="1" t="s">
        <v>41</v>
      </c>
      <c r="F199" s="1" t="s">
        <v>32</v>
      </c>
      <c r="G199" s="1" t="s">
        <v>33</v>
      </c>
      <c r="H199" s="1" t="s">
        <v>34</v>
      </c>
      <c r="I199" s="1" t="s">
        <v>72</v>
      </c>
      <c r="J199" s="1" t="s">
        <v>73</v>
      </c>
      <c r="K199" s="1" t="s">
        <v>28</v>
      </c>
      <c r="L199">
        <v>2</v>
      </c>
      <c r="M199">
        <v>2199</v>
      </c>
      <c r="N199">
        <v>0.1</v>
      </c>
      <c r="O199">
        <v>3958.2</v>
      </c>
      <c r="P199">
        <v>1250</v>
      </c>
      <c r="Q199">
        <v>2500</v>
      </c>
      <c r="R199">
        <v>60</v>
      </c>
      <c r="S199">
        <v>1398.2</v>
      </c>
    </row>
    <row r="200" spans="1:19" x14ac:dyDescent="0.3">
      <c r="A200" s="1" t="s">
        <v>448</v>
      </c>
      <c r="B200" s="4">
        <v>45387</v>
      </c>
      <c r="C200" s="1" t="s">
        <v>281</v>
      </c>
      <c r="D200" s="1" t="s">
        <v>48</v>
      </c>
      <c r="E200" s="1" t="s">
        <v>80</v>
      </c>
      <c r="F200" s="1" t="s">
        <v>55</v>
      </c>
      <c r="G200" s="1" t="s">
        <v>33</v>
      </c>
      <c r="H200" s="1" t="s">
        <v>56</v>
      </c>
      <c r="I200" s="1" t="s">
        <v>72</v>
      </c>
      <c r="J200" s="1" t="s">
        <v>73</v>
      </c>
      <c r="K200" s="1" t="s">
        <v>28</v>
      </c>
      <c r="L200">
        <v>5</v>
      </c>
      <c r="M200">
        <v>2199</v>
      </c>
      <c r="N200">
        <v>0.2</v>
      </c>
      <c r="O200">
        <v>8796</v>
      </c>
      <c r="P200">
        <v>1250</v>
      </c>
      <c r="Q200">
        <v>6250</v>
      </c>
      <c r="R200">
        <v>60</v>
      </c>
      <c r="S200">
        <v>2486</v>
      </c>
    </row>
    <row r="201" spans="1:19" x14ac:dyDescent="0.3">
      <c r="A201" s="1" t="s">
        <v>449</v>
      </c>
      <c r="B201" s="4">
        <v>45387</v>
      </c>
      <c r="C201" s="1" t="s">
        <v>129</v>
      </c>
      <c r="D201" s="1" t="s">
        <v>21</v>
      </c>
      <c r="E201" s="1" t="s">
        <v>54</v>
      </c>
      <c r="F201" s="1" t="s">
        <v>55</v>
      </c>
      <c r="G201" s="1" t="s">
        <v>42</v>
      </c>
      <c r="H201" s="1" t="s">
        <v>56</v>
      </c>
      <c r="I201" s="1" t="s">
        <v>76</v>
      </c>
      <c r="J201" s="1" t="s">
        <v>77</v>
      </c>
      <c r="K201" s="1" t="s">
        <v>37</v>
      </c>
      <c r="L201">
        <v>2</v>
      </c>
      <c r="M201">
        <v>6999</v>
      </c>
      <c r="N201">
        <v>0.15</v>
      </c>
      <c r="O201">
        <v>11898.3</v>
      </c>
      <c r="P201">
        <v>4900</v>
      </c>
      <c r="Q201">
        <v>9800</v>
      </c>
      <c r="R201">
        <v>60</v>
      </c>
      <c r="S201">
        <v>2038.3</v>
      </c>
    </row>
    <row r="202" spans="1:19" x14ac:dyDescent="0.3">
      <c r="A202" s="1" t="s">
        <v>450</v>
      </c>
      <c r="B202" s="4">
        <v>45387</v>
      </c>
      <c r="C202" s="1" t="s">
        <v>451</v>
      </c>
      <c r="D202" s="1" t="s">
        <v>40</v>
      </c>
      <c r="E202" s="1" t="s">
        <v>54</v>
      </c>
      <c r="F202" s="1" t="s">
        <v>55</v>
      </c>
      <c r="G202" s="1" t="s">
        <v>24</v>
      </c>
      <c r="H202" s="1" t="s">
        <v>56</v>
      </c>
      <c r="I202" s="1" t="s">
        <v>59</v>
      </c>
      <c r="J202" s="1" t="s">
        <v>60</v>
      </c>
      <c r="K202" s="1" t="s">
        <v>61</v>
      </c>
      <c r="L202">
        <v>1</v>
      </c>
      <c r="M202">
        <v>999</v>
      </c>
      <c r="N202">
        <v>0.15</v>
      </c>
      <c r="O202">
        <v>849.15</v>
      </c>
      <c r="P202">
        <v>520</v>
      </c>
      <c r="Q202">
        <v>520</v>
      </c>
      <c r="R202">
        <v>80</v>
      </c>
      <c r="S202">
        <v>249.15</v>
      </c>
    </row>
    <row r="203" spans="1:19" x14ac:dyDescent="0.3">
      <c r="A203" s="1" t="s">
        <v>452</v>
      </c>
      <c r="B203" s="4">
        <v>45389</v>
      </c>
      <c r="C203" s="1" t="s">
        <v>453</v>
      </c>
      <c r="D203" s="1" t="s">
        <v>48</v>
      </c>
      <c r="E203" s="1" t="s">
        <v>120</v>
      </c>
      <c r="F203" s="1" t="s">
        <v>121</v>
      </c>
      <c r="G203" s="1" t="s">
        <v>42</v>
      </c>
      <c r="H203" s="1" t="s">
        <v>25</v>
      </c>
      <c r="I203" s="1" t="s">
        <v>85</v>
      </c>
      <c r="J203" s="1" t="s">
        <v>86</v>
      </c>
      <c r="K203" s="1" t="s">
        <v>45</v>
      </c>
      <c r="L203">
        <v>1</v>
      </c>
      <c r="M203">
        <v>599</v>
      </c>
      <c r="N203">
        <v>0.15</v>
      </c>
      <c r="O203">
        <v>509.15</v>
      </c>
      <c r="P203">
        <v>240</v>
      </c>
      <c r="Q203">
        <v>240</v>
      </c>
      <c r="R203">
        <v>60</v>
      </c>
      <c r="S203">
        <v>209.15</v>
      </c>
    </row>
    <row r="204" spans="1:19" x14ac:dyDescent="0.3">
      <c r="A204" s="1" t="s">
        <v>454</v>
      </c>
      <c r="B204" s="4">
        <v>45389</v>
      </c>
      <c r="C204" s="1" t="s">
        <v>455</v>
      </c>
      <c r="D204" s="1" t="s">
        <v>48</v>
      </c>
      <c r="E204" s="1" t="s">
        <v>124</v>
      </c>
      <c r="F204" s="1" t="s">
        <v>125</v>
      </c>
      <c r="G204" s="1" t="s">
        <v>24</v>
      </c>
      <c r="H204" s="1" t="s">
        <v>34</v>
      </c>
      <c r="I204" s="1" t="s">
        <v>59</v>
      </c>
      <c r="J204" s="1" t="s">
        <v>60</v>
      </c>
      <c r="K204" s="1" t="s">
        <v>61</v>
      </c>
      <c r="L204">
        <v>2</v>
      </c>
      <c r="M204">
        <v>999</v>
      </c>
      <c r="N204">
        <v>0</v>
      </c>
      <c r="O204">
        <v>1998</v>
      </c>
      <c r="P204">
        <v>520</v>
      </c>
      <c r="Q204">
        <v>1040</v>
      </c>
      <c r="R204">
        <v>80</v>
      </c>
      <c r="S204">
        <v>878</v>
      </c>
    </row>
    <row r="205" spans="1:19" x14ac:dyDescent="0.3">
      <c r="A205" s="1" t="s">
        <v>456</v>
      </c>
      <c r="B205" s="4">
        <v>45390</v>
      </c>
      <c r="C205" s="1" t="s">
        <v>457</v>
      </c>
      <c r="D205" s="1" t="s">
        <v>40</v>
      </c>
      <c r="E205" s="1" t="s">
        <v>41</v>
      </c>
      <c r="F205" s="1" t="s">
        <v>32</v>
      </c>
      <c r="G205" s="1" t="s">
        <v>33</v>
      </c>
      <c r="H205" s="1" t="s">
        <v>34</v>
      </c>
      <c r="I205" s="1" t="s">
        <v>134</v>
      </c>
      <c r="J205" s="1" t="s">
        <v>135</v>
      </c>
      <c r="K205" s="1" t="s">
        <v>136</v>
      </c>
      <c r="L205">
        <v>3</v>
      </c>
      <c r="M205">
        <v>299</v>
      </c>
      <c r="N205">
        <v>0</v>
      </c>
      <c r="O205">
        <v>897</v>
      </c>
      <c r="P205">
        <v>110</v>
      </c>
      <c r="Q205">
        <v>330</v>
      </c>
      <c r="R205">
        <v>100</v>
      </c>
      <c r="S205">
        <v>467</v>
      </c>
    </row>
    <row r="206" spans="1:19" x14ac:dyDescent="0.3">
      <c r="A206" s="1" t="s">
        <v>458</v>
      </c>
      <c r="B206" s="4">
        <v>45390</v>
      </c>
      <c r="C206" s="1" t="s">
        <v>47</v>
      </c>
      <c r="D206" s="1" t="s">
        <v>21</v>
      </c>
      <c r="E206" s="1" t="s">
        <v>70</v>
      </c>
      <c r="F206" s="1" t="s">
        <v>70</v>
      </c>
      <c r="G206" s="1" t="s">
        <v>33</v>
      </c>
      <c r="H206" s="1" t="s">
        <v>34</v>
      </c>
      <c r="I206" s="1" t="s">
        <v>85</v>
      </c>
      <c r="J206" s="1" t="s">
        <v>86</v>
      </c>
      <c r="K206" s="1" t="s">
        <v>45</v>
      </c>
      <c r="L206">
        <v>2</v>
      </c>
      <c r="M206">
        <v>599</v>
      </c>
      <c r="N206">
        <v>0</v>
      </c>
      <c r="O206">
        <v>1198</v>
      </c>
      <c r="P206">
        <v>240</v>
      </c>
      <c r="Q206">
        <v>480</v>
      </c>
      <c r="R206">
        <v>0</v>
      </c>
      <c r="S206">
        <v>718</v>
      </c>
    </row>
    <row r="207" spans="1:19" x14ac:dyDescent="0.3">
      <c r="A207" s="1" t="s">
        <v>459</v>
      </c>
      <c r="B207" s="4">
        <v>45391</v>
      </c>
      <c r="C207" s="1" t="s">
        <v>460</v>
      </c>
      <c r="D207" s="1" t="s">
        <v>48</v>
      </c>
      <c r="E207" s="1" t="s">
        <v>64</v>
      </c>
      <c r="F207" s="1" t="s">
        <v>65</v>
      </c>
      <c r="G207" s="1" t="s">
        <v>24</v>
      </c>
      <c r="H207" s="1" t="s">
        <v>89</v>
      </c>
      <c r="I207" s="1" t="s">
        <v>51</v>
      </c>
      <c r="J207" s="1" t="s">
        <v>52</v>
      </c>
      <c r="K207" s="1" t="s">
        <v>37</v>
      </c>
      <c r="L207">
        <v>4</v>
      </c>
      <c r="M207">
        <v>499</v>
      </c>
      <c r="N207">
        <v>0</v>
      </c>
      <c r="O207">
        <v>1996</v>
      </c>
      <c r="P207">
        <v>180</v>
      </c>
      <c r="Q207">
        <v>720</v>
      </c>
      <c r="R207">
        <v>80</v>
      </c>
      <c r="S207">
        <v>1196</v>
      </c>
    </row>
    <row r="208" spans="1:19" x14ac:dyDescent="0.3">
      <c r="A208" s="1" t="s">
        <v>461</v>
      </c>
      <c r="B208" s="4">
        <v>45391</v>
      </c>
      <c r="C208" s="1" t="s">
        <v>161</v>
      </c>
      <c r="D208" s="1" t="s">
        <v>21</v>
      </c>
      <c r="E208" s="1" t="s">
        <v>120</v>
      </c>
      <c r="F208" s="1" t="s">
        <v>121</v>
      </c>
      <c r="G208" s="1" t="s">
        <v>42</v>
      </c>
      <c r="H208" s="1" t="s">
        <v>25</v>
      </c>
      <c r="I208" s="1" t="s">
        <v>51</v>
      </c>
      <c r="J208" s="1" t="s">
        <v>52</v>
      </c>
      <c r="K208" s="1" t="s">
        <v>37</v>
      </c>
      <c r="L208">
        <v>1</v>
      </c>
      <c r="M208">
        <v>499</v>
      </c>
      <c r="N208">
        <v>0.1</v>
      </c>
      <c r="O208">
        <v>449.1</v>
      </c>
      <c r="P208">
        <v>180</v>
      </c>
      <c r="Q208">
        <v>180</v>
      </c>
      <c r="R208">
        <v>0</v>
      </c>
      <c r="S208">
        <v>269.10000000000002</v>
      </c>
    </row>
    <row r="209" spans="1:19" x14ac:dyDescent="0.3">
      <c r="A209" s="1" t="s">
        <v>462</v>
      </c>
      <c r="B209" s="4">
        <v>45392</v>
      </c>
      <c r="C209" s="1" t="s">
        <v>163</v>
      </c>
      <c r="D209" s="1" t="s">
        <v>48</v>
      </c>
      <c r="E209" s="1" t="s">
        <v>80</v>
      </c>
      <c r="F209" s="1" t="s">
        <v>55</v>
      </c>
      <c r="G209" s="1" t="s">
        <v>24</v>
      </c>
      <c r="H209" s="1" t="s">
        <v>34</v>
      </c>
      <c r="I209" s="1" t="s">
        <v>59</v>
      </c>
      <c r="J209" s="1" t="s">
        <v>60</v>
      </c>
      <c r="K209" s="1" t="s">
        <v>61</v>
      </c>
      <c r="L209">
        <v>1</v>
      </c>
      <c r="M209">
        <v>999</v>
      </c>
      <c r="N209">
        <v>0.1</v>
      </c>
      <c r="O209">
        <v>899.1</v>
      </c>
      <c r="P209">
        <v>520</v>
      </c>
      <c r="Q209">
        <v>520</v>
      </c>
      <c r="R209">
        <v>40</v>
      </c>
      <c r="S209">
        <v>339.1</v>
      </c>
    </row>
    <row r="210" spans="1:19" x14ac:dyDescent="0.3">
      <c r="A210" s="1" t="s">
        <v>463</v>
      </c>
      <c r="B210" s="4">
        <v>45392</v>
      </c>
      <c r="C210" s="1" t="s">
        <v>464</v>
      </c>
      <c r="D210" s="1" t="s">
        <v>48</v>
      </c>
      <c r="E210" s="1" t="s">
        <v>120</v>
      </c>
      <c r="F210" s="1" t="s">
        <v>121</v>
      </c>
      <c r="G210" s="1" t="s">
        <v>24</v>
      </c>
      <c r="H210" s="1" t="s">
        <v>56</v>
      </c>
      <c r="I210" s="1" t="s">
        <v>35</v>
      </c>
      <c r="J210" s="1" t="s">
        <v>36</v>
      </c>
      <c r="K210" s="1" t="s">
        <v>37</v>
      </c>
      <c r="L210">
        <v>1</v>
      </c>
      <c r="M210">
        <v>1299</v>
      </c>
      <c r="N210">
        <v>0.2</v>
      </c>
      <c r="O210">
        <v>1039.2</v>
      </c>
      <c r="P210">
        <v>700</v>
      </c>
      <c r="Q210">
        <v>700</v>
      </c>
      <c r="R210">
        <v>100</v>
      </c>
      <c r="S210">
        <v>239.2</v>
      </c>
    </row>
    <row r="211" spans="1:19" x14ac:dyDescent="0.3">
      <c r="A211" s="1" t="s">
        <v>465</v>
      </c>
      <c r="B211" s="4">
        <v>45393</v>
      </c>
      <c r="C211" s="1" t="s">
        <v>466</v>
      </c>
      <c r="D211" s="1" t="s">
        <v>48</v>
      </c>
      <c r="E211" s="1" t="s">
        <v>64</v>
      </c>
      <c r="F211" s="1" t="s">
        <v>65</v>
      </c>
      <c r="G211" s="1" t="s">
        <v>42</v>
      </c>
      <c r="H211" s="1" t="s">
        <v>34</v>
      </c>
      <c r="I211" s="1" t="s">
        <v>72</v>
      </c>
      <c r="J211" s="1" t="s">
        <v>73</v>
      </c>
      <c r="K211" s="1" t="s">
        <v>28</v>
      </c>
      <c r="L211">
        <v>1</v>
      </c>
      <c r="M211">
        <v>2199</v>
      </c>
      <c r="N211">
        <v>0</v>
      </c>
      <c r="O211">
        <v>2199</v>
      </c>
      <c r="P211">
        <v>1250</v>
      </c>
      <c r="Q211">
        <v>1250</v>
      </c>
      <c r="R211">
        <v>60</v>
      </c>
      <c r="S211">
        <v>889</v>
      </c>
    </row>
    <row r="212" spans="1:19" x14ac:dyDescent="0.3">
      <c r="A212" s="1" t="s">
        <v>467</v>
      </c>
      <c r="B212" s="4">
        <v>45393</v>
      </c>
      <c r="C212" s="1" t="s">
        <v>468</v>
      </c>
      <c r="D212" s="1" t="s">
        <v>21</v>
      </c>
      <c r="E212" s="1" t="s">
        <v>22</v>
      </c>
      <c r="F212" s="1" t="s">
        <v>23</v>
      </c>
      <c r="G212" s="1" t="s">
        <v>42</v>
      </c>
      <c r="H212" s="1" t="s">
        <v>89</v>
      </c>
      <c r="I212" s="1" t="s">
        <v>66</v>
      </c>
      <c r="J212" s="1" t="s">
        <v>67</v>
      </c>
      <c r="K212" s="1" t="s">
        <v>28</v>
      </c>
      <c r="L212">
        <v>4</v>
      </c>
      <c r="M212">
        <v>2499</v>
      </c>
      <c r="N212">
        <v>0.15</v>
      </c>
      <c r="O212">
        <v>8496.6</v>
      </c>
      <c r="P212">
        <v>1450</v>
      </c>
      <c r="Q212">
        <v>5800</v>
      </c>
      <c r="R212">
        <v>60</v>
      </c>
      <c r="S212">
        <v>2636.6</v>
      </c>
    </row>
    <row r="213" spans="1:19" x14ac:dyDescent="0.3">
      <c r="A213" s="1" t="s">
        <v>469</v>
      </c>
      <c r="B213" s="4">
        <v>45398</v>
      </c>
      <c r="C213" s="1" t="s">
        <v>470</v>
      </c>
      <c r="D213" s="1" t="s">
        <v>40</v>
      </c>
      <c r="E213" s="1" t="s">
        <v>64</v>
      </c>
      <c r="F213" s="1" t="s">
        <v>65</v>
      </c>
      <c r="G213" s="1" t="s">
        <v>24</v>
      </c>
      <c r="H213" s="1" t="s">
        <v>71</v>
      </c>
      <c r="I213" s="1" t="s">
        <v>51</v>
      </c>
      <c r="J213" s="1" t="s">
        <v>52</v>
      </c>
      <c r="K213" s="1" t="s">
        <v>37</v>
      </c>
      <c r="L213">
        <v>2</v>
      </c>
      <c r="M213">
        <v>499</v>
      </c>
      <c r="N213">
        <v>0</v>
      </c>
      <c r="O213">
        <v>998</v>
      </c>
      <c r="P213">
        <v>180</v>
      </c>
      <c r="Q213">
        <v>360</v>
      </c>
      <c r="R213">
        <v>80</v>
      </c>
      <c r="S213">
        <v>558</v>
      </c>
    </row>
    <row r="214" spans="1:19" x14ac:dyDescent="0.3">
      <c r="A214" s="1" t="s">
        <v>471</v>
      </c>
      <c r="B214" s="4">
        <v>45398</v>
      </c>
      <c r="C214" s="1" t="s">
        <v>472</v>
      </c>
      <c r="D214" s="1" t="s">
        <v>40</v>
      </c>
      <c r="E214" s="1" t="s">
        <v>70</v>
      </c>
      <c r="F214" s="1" t="s">
        <v>70</v>
      </c>
      <c r="G214" s="1" t="s">
        <v>33</v>
      </c>
      <c r="H214" s="1" t="s">
        <v>89</v>
      </c>
      <c r="I214" s="1" t="s">
        <v>72</v>
      </c>
      <c r="J214" s="1" t="s">
        <v>73</v>
      </c>
      <c r="K214" s="1" t="s">
        <v>28</v>
      </c>
      <c r="L214">
        <v>1</v>
      </c>
      <c r="M214">
        <v>2199</v>
      </c>
      <c r="N214">
        <v>0.15</v>
      </c>
      <c r="O214">
        <v>1869.15</v>
      </c>
      <c r="P214">
        <v>1250</v>
      </c>
      <c r="Q214">
        <v>1250</v>
      </c>
      <c r="R214">
        <v>40</v>
      </c>
      <c r="S214">
        <v>579.15</v>
      </c>
    </row>
    <row r="215" spans="1:19" x14ac:dyDescent="0.3">
      <c r="A215" s="1" t="s">
        <v>473</v>
      </c>
      <c r="B215" s="4">
        <v>45398</v>
      </c>
      <c r="C215" s="1" t="s">
        <v>474</v>
      </c>
      <c r="D215" s="1" t="s">
        <v>40</v>
      </c>
      <c r="E215" s="1" t="s">
        <v>41</v>
      </c>
      <c r="F215" s="1" t="s">
        <v>32</v>
      </c>
      <c r="G215" s="1" t="s">
        <v>24</v>
      </c>
      <c r="H215" s="1" t="s">
        <v>56</v>
      </c>
      <c r="I215" s="1" t="s">
        <v>51</v>
      </c>
      <c r="J215" s="1" t="s">
        <v>52</v>
      </c>
      <c r="K215" s="1" t="s">
        <v>37</v>
      </c>
      <c r="L215">
        <v>2</v>
      </c>
      <c r="M215">
        <v>499</v>
      </c>
      <c r="N215">
        <v>0.2</v>
      </c>
      <c r="O215">
        <v>798.4</v>
      </c>
      <c r="P215">
        <v>180</v>
      </c>
      <c r="Q215">
        <v>360</v>
      </c>
      <c r="R215">
        <v>80</v>
      </c>
      <c r="S215">
        <v>358.4</v>
      </c>
    </row>
    <row r="216" spans="1:19" x14ac:dyDescent="0.3">
      <c r="A216" s="1" t="s">
        <v>475</v>
      </c>
      <c r="B216" s="4">
        <v>45398</v>
      </c>
      <c r="C216" s="1" t="s">
        <v>476</v>
      </c>
      <c r="D216" s="1" t="s">
        <v>40</v>
      </c>
      <c r="E216" s="1" t="s">
        <v>41</v>
      </c>
      <c r="F216" s="1" t="s">
        <v>32</v>
      </c>
      <c r="G216" s="1" t="s">
        <v>24</v>
      </c>
      <c r="H216" s="1" t="s">
        <v>34</v>
      </c>
      <c r="I216" s="1" t="s">
        <v>59</v>
      </c>
      <c r="J216" s="1" t="s">
        <v>60</v>
      </c>
      <c r="K216" s="1" t="s">
        <v>61</v>
      </c>
      <c r="L216">
        <v>4</v>
      </c>
      <c r="M216">
        <v>999</v>
      </c>
      <c r="N216">
        <v>0.1</v>
      </c>
      <c r="O216">
        <v>3596.4</v>
      </c>
      <c r="P216">
        <v>520</v>
      </c>
      <c r="Q216">
        <v>2080</v>
      </c>
      <c r="R216">
        <v>100</v>
      </c>
      <c r="S216">
        <v>1416.4</v>
      </c>
    </row>
    <row r="217" spans="1:19" x14ac:dyDescent="0.3">
      <c r="A217" s="1" t="s">
        <v>477</v>
      </c>
      <c r="B217" s="4">
        <v>45399</v>
      </c>
      <c r="C217" s="1" t="s">
        <v>292</v>
      </c>
      <c r="D217" s="1" t="s">
        <v>48</v>
      </c>
      <c r="E217" s="1" t="s">
        <v>54</v>
      </c>
      <c r="F217" s="1" t="s">
        <v>55</v>
      </c>
      <c r="G217" s="1" t="s">
        <v>24</v>
      </c>
      <c r="H217" s="1" t="s">
        <v>25</v>
      </c>
      <c r="I217" s="1" t="s">
        <v>59</v>
      </c>
      <c r="J217" s="1" t="s">
        <v>60</v>
      </c>
      <c r="K217" s="1" t="s">
        <v>61</v>
      </c>
      <c r="L217">
        <v>2</v>
      </c>
      <c r="M217">
        <v>999</v>
      </c>
      <c r="N217">
        <v>0.1</v>
      </c>
      <c r="O217">
        <v>1798.2</v>
      </c>
      <c r="P217">
        <v>520</v>
      </c>
      <c r="Q217">
        <v>1040</v>
      </c>
      <c r="R217">
        <v>40</v>
      </c>
      <c r="S217">
        <v>718.2</v>
      </c>
    </row>
    <row r="218" spans="1:19" x14ac:dyDescent="0.3">
      <c r="A218" s="1" t="s">
        <v>478</v>
      </c>
      <c r="B218" s="4">
        <v>45400</v>
      </c>
      <c r="C218" s="1" t="s">
        <v>288</v>
      </c>
      <c r="D218" s="1" t="s">
        <v>48</v>
      </c>
      <c r="E218" s="1" t="s">
        <v>64</v>
      </c>
      <c r="F218" s="1" t="s">
        <v>65</v>
      </c>
      <c r="G218" s="1" t="s">
        <v>24</v>
      </c>
      <c r="H218" s="1" t="s">
        <v>56</v>
      </c>
      <c r="I218" s="1" t="s">
        <v>92</v>
      </c>
      <c r="J218" s="1" t="s">
        <v>93</v>
      </c>
      <c r="K218" s="1" t="s">
        <v>28</v>
      </c>
      <c r="L218">
        <v>1</v>
      </c>
      <c r="M218">
        <v>1599</v>
      </c>
      <c r="N218">
        <v>0.05</v>
      </c>
      <c r="O218">
        <v>1519.05</v>
      </c>
      <c r="P218">
        <v>900</v>
      </c>
      <c r="Q218">
        <v>900</v>
      </c>
      <c r="R218">
        <v>80</v>
      </c>
      <c r="S218">
        <v>539.04999999999995</v>
      </c>
    </row>
    <row r="219" spans="1:19" x14ac:dyDescent="0.3">
      <c r="A219" s="1" t="s">
        <v>479</v>
      </c>
      <c r="B219" s="4">
        <v>45400</v>
      </c>
      <c r="C219" s="1" t="s">
        <v>381</v>
      </c>
      <c r="D219" s="1" t="s">
        <v>48</v>
      </c>
      <c r="E219" s="1" t="s">
        <v>41</v>
      </c>
      <c r="F219" s="1" t="s">
        <v>32</v>
      </c>
      <c r="G219" s="1" t="s">
        <v>24</v>
      </c>
      <c r="H219" s="1" t="s">
        <v>56</v>
      </c>
      <c r="I219" s="1" t="s">
        <v>72</v>
      </c>
      <c r="J219" s="1" t="s">
        <v>73</v>
      </c>
      <c r="K219" s="1" t="s">
        <v>28</v>
      </c>
      <c r="L219">
        <v>3</v>
      </c>
      <c r="M219">
        <v>2199</v>
      </c>
      <c r="N219">
        <v>0.1</v>
      </c>
      <c r="O219">
        <v>5937.3</v>
      </c>
      <c r="P219">
        <v>1250</v>
      </c>
      <c r="Q219">
        <v>3750</v>
      </c>
      <c r="R219">
        <v>60</v>
      </c>
      <c r="S219">
        <v>2127.3000000000002</v>
      </c>
    </row>
    <row r="220" spans="1:19" x14ac:dyDescent="0.3">
      <c r="A220" s="1" t="s">
        <v>480</v>
      </c>
      <c r="B220" s="4">
        <v>45400</v>
      </c>
      <c r="C220" s="1" t="s">
        <v>415</v>
      </c>
      <c r="D220" s="1" t="s">
        <v>21</v>
      </c>
      <c r="E220" s="1" t="s">
        <v>124</v>
      </c>
      <c r="F220" s="1" t="s">
        <v>125</v>
      </c>
      <c r="G220" s="1" t="s">
        <v>42</v>
      </c>
      <c r="H220" s="1" t="s">
        <v>71</v>
      </c>
      <c r="I220" s="1" t="s">
        <v>59</v>
      </c>
      <c r="J220" s="1" t="s">
        <v>60</v>
      </c>
      <c r="K220" s="1" t="s">
        <v>61</v>
      </c>
      <c r="L220">
        <v>5</v>
      </c>
      <c r="M220">
        <v>999</v>
      </c>
      <c r="N220">
        <v>0</v>
      </c>
      <c r="O220">
        <v>4995</v>
      </c>
      <c r="P220">
        <v>520</v>
      </c>
      <c r="Q220">
        <v>2600</v>
      </c>
      <c r="R220">
        <v>40</v>
      </c>
      <c r="S220">
        <v>2355</v>
      </c>
    </row>
    <row r="221" spans="1:19" x14ac:dyDescent="0.3">
      <c r="A221" s="1" t="s">
        <v>481</v>
      </c>
      <c r="B221" s="4">
        <v>45400</v>
      </c>
      <c r="C221" s="1" t="s">
        <v>359</v>
      </c>
      <c r="D221" s="1" t="s">
        <v>40</v>
      </c>
      <c r="E221" s="1" t="s">
        <v>80</v>
      </c>
      <c r="F221" s="1" t="s">
        <v>55</v>
      </c>
      <c r="G221" s="1" t="s">
        <v>33</v>
      </c>
      <c r="H221" s="1" t="s">
        <v>71</v>
      </c>
      <c r="I221" s="1" t="s">
        <v>66</v>
      </c>
      <c r="J221" s="1" t="s">
        <v>67</v>
      </c>
      <c r="K221" s="1" t="s">
        <v>28</v>
      </c>
      <c r="L221">
        <v>2</v>
      </c>
      <c r="M221">
        <v>2499</v>
      </c>
      <c r="N221">
        <v>0.15</v>
      </c>
      <c r="O221">
        <v>4248.3</v>
      </c>
      <c r="P221">
        <v>1450</v>
      </c>
      <c r="Q221">
        <v>2900</v>
      </c>
      <c r="R221">
        <v>40</v>
      </c>
      <c r="S221">
        <v>1308.3</v>
      </c>
    </row>
    <row r="222" spans="1:19" x14ac:dyDescent="0.3">
      <c r="A222" s="1" t="s">
        <v>482</v>
      </c>
      <c r="B222" s="4">
        <v>45401</v>
      </c>
      <c r="C222" s="1" t="s">
        <v>127</v>
      </c>
      <c r="D222" s="1" t="s">
        <v>21</v>
      </c>
      <c r="E222" s="1" t="s">
        <v>70</v>
      </c>
      <c r="F222" s="1" t="s">
        <v>70</v>
      </c>
      <c r="G222" s="1" t="s">
        <v>42</v>
      </c>
      <c r="H222" s="1" t="s">
        <v>34</v>
      </c>
      <c r="I222" s="1" t="s">
        <v>59</v>
      </c>
      <c r="J222" s="1" t="s">
        <v>60</v>
      </c>
      <c r="K222" s="1" t="s">
        <v>61</v>
      </c>
      <c r="L222">
        <v>1</v>
      </c>
      <c r="M222">
        <v>999</v>
      </c>
      <c r="N222">
        <v>0.1</v>
      </c>
      <c r="O222">
        <v>899.1</v>
      </c>
      <c r="P222">
        <v>520</v>
      </c>
      <c r="Q222">
        <v>520</v>
      </c>
      <c r="R222">
        <v>60</v>
      </c>
      <c r="S222">
        <v>319.10000000000002</v>
      </c>
    </row>
    <row r="223" spans="1:19" x14ac:dyDescent="0.3">
      <c r="A223" s="1" t="s">
        <v>483</v>
      </c>
      <c r="B223" s="4">
        <v>45401</v>
      </c>
      <c r="C223" s="1" t="s">
        <v>91</v>
      </c>
      <c r="D223" s="1" t="s">
        <v>21</v>
      </c>
      <c r="E223" s="1" t="s">
        <v>112</v>
      </c>
      <c r="F223" s="1" t="s">
        <v>113</v>
      </c>
      <c r="G223" s="1" t="s">
        <v>42</v>
      </c>
      <c r="H223" s="1" t="s">
        <v>71</v>
      </c>
      <c r="I223" s="1" t="s">
        <v>35</v>
      </c>
      <c r="J223" s="1" t="s">
        <v>36</v>
      </c>
      <c r="K223" s="1" t="s">
        <v>37</v>
      </c>
      <c r="L223">
        <v>2</v>
      </c>
      <c r="M223">
        <v>1299</v>
      </c>
      <c r="N223">
        <v>0</v>
      </c>
      <c r="O223">
        <v>2598</v>
      </c>
      <c r="P223">
        <v>700</v>
      </c>
      <c r="Q223">
        <v>1400</v>
      </c>
      <c r="R223">
        <v>0</v>
      </c>
      <c r="S223">
        <v>1198</v>
      </c>
    </row>
    <row r="224" spans="1:19" x14ac:dyDescent="0.3">
      <c r="A224" s="1" t="s">
        <v>484</v>
      </c>
      <c r="B224" s="4">
        <v>45402</v>
      </c>
      <c r="C224" s="1" t="s">
        <v>157</v>
      </c>
      <c r="D224" s="1" t="s">
        <v>21</v>
      </c>
      <c r="E224" s="1" t="s">
        <v>49</v>
      </c>
      <c r="F224" s="1" t="s">
        <v>50</v>
      </c>
      <c r="G224" s="1" t="s">
        <v>33</v>
      </c>
      <c r="H224" s="1" t="s">
        <v>89</v>
      </c>
      <c r="I224" s="1" t="s">
        <v>43</v>
      </c>
      <c r="J224" s="1" t="s">
        <v>44</v>
      </c>
      <c r="K224" s="1" t="s">
        <v>45</v>
      </c>
      <c r="L224">
        <v>1</v>
      </c>
      <c r="M224">
        <v>1799</v>
      </c>
      <c r="N224">
        <v>0</v>
      </c>
      <c r="O224">
        <v>1799</v>
      </c>
      <c r="P224">
        <v>850</v>
      </c>
      <c r="Q224">
        <v>850</v>
      </c>
      <c r="R224">
        <v>80</v>
      </c>
      <c r="S224">
        <v>869</v>
      </c>
    </row>
    <row r="225" spans="1:19" x14ac:dyDescent="0.3">
      <c r="A225" s="1" t="s">
        <v>485</v>
      </c>
      <c r="B225" s="4">
        <v>45402</v>
      </c>
      <c r="C225" s="1" t="s">
        <v>486</v>
      </c>
      <c r="D225" s="1" t="s">
        <v>21</v>
      </c>
      <c r="E225" s="1" t="s">
        <v>80</v>
      </c>
      <c r="F225" s="1" t="s">
        <v>55</v>
      </c>
      <c r="G225" s="1" t="s">
        <v>33</v>
      </c>
      <c r="H225" s="1" t="s">
        <v>89</v>
      </c>
      <c r="I225" s="1" t="s">
        <v>59</v>
      </c>
      <c r="J225" s="1" t="s">
        <v>60</v>
      </c>
      <c r="K225" s="1" t="s">
        <v>61</v>
      </c>
      <c r="L225">
        <v>1</v>
      </c>
      <c r="M225">
        <v>999</v>
      </c>
      <c r="N225">
        <v>0.2</v>
      </c>
      <c r="O225">
        <v>799.2</v>
      </c>
      <c r="P225">
        <v>520</v>
      </c>
      <c r="Q225">
        <v>520</v>
      </c>
      <c r="R225">
        <v>100</v>
      </c>
      <c r="S225">
        <v>179.2</v>
      </c>
    </row>
    <row r="226" spans="1:19" x14ac:dyDescent="0.3">
      <c r="A226" s="1" t="s">
        <v>487</v>
      </c>
      <c r="B226" s="4">
        <v>45402</v>
      </c>
      <c r="C226" s="1" t="s">
        <v>296</v>
      </c>
      <c r="D226" s="1" t="s">
        <v>48</v>
      </c>
      <c r="E226" s="1" t="s">
        <v>31</v>
      </c>
      <c r="F226" s="1" t="s">
        <v>32</v>
      </c>
      <c r="G226" s="1" t="s">
        <v>33</v>
      </c>
      <c r="H226" s="1" t="s">
        <v>34</v>
      </c>
      <c r="I226" s="1" t="s">
        <v>81</v>
      </c>
      <c r="J226" s="1" t="s">
        <v>82</v>
      </c>
      <c r="K226" s="1" t="s">
        <v>61</v>
      </c>
      <c r="L226">
        <v>1</v>
      </c>
      <c r="M226">
        <v>2999</v>
      </c>
      <c r="N226">
        <v>0.2</v>
      </c>
      <c r="O226">
        <v>2399.1999999999998</v>
      </c>
      <c r="P226">
        <v>1750</v>
      </c>
      <c r="Q226">
        <v>1750</v>
      </c>
      <c r="R226">
        <v>40</v>
      </c>
      <c r="S226">
        <v>609.20000000000005</v>
      </c>
    </row>
    <row r="227" spans="1:19" x14ac:dyDescent="0.3">
      <c r="A227" s="1" t="s">
        <v>488</v>
      </c>
      <c r="B227" s="4">
        <v>45403</v>
      </c>
      <c r="C227" s="1" t="s">
        <v>489</v>
      </c>
      <c r="D227" s="1" t="s">
        <v>40</v>
      </c>
      <c r="E227" s="1" t="s">
        <v>80</v>
      </c>
      <c r="F227" s="1" t="s">
        <v>55</v>
      </c>
      <c r="G227" s="1" t="s">
        <v>42</v>
      </c>
      <c r="H227" s="1" t="s">
        <v>34</v>
      </c>
      <c r="I227" s="1" t="s">
        <v>76</v>
      </c>
      <c r="J227" s="1" t="s">
        <v>77</v>
      </c>
      <c r="K227" s="1" t="s">
        <v>37</v>
      </c>
      <c r="L227">
        <v>1</v>
      </c>
      <c r="M227">
        <v>6999</v>
      </c>
      <c r="N227">
        <v>0</v>
      </c>
      <c r="O227">
        <v>6999</v>
      </c>
      <c r="P227">
        <v>4900</v>
      </c>
      <c r="Q227">
        <v>4900</v>
      </c>
      <c r="R227">
        <v>0</v>
      </c>
      <c r="S227">
        <v>2099</v>
      </c>
    </row>
    <row r="228" spans="1:19" x14ac:dyDescent="0.3">
      <c r="A228" s="1" t="s">
        <v>490</v>
      </c>
      <c r="B228" s="4">
        <v>45403</v>
      </c>
      <c r="C228" s="1" t="s">
        <v>491</v>
      </c>
      <c r="D228" s="1" t="s">
        <v>40</v>
      </c>
      <c r="E228" s="1" t="s">
        <v>22</v>
      </c>
      <c r="F228" s="1" t="s">
        <v>23</v>
      </c>
      <c r="G228" s="1" t="s">
        <v>24</v>
      </c>
      <c r="H228" s="1" t="s">
        <v>34</v>
      </c>
      <c r="I228" s="1" t="s">
        <v>76</v>
      </c>
      <c r="J228" s="1" t="s">
        <v>77</v>
      </c>
      <c r="K228" s="1" t="s">
        <v>37</v>
      </c>
      <c r="L228">
        <v>2</v>
      </c>
      <c r="M228">
        <v>6999</v>
      </c>
      <c r="N228">
        <v>0.05</v>
      </c>
      <c r="O228">
        <v>13298.1</v>
      </c>
      <c r="P228">
        <v>4900</v>
      </c>
      <c r="Q228">
        <v>9800</v>
      </c>
      <c r="R228">
        <v>40</v>
      </c>
      <c r="S228">
        <v>3458.1</v>
      </c>
    </row>
    <row r="229" spans="1:19" x14ac:dyDescent="0.3">
      <c r="A229" s="1" t="s">
        <v>492</v>
      </c>
      <c r="B229" s="4">
        <v>45403</v>
      </c>
      <c r="C229" s="1" t="s">
        <v>172</v>
      </c>
      <c r="D229" s="1" t="s">
        <v>40</v>
      </c>
      <c r="E229" s="1" t="s">
        <v>80</v>
      </c>
      <c r="F229" s="1" t="s">
        <v>55</v>
      </c>
      <c r="G229" s="1" t="s">
        <v>24</v>
      </c>
      <c r="H229" s="1" t="s">
        <v>89</v>
      </c>
      <c r="I229" s="1" t="s">
        <v>81</v>
      </c>
      <c r="J229" s="1" t="s">
        <v>82</v>
      </c>
      <c r="K229" s="1" t="s">
        <v>61</v>
      </c>
      <c r="L229">
        <v>2</v>
      </c>
      <c r="M229">
        <v>2999</v>
      </c>
      <c r="N229">
        <v>0.1</v>
      </c>
      <c r="O229">
        <v>5398.2</v>
      </c>
      <c r="P229">
        <v>1750</v>
      </c>
      <c r="Q229">
        <v>3500</v>
      </c>
      <c r="R229">
        <v>60</v>
      </c>
      <c r="S229">
        <v>1838.2</v>
      </c>
    </row>
    <row r="230" spans="1:19" x14ac:dyDescent="0.3">
      <c r="A230" s="1" t="s">
        <v>493</v>
      </c>
      <c r="B230" s="4">
        <v>45403</v>
      </c>
      <c r="C230" s="1" t="s">
        <v>494</v>
      </c>
      <c r="D230" s="1" t="s">
        <v>40</v>
      </c>
      <c r="E230" s="1" t="s">
        <v>70</v>
      </c>
      <c r="F230" s="1" t="s">
        <v>70</v>
      </c>
      <c r="G230" s="1" t="s">
        <v>42</v>
      </c>
      <c r="H230" s="1" t="s">
        <v>34</v>
      </c>
      <c r="I230" s="1" t="s">
        <v>26</v>
      </c>
      <c r="J230" s="1" t="s">
        <v>27</v>
      </c>
      <c r="K230" s="1" t="s">
        <v>28</v>
      </c>
      <c r="L230">
        <v>1</v>
      </c>
      <c r="M230">
        <v>799</v>
      </c>
      <c r="N230">
        <v>0.15</v>
      </c>
      <c r="O230">
        <v>679.15</v>
      </c>
      <c r="P230">
        <v>420</v>
      </c>
      <c r="Q230">
        <v>420</v>
      </c>
      <c r="R230">
        <v>80</v>
      </c>
      <c r="S230">
        <v>179.15</v>
      </c>
    </row>
    <row r="231" spans="1:19" x14ac:dyDescent="0.3">
      <c r="A231" s="1" t="s">
        <v>495</v>
      </c>
      <c r="B231" s="4">
        <v>45403</v>
      </c>
      <c r="C231" s="1" t="s">
        <v>496</v>
      </c>
      <c r="D231" s="1" t="s">
        <v>48</v>
      </c>
      <c r="E231" s="1" t="s">
        <v>80</v>
      </c>
      <c r="F231" s="1" t="s">
        <v>55</v>
      </c>
      <c r="G231" s="1" t="s">
        <v>24</v>
      </c>
      <c r="H231" s="1" t="s">
        <v>89</v>
      </c>
      <c r="I231" s="1" t="s">
        <v>134</v>
      </c>
      <c r="J231" s="1" t="s">
        <v>135</v>
      </c>
      <c r="K231" s="1" t="s">
        <v>136</v>
      </c>
      <c r="L231">
        <v>2</v>
      </c>
      <c r="M231">
        <v>299</v>
      </c>
      <c r="N231">
        <v>0.2</v>
      </c>
      <c r="O231">
        <v>478.4</v>
      </c>
      <c r="P231">
        <v>110</v>
      </c>
      <c r="Q231">
        <v>220</v>
      </c>
      <c r="R231">
        <v>100</v>
      </c>
      <c r="S231">
        <v>158.4</v>
      </c>
    </row>
    <row r="232" spans="1:19" x14ac:dyDescent="0.3">
      <c r="A232" s="1" t="s">
        <v>497</v>
      </c>
      <c r="B232" s="4">
        <v>45403</v>
      </c>
      <c r="C232" s="1" t="s">
        <v>498</v>
      </c>
      <c r="D232" s="1" t="s">
        <v>48</v>
      </c>
      <c r="E232" s="1" t="s">
        <v>96</v>
      </c>
      <c r="F232" s="1" t="s">
        <v>97</v>
      </c>
      <c r="G232" s="1" t="s">
        <v>24</v>
      </c>
      <c r="H232" s="1" t="s">
        <v>71</v>
      </c>
      <c r="I232" s="1" t="s">
        <v>43</v>
      </c>
      <c r="J232" s="1" t="s">
        <v>44</v>
      </c>
      <c r="K232" s="1" t="s">
        <v>45</v>
      </c>
      <c r="L232">
        <v>2</v>
      </c>
      <c r="M232">
        <v>1799</v>
      </c>
      <c r="N232">
        <v>0.15</v>
      </c>
      <c r="O232">
        <v>3058.3</v>
      </c>
      <c r="P232">
        <v>850</v>
      </c>
      <c r="Q232">
        <v>1700</v>
      </c>
      <c r="R232">
        <v>0</v>
      </c>
      <c r="S232">
        <v>1358.3</v>
      </c>
    </row>
    <row r="233" spans="1:19" x14ac:dyDescent="0.3">
      <c r="A233" s="1" t="s">
        <v>499</v>
      </c>
      <c r="B233" s="4">
        <v>45403</v>
      </c>
      <c r="C233" s="1" t="s">
        <v>500</v>
      </c>
      <c r="D233" s="1" t="s">
        <v>48</v>
      </c>
      <c r="E233" s="1" t="s">
        <v>31</v>
      </c>
      <c r="F233" s="1" t="s">
        <v>32</v>
      </c>
      <c r="G233" s="1" t="s">
        <v>24</v>
      </c>
      <c r="H233" s="1" t="s">
        <v>89</v>
      </c>
      <c r="I233" s="1" t="s">
        <v>59</v>
      </c>
      <c r="J233" s="1" t="s">
        <v>60</v>
      </c>
      <c r="K233" s="1" t="s">
        <v>61</v>
      </c>
      <c r="L233">
        <v>5</v>
      </c>
      <c r="M233">
        <v>999</v>
      </c>
      <c r="N233">
        <v>0</v>
      </c>
      <c r="O233">
        <v>4995</v>
      </c>
      <c r="P233">
        <v>520</v>
      </c>
      <c r="Q233">
        <v>2600</v>
      </c>
      <c r="R233">
        <v>60</v>
      </c>
      <c r="S233">
        <v>2335</v>
      </c>
    </row>
    <row r="234" spans="1:19" x14ac:dyDescent="0.3">
      <c r="A234" s="1" t="s">
        <v>501</v>
      </c>
      <c r="B234" s="4">
        <v>45404</v>
      </c>
      <c r="C234" s="1" t="s">
        <v>502</v>
      </c>
      <c r="D234" s="1" t="s">
        <v>40</v>
      </c>
      <c r="E234" s="1" t="s">
        <v>22</v>
      </c>
      <c r="F234" s="1" t="s">
        <v>23</v>
      </c>
      <c r="G234" s="1" t="s">
        <v>24</v>
      </c>
      <c r="H234" s="1" t="s">
        <v>34</v>
      </c>
      <c r="I234" s="1" t="s">
        <v>26</v>
      </c>
      <c r="J234" s="1" t="s">
        <v>27</v>
      </c>
      <c r="K234" s="1" t="s">
        <v>28</v>
      </c>
      <c r="L234">
        <v>4</v>
      </c>
      <c r="M234">
        <v>799</v>
      </c>
      <c r="N234">
        <v>0.05</v>
      </c>
      <c r="O234">
        <v>3036.2</v>
      </c>
      <c r="P234">
        <v>420</v>
      </c>
      <c r="Q234">
        <v>1680</v>
      </c>
      <c r="R234">
        <v>40</v>
      </c>
      <c r="S234">
        <v>1316.2</v>
      </c>
    </row>
    <row r="235" spans="1:19" x14ac:dyDescent="0.3">
      <c r="A235" s="1" t="s">
        <v>503</v>
      </c>
      <c r="B235" s="4">
        <v>45405</v>
      </c>
      <c r="C235" s="1" t="s">
        <v>504</v>
      </c>
      <c r="D235" s="1" t="s">
        <v>40</v>
      </c>
      <c r="E235" s="1" t="s">
        <v>22</v>
      </c>
      <c r="F235" s="1" t="s">
        <v>23</v>
      </c>
      <c r="G235" s="1" t="s">
        <v>24</v>
      </c>
      <c r="H235" s="1" t="s">
        <v>25</v>
      </c>
      <c r="I235" s="1" t="s">
        <v>51</v>
      </c>
      <c r="J235" s="1" t="s">
        <v>52</v>
      </c>
      <c r="K235" s="1" t="s">
        <v>37</v>
      </c>
      <c r="L235">
        <v>1</v>
      </c>
      <c r="M235">
        <v>499</v>
      </c>
      <c r="N235">
        <v>0</v>
      </c>
      <c r="O235">
        <v>499</v>
      </c>
      <c r="P235">
        <v>180</v>
      </c>
      <c r="Q235">
        <v>180</v>
      </c>
      <c r="R235">
        <v>100</v>
      </c>
      <c r="S235">
        <v>219</v>
      </c>
    </row>
    <row r="236" spans="1:19" x14ac:dyDescent="0.3">
      <c r="A236" s="1" t="s">
        <v>505</v>
      </c>
      <c r="B236" s="4">
        <v>45405</v>
      </c>
      <c r="C236" s="1" t="s">
        <v>506</v>
      </c>
      <c r="D236" s="1" t="s">
        <v>21</v>
      </c>
      <c r="E236" s="1" t="s">
        <v>70</v>
      </c>
      <c r="F236" s="1" t="s">
        <v>70</v>
      </c>
      <c r="G236" s="1" t="s">
        <v>42</v>
      </c>
      <c r="H236" s="1" t="s">
        <v>25</v>
      </c>
      <c r="I236" s="1" t="s">
        <v>43</v>
      </c>
      <c r="J236" s="1" t="s">
        <v>44</v>
      </c>
      <c r="K236" s="1" t="s">
        <v>45</v>
      </c>
      <c r="L236">
        <v>4</v>
      </c>
      <c r="M236">
        <v>1799</v>
      </c>
      <c r="N236">
        <v>0</v>
      </c>
      <c r="O236">
        <v>7196</v>
      </c>
      <c r="P236">
        <v>850</v>
      </c>
      <c r="Q236">
        <v>3400</v>
      </c>
      <c r="R236">
        <v>0</v>
      </c>
      <c r="S236">
        <v>3796</v>
      </c>
    </row>
    <row r="237" spans="1:19" x14ac:dyDescent="0.3">
      <c r="A237" s="1" t="s">
        <v>507</v>
      </c>
      <c r="B237" s="4">
        <v>45405</v>
      </c>
      <c r="C237" s="1" t="s">
        <v>508</v>
      </c>
      <c r="D237" s="1" t="s">
        <v>48</v>
      </c>
      <c r="E237" s="1" t="s">
        <v>120</v>
      </c>
      <c r="F237" s="1" t="s">
        <v>121</v>
      </c>
      <c r="G237" s="1" t="s">
        <v>24</v>
      </c>
      <c r="H237" s="1" t="s">
        <v>25</v>
      </c>
      <c r="I237" s="1" t="s">
        <v>134</v>
      </c>
      <c r="J237" s="1" t="s">
        <v>135</v>
      </c>
      <c r="K237" s="1" t="s">
        <v>136</v>
      </c>
      <c r="L237">
        <v>2</v>
      </c>
      <c r="M237">
        <v>299</v>
      </c>
      <c r="N237">
        <v>0</v>
      </c>
      <c r="O237">
        <v>598</v>
      </c>
      <c r="P237">
        <v>110</v>
      </c>
      <c r="Q237">
        <v>220</v>
      </c>
      <c r="R237">
        <v>0</v>
      </c>
      <c r="S237">
        <v>378</v>
      </c>
    </row>
    <row r="238" spans="1:19" x14ac:dyDescent="0.3">
      <c r="A238" s="1" t="s">
        <v>509</v>
      </c>
      <c r="B238" s="4">
        <v>45405</v>
      </c>
      <c r="C238" s="1" t="s">
        <v>508</v>
      </c>
      <c r="D238" s="1" t="s">
        <v>48</v>
      </c>
      <c r="E238" s="1" t="s">
        <v>41</v>
      </c>
      <c r="F238" s="1" t="s">
        <v>32</v>
      </c>
      <c r="G238" s="1" t="s">
        <v>33</v>
      </c>
      <c r="H238" s="1" t="s">
        <v>71</v>
      </c>
      <c r="I238" s="1" t="s">
        <v>72</v>
      </c>
      <c r="J238" s="1" t="s">
        <v>73</v>
      </c>
      <c r="K238" s="1" t="s">
        <v>28</v>
      </c>
      <c r="L238">
        <v>1</v>
      </c>
      <c r="M238">
        <v>2199</v>
      </c>
      <c r="N238">
        <v>0.05</v>
      </c>
      <c r="O238">
        <v>2089.0500000000002</v>
      </c>
      <c r="P238">
        <v>1250</v>
      </c>
      <c r="Q238">
        <v>1250</v>
      </c>
      <c r="R238">
        <v>80</v>
      </c>
      <c r="S238">
        <v>759.05</v>
      </c>
    </row>
    <row r="239" spans="1:19" x14ac:dyDescent="0.3">
      <c r="A239" s="1" t="s">
        <v>510</v>
      </c>
      <c r="B239" s="4">
        <v>45405</v>
      </c>
      <c r="C239" s="1" t="s">
        <v>455</v>
      </c>
      <c r="D239" s="1" t="s">
        <v>21</v>
      </c>
      <c r="E239" s="1" t="s">
        <v>96</v>
      </c>
      <c r="F239" s="1" t="s">
        <v>97</v>
      </c>
      <c r="G239" s="1" t="s">
        <v>24</v>
      </c>
      <c r="H239" s="1" t="s">
        <v>25</v>
      </c>
      <c r="I239" s="1" t="s">
        <v>85</v>
      </c>
      <c r="J239" s="1" t="s">
        <v>86</v>
      </c>
      <c r="K239" s="1" t="s">
        <v>45</v>
      </c>
      <c r="L239">
        <v>3</v>
      </c>
      <c r="M239">
        <v>599</v>
      </c>
      <c r="N239">
        <v>0</v>
      </c>
      <c r="O239">
        <v>1797</v>
      </c>
      <c r="P239">
        <v>240</v>
      </c>
      <c r="Q239">
        <v>720</v>
      </c>
      <c r="R239">
        <v>60</v>
      </c>
      <c r="S239">
        <v>1017</v>
      </c>
    </row>
    <row r="240" spans="1:19" x14ac:dyDescent="0.3">
      <c r="A240" s="1" t="s">
        <v>511</v>
      </c>
      <c r="B240" s="4">
        <v>45405</v>
      </c>
      <c r="C240" s="1" t="s">
        <v>512</v>
      </c>
      <c r="D240" s="1" t="s">
        <v>48</v>
      </c>
      <c r="E240" s="1" t="s">
        <v>120</v>
      </c>
      <c r="F240" s="1" t="s">
        <v>121</v>
      </c>
      <c r="G240" s="1" t="s">
        <v>24</v>
      </c>
      <c r="H240" s="1" t="s">
        <v>89</v>
      </c>
      <c r="I240" s="1" t="s">
        <v>35</v>
      </c>
      <c r="J240" s="1" t="s">
        <v>36</v>
      </c>
      <c r="K240" s="1" t="s">
        <v>37</v>
      </c>
      <c r="L240">
        <v>2</v>
      </c>
      <c r="M240">
        <v>1299</v>
      </c>
      <c r="N240">
        <v>0.1</v>
      </c>
      <c r="O240">
        <v>2338.1999999999998</v>
      </c>
      <c r="P240">
        <v>700</v>
      </c>
      <c r="Q240">
        <v>1400</v>
      </c>
      <c r="R240">
        <v>40</v>
      </c>
      <c r="S240">
        <v>898.2</v>
      </c>
    </row>
    <row r="241" spans="1:19" x14ac:dyDescent="0.3">
      <c r="A241" s="1" t="s">
        <v>513</v>
      </c>
      <c r="B241" s="4">
        <v>45406</v>
      </c>
      <c r="C241" s="1" t="s">
        <v>514</v>
      </c>
      <c r="D241" s="1" t="s">
        <v>40</v>
      </c>
      <c r="E241" s="1" t="s">
        <v>120</v>
      </c>
      <c r="F241" s="1" t="s">
        <v>121</v>
      </c>
      <c r="G241" s="1" t="s">
        <v>33</v>
      </c>
      <c r="H241" s="1" t="s">
        <v>34</v>
      </c>
      <c r="I241" s="1" t="s">
        <v>72</v>
      </c>
      <c r="J241" s="1" t="s">
        <v>73</v>
      </c>
      <c r="K241" s="1" t="s">
        <v>28</v>
      </c>
      <c r="L241">
        <v>1</v>
      </c>
      <c r="M241">
        <v>2199</v>
      </c>
      <c r="N241">
        <v>0</v>
      </c>
      <c r="O241">
        <v>2199</v>
      </c>
      <c r="P241">
        <v>1250</v>
      </c>
      <c r="Q241">
        <v>1250</v>
      </c>
      <c r="R241">
        <v>40</v>
      </c>
      <c r="S241">
        <v>909</v>
      </c>
    </row>
    <row r="242" spans="1:19" x14ac:dyDescent="0.3">
      <c r="A242" s="1" t="s">
        <v>515</v>
      </c>
      <c r="B242" s="4">
        <v>45407</v>
      </c>
      <c r="C242" s="1" t="s">
        <v>516</v>
      </c>
      <c r="D242" s="1" t="s">
        <v>21</v>
      </c>
      <c r="E242" s="1" t="s">
        <v>70</v>
      </c>
      <c r="F242" s="1" t="s">
        <v>70</v>
      </c>
      <c r="G242" s="1" t="s">
        <v>24</v>
      </c>
      <c r="H242" s="1" t="s">
        <v>25</v>
      </c>
      <c r="I242" s="1" t="s">
        <v>51</v>
      </c>
      <c r="J242" s="1" t="s">
        <v>52</v>
      </c>
      <c r="K242" s="1" t="s">
        <v>37</v>
      </c>
      <c r="L242">
        <v>2</v>
      </c>
      <c r="M242">
        <v>499</v>
      </c>
      <c r="N242">
        <v>0.05</v>
      </c>
      <c r="O242">
        <v>948.1</v>
      </c>
      <c r="P242">
        <v>180</v>
      </c>
      <c r="Q242">
        <v>360</v>
      </c>
      <c r="R242">
        <v>0</v>
      </c>
      <c r="S242">
        <v>588.1</v>
      </c>
    </row>
    <row r="243" spans="1:19" x14ac:dyDescent="0.3">
      <c r="A243" s="1" t="s">
        <v>517</v>
      </c>
      <c r="B243" s="4">
        <v>45407</v>
      </c>
      <c r="C243" s="1" t="s">
        <v>518</v>
      </c>
      <c r="D243" s="1" t="s">
        <v>21</v>
      </c>
      <c r="E243" s="1" t="s">
        <v>70</v>
      </c>
      <c r="F243" s="1" t="s">
        <v>70</v>
      </c>
      <c r="G243" s="1" t="s">
        <v>33</v>
      </c>
      <c r="H243" s="1" t="s">
        <v>34</v>
      </c>
      <c r="I243" s="1" t="s">
        <v>92</v>
      </c>
      <c r="J243" s="1" t="s">
        <v>93</v>
      </c>
      <c r="K243" s="1" t="s">
        <v>28</v>
      </c>
      <c r="L243">
        <v>3</v>
      </c>
      <c r="M243">
        <v>1599</v>
      </c>
      <c r="N243">
        <v>0.2</v>
      </c>
      <c r="O243">
        <v>3837.6</v>
      </c>
      <c r="P243">
        <v>900</v>
      </c>
      <c r="Q243">
        <v>2700</v>
      </c>
      <c r="R243">
        <v>100</v>
      </c>
      <c r="S243">
        <v>1037.5999999999999</v>
      </c>
    </row>
    <row r="244" spans="1:19" x14ac:dyDescent="0.3">
      <c r="A244" s="1" t="s">
        <v>519</v>
      </c>
      <c r="B244" s="4">
        <v>45408</v>
      </c>
      <c r="C244" s="1" t="s">
        <v>520</v>
      </c>
      <c r="D244" s="1" t="s">
        <v>48</v>
      </c>
      <c r="E244" s="1" t="s">
        <v>124</v>
      </c>
      <c r="F244" s="1" t="s">
        <v>125</v>
      </c>
      <c r="G244" s="1" t="s">
        <v>33</v>
      </c>
      <c r="H244" s="1" t="s">
        <v>89</v>
      </c>
      <c r="I244" s="1" t="s">
        <v>66</v>
      </c>
      <c r="J244" s="1" t="s">
        <v>67</v>
      </c>
      <c r="K244" s="1" t="s">
        <v>28</v>
      </c>
      <c r="L244">
        <v>3</v>
      </c>
      <c r="M244">
        <v>2499</v>
      </c>
      <c r="N244">
        <v>0</v>
      </c>
      <c r="O244">
        <v>7497</v>
      </c>
      <c r="P244">
        <v>1450</v>
      </c>
      <c r="Q244">
        <v>4350</v>
      </c>
      <c r="R244">
        <v>0</v>
      </c>
      <c r="S244">
        <v>3147</v>
      </c>
    </row>
    <row r="245" spans="1:19" x14ac:dyDescent="0.3">
      <c r="A245" s="1" t="s">
        <v>521</v>
      </c>
      <c r="B245" s="4">
        <v>45408</v>
      </c>
      <c r="C245" s="1" t="s">
        <v>522</v>
      </c>
      <c r="D245" s="1" t="s">
        <v>21</v>
      </c>
      <c r="E245" s="1" t="s">
        <v>22</v>
      </c>
      <c r="F245" s="1" t="s">
        <v>23</v>
      </c>
      <c r="G245" s="1" t="s">
        <v>33</v>
      </c>
      <c r="H245" s="1" t="s">
        <v>25</v>
      </c>
      <c r="I245" s="1" t="s">
        <v>26</v>
      </c>
      <c r="J245" s="1" t="s">
        <v>27</v>
      </c>
      <c r="K245" s="1" t="s">
        <v>28</v>
      </c>
      <c r="L245">
        <v>2</v>
      </c>
      <c r="M245">
        <v>799</v>
      </c>
      <c r="N245">
        <v>0</v>
      </c>
      <c r="O245">
        <v>1598</v>
      </c>
      <c r="P245">
        <v>420</v>
      </c>
      <c r="Q245">
        <v>840</v>
      </c>
      <c r="R245">
        <v>60</v>
      </c>
      <c r="S245">
        <v>698</v>
      </c>
    </row>
    <row r="246" spans="1:19" x14ac:dyDescent="0.3">
      <c r="A246" s="1" t="s">
        <v>523</v>
      </c>
      <c r="B246" s="4">
        <v>45408</v>
      </c>
      <c r="C246" s="1" t="s">
        <v>524</v>
      </c>
      <c r="D246" s="1" t="s">
        <v>40</v>
      </c>
      <c r="E246" s="1" t="s">
        <v>112</v>
      </c>
      <c r="F246" s="1" t="s">
        <v>113</v>
      </c>
      <c r="G246" s="1" t="s">
        <v>33</v>
      </c>
      <c r="H246" s="1" t="s">
        <v>71</v>
      </c>
      <c r="I246" s="1" t="s">
        <v>72</v>
      </c>
      <c r="J246" s="1" t="s">
        <v>73</v>
      </c>
      <c r="K246" s="1" t="s">
        <v>28</v>
      </c>
      <c r="L246">
        <v>2</v>
      </c>
      <c r="M246">
        <v>2199</v>
      </c>
      <c r="N246">
        <v>0</v>
      </c>
      <c r="O246">
        <v>4398</v>
      </c>
      <c r="P246">
        <v>1250</v>
      </c>
      <c r="Q246">
        <v>2500</v>
      </c>
      <c r="R246">
        <v>40</v>
      </c>
      <c r="S246">
        <v>1858</v>
      </c>
    </row>
    <row r="247" spans="1:19" x14ac:dyDescent="0.3">
      <c r="A247" s="1" t="s">
        <v>525</v>
      </c>
      <c r="B247" s="4">
        <v>45408</v>
      </c>
      <c r="C247" s="1" t="s">
        <v>526</v>
      </c>
      <c r="D247" s="1" t="s">
        <v>48</v>
      </c>
      <c r="E247" s="1" t="s">
        <v>64</v>
      </c>
      <c r="F247" s="1" t="s">
        <v>65</v>
      </c>
      <c r="G247" s="1" t="s">
        <v>33</v>
      </c>
      <c r="H247" s="1" t="s">
        <v>25</v>
      </c>
      <c r="I247" s="1" t="s">
        <v>81</v>
      </c>
      <c r="J247" s="1" t="s">
        <v>82</v>
      </c>
      <c r="K247" s="1" t="s">
        <v>61</v>
      </c>
      <c r="L247">
        <v>1</v>
      </c>
      <c r="M247">
        <v>2999</v>
      </c>
      <c r="N247">
        <v>0.05</v>
      </c>
      <c r="O247">
        <v>2849.05</v>
      </c>
      <c r="P247">
        <v>1750</v>
      </c>
      <c r="Q247">
        <v>1750</v>
      </c>
      <c r="R247">
        <v>100</v>
      </c>
      <c r="S247">
        <v>999.05</v>
      </c>
    </row>
    <row r="248" spans="1:19" x14ac:dyDescent="0.3">
      <c r="A248" s="1" t="s">
        <v>527</v>
      </c>
      <c r="B248" s="4">
        <v>45409</v>
      </c>
      <c r="C248" s="1" t="s">
        <v>528</v>
      </c>
      <c r="D248" s="1" t="s">
        <v>48</v>
      </c>
      <c r="E248" s="1" t="s">
        <v>64</v>
      </c>
      <c r="F248" s="1" t="s">
        <v>65</v>
      </c>
      <c r="G248" s="1" t="s">
        <v>24</v>
      </c>
      <c r="H248" s="1" t="s">
        <v>34</v>
      </c>
      <c r="I248" s="1" t="s">
        <v>51</v>
      </c>
      <c r="J248" s="1" t="s">
        <v>52</v>
      </c>
      <c r="K248" s="1" t="s">
        <v>37</v>
      </c>
      <c r="L248">
        <v>3</v>
      </c>
      <c r="M248">
        <v>499</v>
      </c>
      <c r="N248">
        <v>0</v>
      </c>
      <c r="O248">
        <v>1497</v>
      </c>
      <c r="P248">
        <v>180</v>
      </c>
      <c r="Q248">
        <v>540</v>
      </c>
      <c r="R248">
        <v>60</v>
      </c>
      <c r="S248">
        <v>897</v>
      </c>
    </row>
    <row r="249" spans="1:19" x14ac:dyDescent="0.3">
      <c r="A249" s="1" t="s">
        <v>529</v>
      </c>
      <c r="B249" s="4">
        <v>45409</v>
      </c>
      <c r="C249" s="1" t="s">
        <v>433</v>
      </c>
      <c r="D249" s="1" t="s">
        <v>21</v>
      </c>
      <c r="E249" s="1" t="s">
        <v>112</v>
      </c>
      <c r="F249" s="1" t="s">
        <v>113</v>
      </c>
      <c r="G249" s="1" t="s">
        <v>42</v>
      </c>
      <c r="H249" s="1" t="s">
        <v>34</v>
      </c>
      <c r="I249" s="1" t="s">
        <v>35</v>
      </c>
      <c r="J249" s="1" t="s">
        <v>36</v>
      </c>
      <c r="K249" s="1" t="s">
        <v>37</v>
      </c>
      <c r="L249">
        <v>1</v>
      </c>
      <c r="M249">
        <v>1299</v>
      </c>
      <c r="N249">
        <v>0.1</v>
      </c>
      <c r="O249">
        <v>1169.0999999999999</v>
      </c>
      <c r="P249">
        <v>700</v>
      </c>
      <c r="Q249">
        <v>700</v>
      </c>
      <c r="R249">
        <v>100</v>
      </c>
      <c r="S249">
        <v>369.1</v>
      </c>
    </row>
    <row r="250" spans="1:19" x14ac:dyDescent="0.3">
      <c r="A250" s="1" t="s">
        <v>530</v>
      </c>
      <c r="B250" s="4">
        <v>45409</v>
      </c>
      <c r="C250" s="1" t="s">
        <v>502</v>
      </c>
      <c r="D250" s="1" t="s">
        <v>48</v>
      </c>
      <c r="E250" s="1" t="s">
        <v>54</v>
      </c>
      <c r="F250" s="1" t="s">
        <v>55</v>
      </c>
      <c r="G250" s="1" t="s">
        <v>33</v>
      </c>
      <c r="H250" s="1" t="s">
        <v>89</v>
      </c>
      <c r="I250" s="1" t="s">
        <v>81</v>
      </c>
      <c r="J250" s="1" t="s">
        <v>82</v>
      </c>
      <c r="K250" s="1" t="s">
        <v>61</v>
      </c>
      <c r="L250">
        <v>1</v>
      </c>
      <c r="M250">
        <v>2999</v>
      </c>
      <c r="N250">
        <v>0.15</v>
      </c>
      <c r="O250">
        <v>2549.15</v>
      </c>
      <c r="P250">
        <v>1750</v>
      </c>
      <c r="Q250">
        <v>1750</v>
      </c>
      <c r="R250">
        <v>60</v>
      </c>
      <c r="S250">
        <v>739.15</v>
      </c>
    </row>
    <row r="251" spans="1:19" x14ac:dyDescent="0.3">
      <c r="A251" s="1" t="s">
        <v>531</v>
      </c>
      <c r="B251" s="4">
        <v>45409</v>
      </c>
      <c r="C251" s="1" t="s">
        <v>532</v>
      </c>
      <c r="D251" s="1" t="s">
        <v>48</v>
      </c>
      <c r="E251" s="1" t="s">
        <v>80</v>
      </c>
      <c r="F251" s="1" t="s">
        <v>55</v>
      </c>
      <c r="G251" s="1" t="s">
        <v>42</v>
      </c>
      <c r="H251" s="1" t="s">
        <v>71</v>
      </c>
      <c r="I251" s="1" t="s">
        <v>51</v>
      </c>
      <c r="J251" s="1" t="s">
        <v>52</v>
      </c>
      <c r="K251" s="1" t="s">
        <v>37</v>
      </c>
      <c r="L251">
        <v>1</v>
      </c>
      <c r="M251">
        <v>499</v>
      </c>
      <c r="N251">
        <v>0</v>
      </c>
      <c r="O251">
        <v>499</v>
      </c>
      <c r="P251">
        <v>180</v>
      </c>
      <c r="Q251">
        <v>180</v>
      </c>
      <c r="R251">
        <v>40</v>
      </c>
      <c r="S251">
        <v>279</v>
      </c>
    </row>
    <row r="252" spans="1:19" x14ac:dyDescent="0.3">
      <c r="A252" s="1" t="s">
        <v>533</v>
      </c>
      <c r="B252" s="4">
        <v>45409</v>
      </c>
      <c r="C252" s="1" t="s">
        <v>494</v>
      </c>
      <c r="D252" s="1" t="s">
        <v>48</v>
      </c>
      <c r="E252" s="1" t="s">
        <v>124</v>
      </c>
      <c r="F252" s="1" t="s">
        <v>125</v>
      </c>
      <c r="G252" s="1" t="s">
        <v>42</v>
      </c>
      <c r="H252" s="1" t="s">
        <v>56</v>
      </c>
      <c r="I252" s="1" t="s">
        <v>26</v>
      </c>
      <c r="J252" s="1" t="s">
        <v>27</v>
      </c>
      <c r="K252" s="1" t="s">
        <v>28</v>
      </c>
      <c r="L252">
        <v>3</v>
      </c>
      <c r="M252">
        <v>799</v>
      </c>
      <c r="N252">
        <v>0</v>
      </c>
      <c r="O252">
        <v>2397</v>
      </c>
      <c r="P252">
        <v>420</v>
      </c>
      <c r="Q252">
        <v>1260</v>
      </c>
      <c r="R252">
        <v>80</v>
      </c>
      <c r="S252">
        <v>1057</v>
      </c>
    </row>
    <row r="253" spans="1:19" x14ac:dyDescent="0.3">
      <c r="A253" s="1" t="s">
        <v>534</v>
      </c>
      <c r="B253" s="4">
        <v>45409</v>
      </c>
      <c r="C253" s="1" t="s">
        <v>319</v>
      </c>
      <c r="D253" s="1" t="s">
        <v>40</v>
      </c>
      <c r="E253" s="1" t="s">
        <v>124</v>
      </c>
      <c r="F253" s="1" t="s">
        <v>125</v>
      </c>
      <c r="G253" s="1" t="s">
        <v>42</v>
      </c>
      <c r="H253" s="1" t="s">
        <v>56</v>
      </c>
      <c r="I253" s="1" t="s">
        <v>92</v>
      </c>
      <c r="J253" s="1" t="s">
        <v>93</v>
      </c>
      <c r="K253" s="1" t="s">
        <v>28</v>
      </c>
      <c r="L253">
        <v>1</v>
      </c>
      <c r="M253">
        <v>1599</v>
      </c>
      <c r="N253">
        <v>0</v>
      </c>
      <c r="O253">
        <v>1599</v>
      </c>
      <c r="P253">
        <v>900</v>
      </c>
      <c r="Q253">
        <v>900</v>
      </c>
      <c r="R253">
        <v>100</v>
      </c>
      <c r="S253">
        <v>599</v>
      </c>
    </row>
    <row r="254" spans="1:19" x14ac:dyDescent="0.3">
      <c r="A254" s="1" t="s">
        <v>535</v>
      </c>
      <c r="B254" s="4">
        <v>45410</v>
      </c>
      <c r="C254" s="1" t="s">
        <v>536</v>
      </c>
      <c r="D254" s="1" t="s">
        <v>21</v>
      </c>
      <c r="E254" s="1" t="s">
        <v>64</v>
      </c>
      <c r="F254" s="1" t="s">
        <v>65</v>
      </c>
      <c r="G254" s="1" t="s">
        <v>42</v>
      </c>
      <c r="H254" s="1" t="s">
        <v>56</v>
      </c>
      <c r="I254" s="1" t="s">
        <v>43</v>
      </c>
      <c r="J254" s="1" t="s">
        <v>44</v>
      </c>
      <c r="K254" s="1" t="s">
        <v>45</v>
      </c>
      <c r="L254">
        <v>1</v>
      </c>
      <c r="M254">
        <v>1799</v>
      </c>
      <c r="N254">
        <v>0.05</v>
      </c>
      <c r="O254">
        <v>1709.05</v>
      </c>
      <c r="P254">
        <v>850</v>
      </c>
      <c r="Q254">
        <v>850</v>
      </c>
      <c r="R254">
        <v>100</v>
      </c>
      <c r="S254">
        <v>759.05</v>
      </c>
    </row>
    <row r="255" spans="1:19" x14ac:dyDescent="0.3">
      <c r="A255" s="1" t="s">
        <v>537</v>
      </c>
      <c r="B255" s="4">
        <v>45410</v>
      </c>
      <c r="C255" s="1" t="s">
        <v>172</v>
      </c>
      <c r="D255" s="1" t="s">
        <v>48</v>
      </c>
      <c r="E255" s="1" t="s">
        <v>49</v>
      </c>
      <c r="F255" s="1" t="s">
        <v>50</v>
      </c>
      <c r="G255" s="1" t="s">
        <v>24</v>
      </c>
      <c r="H255" s="1" t="s">
        <v>25</v>
      </c>
      <c r="I255" s="1" t="s">
        <v>43</v>
      </c>
      <c r="J255" s="1" t="s">
        <v>44</v>
      </c>
      <c r="K255" s="1" t="s">
        <v>45</v>
      </c>
      <c r="L255">
        <v>2</v>
      </c>
      <c r="M255">
        <v>1799</v>
      </c>
      <c r="N255">
        <v>0</v>
      </c>
      <c r="O255">
        <v>3598</v>
      </c>
      <c r="P255">
        <v>850</v>
      </c>
      <c r="Q255">
        <v>1700</v>
      </c>
      <c r="R255">
        <v>40</v>
      </c>
      <c r="S255">
        <v>1858</v>
      </c>
    </row>
    <row r="256" spans="1:19" x14ac:dyDescent="0.3">
      <c r="A256" s="1" t="s">
        <v>538</v>
      </c>
      <c r="B256" s="4">
        <v>45410</v>
      </c>
      <c r="C256" s="1" t="s">
        <v>539</v>
      </c>
      <c r="D256" s="1" t="s">
        <v>21</v>
      </c>
      <c r="E256" s="1" t="s">
        <v>31</v>
      </c>
      <c r="F256" s="1" t="s">
        <v>32</v>
      </c>
      <c r="G256" s="1" t="s">
        <v>33</v>
      </c>
      <c r="H256" s="1" t="s">
        <v>56</v>
      </c>
      <c r="I256" s="1" t="s">
        <v>66</v>
      </c>
      <c r="J256" s="1" t="s">
        <v>67</v>
      </c>
      <c r="K256" s="1" t="s">
        <v>28</v>
      </c>
      <c r="L256">
        <v>4</v>
      </c>
      <c r="M256">
        <v>2499</v>
      </c>
      <c r="N256">
        <v>0.2</v>
      </c>
      <c r="O256">
        <v>7996.8</v>
      </c>
      <c r="P256">
        <v>1450</v>
      </c>
      <c r="Q256">
        <v>5800</v>
      </c>
      <c r="R256">
        <v>80</v>
      </c>
      <c r="S256">
        <v>2116.8000000000002</v>
      </c>
    </row>
    <row r="257" spans="1:19" x14ac:dyDescent="0.3">
      <c r="A257" s="1" t="s">
        <v>540</v>
      </c>
      <c r="B257" s="4">
        <v>45412</v>
      </c>
      <c r="C257" s="1" t="s">
        <v>69</v>
      </c>
      <c r="D257" s="1" t="s">
        <v>40</v>
      </c>
      <c r="E257" s="1" t="s">
        <v>120</v>
      </c>
      <c r="F257" s="1" t="s">
        <v>121</v>
      </c>
      <c r="G257" s="1" t="s">
        <v>33</v>
      </c>
      <c r="H257" s="1" t="s">
        <v>56</v>
      </c>
      <c r="I257" s="1" t="s">
        <v>85</v>
      </c>
      <c r="J257" s="1" t="s">
        <v>86</v>
      </c>
      <c r="K257" s="1" t="s">
        <v>45</v>
      </c>
      <c r="L257">
        <v>5</v>
      </c>
      <c r="M257">
        <v>599</v>
      </c>
      <c r="N257">
        <v>0.15</v>
      </c>
      <c r="O257">
        <v>2545.75</v>
      </c>
      <c r="P257">
        <v>240</v>
      </c>
      <c r="Q257">
        <v>1200</v>
      </c>
      <c r="R257">
        <v>60</v>
      </c>
      <c r="S257">
        <v>1285.75</v>
      </c>
    </row>
    <row r="258" spans="1:19" x14ac:dyDescent="0.3">
      <c r="A258" s="1" t="s">
        <v>541</v>
      </c>
      <c r="B258" s="4">
        <v>45412</v>
      </c>
      <c r="C258" s="1" t="s">
        <v>542</v>
      </c>
      <c r="D258" s="1" t="s">
        <v>21</v>
      </c>
      <c r="E258" s="1" t="s">
        <v>120</v>
      </c>
      <c r="F258" s="1" t="s">
        <v>121</v>
      </c>
      <c r="G258" s="1" t="s">
        <v>33</v>
      </c>
      <c r="H258" s="1" t="s">
        <v>34</v>
      </c>
      <c r="I258" s="1" t="s">
        <v>76</v>
      </c>
      <c r="J258" s="1" t="s">
        <v>77</v>
      </c>
      <c r="K258" s="1" t="s">
        <v>37</v>
      </c>
      <c r="L258">
        <v>3</v>
      </c>
      <c r="M258">
        <v>6999</v>
      </c>
      <c r="N258">
        <v>0.1</v>
      </c>
      <c r="O258">
        <v>18897.3</v>
      </c>
      <c r="P258">
        <v>4900</v>
      </c>
      <c r="Q258">
        <v>14700</v>
      </c>
      <c r="R258">
        <v>60</v>
      </c>
      <c r="S258">
        <v>4137.3</v>
      </c>
    </row>
    <row r="259" spans="1:19" x14ac:dyDescent="0.3">
      <c r="A259" s="1" t="s">
        <v>543</v>
      </c>
      <c r="B259" s="4">
        <v>45412</v>
      </c>
      <c r="C259" s="1" t="s">
        <v>544</v>
      </c>
      <c r="D259" s="1" t="s">
        <v>48</v>
      </c>
      <c r="E259" s="1" t="s">
        <v>31</v>
      </c>
      <c r="F259" s="1" t="s">
        <v>32</v>
      </c>
      <c r="G259" s="1" t="s">
        <v>42</v>
      </c>
      <c r="H259" s="1" t="s">
        <v>56</v>
      </c>
      <c r="I259" s="1" t="s">
        <v>66</v>
      </c>
      <c r="J259" s="1" t="s">
        <v>67</v>
      </c>
      <c r="K259" s="1" t="s">
        <v>28</v>
      </c>
      <c r="L259">
        <v>1</v>
      </c>
      <c r="M259">
        <v>2499</v>
      </c>
      <c r="N259">
        <v>0.15</v>
      </c>
      <c r="O259">
        <v>2124.15</v>
      </c>
      <c r="P259">
        <v>1450</v>
      </c>
      <c r="Q259">
        <v>1450</v>
      </c>
      <c r="R259">
        <v>40</v>
      </c>
      <c r="S259">
        <v>634.15</v>
      </c>
    </row>
    <row r="260" spans="1:19" x14ac:dyDescent="0.3">
      <c r="A260" s="1" t="s">
        <v>545</v>
      </c>
      <c r="B260" s="4">
        <v>45413</v>
      </c>
      <c r="C260" s="1" t="s">
        <v>383</v>
      </c>
      <c r="D260" s="1" t="s">
        <v>40</v>
      </c>
      <c r="E260" s="1" t="s">
        <v>31</v>
      </c>
      <c r="F260" s="1" t="s">
        <v>32</v>
      </c>
      <c r="G260" s="1" t="s">
        <v>33</v>
      </c>
      <c r="H260" s="1" t="s">
        <v>89</v>
      </c>
      <c r="I260" s="1" t="s">
        <v>81</v>
      </c>
      <c r="J260" s="1" t="s">
        <v>82</v>
      </c>
      <c r="K260" s="1" t="s">
        <v>61</v>
      </c>
      <c r="L260">
        <v>4</v>
      </c>
      <c r="M260">
        <v>2999</v>
      </c>
      <c r="N260">
        <v>0</v>
      </c>
      <c r="O260">
        <v>11996</v>
      </c>
      <c r="P260">
        <v>1750</v>
      </c>
      <c r="Q260">
        <v>7000</v>
      </c>
      <c r="R260">
        <v>0</v>
      </c>
      <c r="S260">
        <v>4996</v>
      </c>
    </row>
    <row r="261" spans="1:19" x14ac:dyDescent="0.3">
      <c r="A261" s="1" t="s">
        <v>546</v>
      </c>
      <c r="B261" s="4">
        <v>45413</v>
      </c>
      <c r="C261" s="1" t="s">
        <v>547</v>
      </c>
      <c r="D261" s="1" t="s">
        <v>21</v>
      </c>
      <c r="E261" s="1" t="s">
        <v>124</v>
      </c>
      <c r="F261" s="1" t="s">
        <v>125</v>
      </c>
      <c r="G261" s="1" t="s">
        <v>24</v>
      </c>
      <c r="H261" s="1" t="s">
        <v>34</v>
      </c>
      <c r="I261" s="1" t="s">
        <v>59</v>
      </c>
      <c r="J261" s="1" t="s">
        <v>60</v>
      </c>
      <c r="K261" s="1" t="s">
        <v>61</v>
      </c>
      <c r="L261">
        <v>2</v>
      </c>
      <c r="M261">
        <v>999</v>
      </c>
      <c r="N261">
        <v>0.1</v>
      </c>
      <c r="O261">
        <v>1798.2</v>
      </c>
      <c r="P261">
        <v>520</v>
      </c>
      <c r="Q261">
        <v>1040</v>
      </c>
      <c r="R261">
        <v>40</v>
      </c>
      <c r="S261">
        <v>718.2</v>
      </c>
    </row>
    <row r="262" spans="1:19" x14ac:dyDescent="0.3">
      <c r="A262" s="1" t="s">
        <v>548</v>
      </c>
      <c r="B262" s="4">
        <v>45413</v>
      </c>
      <c r="C262" s="1" t="s">
        <v>549</v>
      </c>
      <c r="D262" s="1" t="s">
        <v>21</v>
      </c>
      <c r="E262" s="1" t="s">
        <v>96</v>
      </c>
      <c r="F262" s="1" t="s">
        <v>97</v>
      </c>
      <c r="G262" s="1" t="s">
        <v>42</v>
      </c>
      <c r="H262" s="1" t="s">
        <v>56</v>
      </c>
      <c r="I262" s="1" t="s">
        <v>51</v>
      </c>
      <c r="J262" s="1" t="s">
        <v>52</v>
      </c>
      <c r="K262" s="1" t="s">
        <v>37</v>
      </c>
      <c r="L262">
        <v>1</v>
      </c>
      <c r="M262">
        <v>499</v>
      </c>
      <c r="N262">
        <v>0.2</v>
      </c>
      <c r="O262">
        <v>399.2</v>
      </c>
      <c r="P262">
        <v>180</v>
      </c>
      <c r="Q262">
        <v>180</v>
      </c>
      <c r="R262">
        <v>40</v>
      </c>
      <c r="S262">
        <v>179.2</v>
      </c>
    </row>
    <row r="263" spans="1:19" x14ac:dyDescent="0.3">
      <c r="A263" s="1" t="s">
        <v>550</v>
      </c>
      <c r="B263" s="4">
        <v>45413</v>
      </c>
      <c r="C263" s="1" t="s">
        <v>551</v>
      </c>
      <c r="D263" s="1" t="s">
        <v>48</v>
      </c>
      <c r="E263" s="1" t="s">
        <v>124</v>
      </c>
      <c r="F263" s="1" t="s">
        <v>125</v>
      </c>
      <c r="G263" s="1" t="s">
        <v>33</v>
      </c>
      <c r="H263" s="1" t="s">
        <v>71</v>
      </c>
      <c r="I263" s="1" t="s">
        <v>66</v>
      </c>
      <c r="J263" s="1" t="s">
        <v>67</v>
      </c>
      <c r="K263" s="1" t="s">
        <v>28</v>
      </c>
      <c r="L263">
        <v>1</v>
      </c>
      <c r="M263">
        <v>2499</v>
      </c>
      <c r="N263">
        <v>0.15</v>
      </c>
      <c r="O263">
        <v>2124.15</v>
      </c>
      <c r="P263">
        <v>1450</v>
      </c>
      <c r="Q263">
        <v>1450</v>
      </c>
      <c r="R263">
        <v>40</v>
      </c>
      <c r="S263">
        <v>634.15</v>
      </c>
    </row>
    <row r="264" spans="1:19" x14ac:dyDescent="0.3">
      <c r="A264" s="1" t="s">
        <v>552</v>
      </c>
      <c r="B264" s="4">
        <v>45414</v>
      </c>
      <c r="C264" s="1" t="s">
        <v>379</v>
      </c>
      <c r="D264" s="1" t="s">
        <v>40</v>
      </c>
      <c r="E264" s="1" t="s">
        <v>80</v>
      </c>
      <c r="F264" s="1" t="s">
        <v>55</v>
      </c>
      <c r="G264" s="1" t="s">
        <v>42</v>
      </c>
      <c r="H264" s="1" t="s">
        <v>71</v>
      </c>
      <c r="I264" s="1" t="s">
        <v>92</v>
      </c>
      <c r="J264" s="1" t="s">
        <v>93</v>
      </c>
      <c r="K264" s="1" t="s">
        <v>28</v>
      </c>
      <c r="L264">
        <v>1</v>
      </c>
      <c r="M264">
        <v>1599</v>
      </c>
      <c r="N264">
        <v>0.2</v>
      </c>
      <c r="O264">
        <v>1279.2</v>
      </c>
      <c r="P264">
        <v>900</v>
      </c>
      <c r="Q264">
        <v>900</v>
      </c>
      <c r="R264">
        <v>100</v>
      </c>
      <c r="S264">
        <v>279.2</v>
      </c>
    </row>
    <row r="265" spans="1:19" x14ac:dyDescent="0.3">
      <c r="A265" s="1" t="s">
        <v>553</v>
      </c>
      <c r="B265" s="4">
        <v>45415</v>
      </c>
      <c r="C265" s="1" t="s">
        <v>271</v>
      </c>
      <c r="D265" s="1" t="s">
        <v>40</v>
      </c>
      <c r="E265" s="1" t="s">
        <v>41</v>
      </c>
      <c r="F265" s="1" t="s">
        <v>32</v>
      </c>
      <c r="G265" s="1" t="s">
        <v>33</v>
      </c>
      <c r="H265" s="1" t="s">
        <v>25</v>
      </c>
      <c r="I265" s="1" t="s">
        <v>35</v>
      </c>
      <c r="J265" s="1" t="s">
        <v>36</v>
      </c>
      <c r="K265" s="1" t="s">
        <v>37</v>
      </c>
      <c r="L265">
        <v>2</v>
      </c>
      <c r="M265">
        <v>1299</v>
      </c>
      <c r="N265">
        <v>0.1</v>
      </c>
      <c r="O265">
        <v>2338.1999999999998</v>
      </c>
      <c r="P265">
        <v>700</v>
      </c>
      <c r="Q265">
        <v>1400</v>
      </c>
      <c r="R265">
        <v>60</v>
      </c>
      <c r="S265">
        <v>878.2</v>
      </c>
    </row>
    <row r="266" spans="1:19" x14ac:dyDescent="0.3">
      <c r="A266" s="1" t="s">
        <v>554</v>
      </c>
      <c r="B266" s="4">
        <v>45415</v>
      </c>
      <c r="C266" s="1" t="s">
        <v>294</v>
      </c>
      <c r="D266" s="1" t="s">
        <v>48</v>
      </c>
      <c r="E266" s="1" t="s">
        <v>49</v>
      </c>
      <c r="F266" s="1" t="s">
        <v>50</v>
      </c>
      <c r="G266" s="1" t="s">
        <v>24</v>
      </c>
      <c r="H266" s="1" t="s">
        <v>34</v>
      </c>
      <c r="I266" s="1" t="s">
        <v>26</v>
      </c>
      <c r="J266" s="1" t="s">
        <v>27</v>
      </c>
      <c r="K266" s="1" t="s">
        <v>28</v>
      </c>
      <c r="L266">
        <v>1</v>
      </c>
      <c r="M266">
        <v>799</v>
      </c>
      <c r="N266">
        <v>0.15</v>
      </c>
      <c r="O266">
        <v>679.15</v>
      </c>
      <c r="P266">
        <v>420</v>
      </c>
      <c r="Q266">
        <v>420</v>
      </c>
      <c r="R266">
        <v>100</v>
      </c>
      <c r="S266">
        <v>159.15</v>
      </c>
    </row>
    <row r="267" spans="1:19" x14ac:dyDescent="0.3">
      <c r="A267" s="1" t="s">
        <v>555</v>
      </c>
      <c r="B267" s="4">
        <v>45415</v>
      </c>
      <c r="C267" s="1" t="s">
        <v>500</v>
      </c>
      <c r="D267" s="1" t="s">
        <v>21</v>
      </c>
      <c r="E267" s="1" t="s">
        <v>112</v>
      </c>
      <c r="F267" s="1" t="s">
        <v>113</v>
      </c>
      <c r="G267" s="1" t="s">
        <v>42</v>
      </c>
      <c r="H267" s="1" t="s">
        <v>89</v>
      </c>
      <c r="I267" s="1" t="s">
        <v>134</v>
      </c>
      <c r="J267" s="1" t="s">
        <v>135</v>
      </c>
      <c r="K267" s="1" t="s">
        <v>136</v>
      </c>
      <c r="L267">
        <v>3</v>
      </c>
      <c r="M267">
        <v>299</v>
      </c>
      <c r="N267">
        <v>0.05</v>
      </c>
      <c r="O267">
        <v>852.15</v>
      </c>
      <c r="P267">
        <v>110</v>
      </c>
      <c r="Q267">
        <v>330</v>
      </c>
      <c r="R267">
        <v>100</v>
      </c>
      <c r="S267">
        <v>422.15</v>
      </c>
    </row>
    <row r="268" spans="1:19" x14ac:dyDescent="0.3">
      <c r="A268" s="1" t="s">
        <v>556</v>
      </c>
      <c r="B268" s="4">
        <v>45415</v>
      </c>
      <c r="C268" s="1" t="s">
        <v>346</v>
      </c>
      <c r="D268" s="1" t="s">
        <v>21</v>
      </c>
      <c r="E268" s="1" t="s">
        <v>70</v>
      </c>
      <c r="F268" s="1" t="s">
        <v>70</v>
      </c>
      <c r="G268" s="1" t="s">
        <v>24</v>
      </c>
      <c r="H268" s="1" t="s">
        <v>71</v>
      </c>
      <c r="I268" s="1" t="s">
        <v>51</v>
      </c>
      <c r="J268" s="1" t="s">
        <v>52</v>
      </c>
      <c r="K268" s="1" t="s">
        <v>37</v>
      </c>
      <c r="L268">
        <v>1</v>
      </c>
      <c r="M268">
        <v>499</v>
      </c>
      <c r="N268">
        <v>0.05</v>
      </c>
      <c r="O268">
        <v>474.05</v>
      </c>
      <c r="P268">
        <v>180</v>
      </c>
      <c r="Q268">
        <v>180</v>
      </c>
      <c r="R268">
        <v>60</v>
      </c>
      <c r="S268">
        <v>234.05</v>
      </c>
    </row>
    <row r="269" spans="1:19" x14ac:dyDescent="0.3">
      <c r="A269" s="1" t="s">
        <v>557</v>
      </c>
      <c r="B269" s="4">
        <v>45416</v>
      </c>
      <c r="C269" s="1" t="s">
        <v>558</v>
      </c>
      <c r="D269" s="1" t="s">
        <v>21</v>
      </c>
      <c r="E269" s="1" t="s">
        <v>41</v>
      </c>
      <c r="F269" s="1" t="s">
        <v>32</v>
      </c>
      <c r="G269" s="1" t="s">
        <v>42</v>
      </c>
      <c r="H269" s="1" t="s">
        <v>25</v>
      </c>
      <c r="I269" s="1" t="s">
        <v>134</v>
      </c>
      <c r="J269" s="1" t="s">
        <v>135</v>
      </c>
      <c r="K269" s="1" t="s">
        <v>136</v>
      </c>
      <c r="L269">
        <v>2</v>
      </c>
      <c r="M269">
        <v>299</v>
      </c>
      <c r="N269">
        <v>0.05</v>
      </c>
      <c r="O269">
        <v>568.1</v>
      </c>
      <c r="P269">
        <v>110</v>
      </c>
      <c r="Q269">
        <v>220</v>
      </c>
      <c r="R269">
        <v>60</v>
      </c>
      <c r="S269">
        <v>288.10000000000002</v>
      </c>
    </row>
    <row r="270" spans="1:19" x14ac:dyDescent="0.3">
      <c r="A270" s="1" t="s">
        <v>559</v>
      </c>
      <c r="B270" s="4">
        <v>45416</v>
      </c>
      <c r="C270" s="1" t="s">
        <v>411</v>
      </c>
      <c r="D270" s="1" t="s">
        <v>48</v>
      </c>
      <c r="E270" s="1" t="s">
        <v>54</v>
      </c>
      <c r="F270" s="1" t="s">
        <v>55</v>
      </c>
      <c r="G270" s="1" t="s">
        <v>24</v>
      </c>
      <c r="H270" s="1" t="s">
        <v>34</v>
      </c>
      <c r="I270" s="1" t="s">
        <v>43</v>
      </c>
      <c r="J270" s="1" t="s">
        <v>44</v>
      </c>
      <c r="K270" s="1" t="s">
        <v>45</v>
      </c>
      <c r="L270">
        <v>2</v>
      </c>
      <c r="M270">
        <v>1799</v>
      </c>
      <c r="N270">
        <v>0.15</v>
      </c>
      <c r="O270">
        <v>3058.3</v>
      </c>
      <c r="P270">
        <v>850</v>
      </c>
      <c r="Q270">
        <v>1700</v>
      </c>
      <c r="R270">
        <v>40</v>
      </c>
      <c r="S270">
        <v>1318.3</v>
      </c>
    </row>
    <row r="271" spans="1:19" x14ac:dyDescent="0.3">
      <c r="A271" s="1" t="s">
        <v>560</v>
      </c>
      <c r="B271" s="4">
        <v>45416</v>
      </c>
      <c r="C271" s="1" t="s">
        <v>561</v>
      </c>
      <c r="D271" s="1" t="s">
        <v>40</v>
      </c>
      <c r="E271" s="1" t="s">
        <v>120</v>
      </c>
      <c r="F271" s="1" t="s">
        <v>121</v>
      </c>
      <c r="G271" s="1" t="s">
        <v>42</v>
      </c>
      <c r="H271" s="1" t="s">
        <v>71</v>
      </c>
      <c r="I271" s="1" t="s">
        <v>51</v>
      </c>
      <c r="J271" s="1" t="s">
        <v>52</v>
      </c>
      <c r="K271" s="1" t="s">
        <v>37</v>
      </c>
      <c r="L271">
        <v>2</v>
      </c>
      <c r="M271">
        <v>499</v>
      </c>
      <c r="N271">
        <v>0.15</v>
      </c>
      <c r="O271">
        <v>848.3</v>
      </c>
      <c r="P271">
        <v>180</v>
      </c>
      <c r="Q271">
        <v>360</v>
      </c>
      <c r="R271">
        <v>0</v>
      </c>
      <c r="S271">
        <v>488.3</v>
      </c>
    </row>
    <row r="272" spans="1:19" x14ac:dyDescent="0.3">
      <c r="A272" s="1" t="s">
        <v>562</v>
      </c>
      <c r="B272" s="4">
        <v>45417</v>
      </c>
      <c r="C272" s="1" t="s">
        <v>563</v>
      </c>
      <c r="D272" s="1" t="s">
        <v>21</v>
      </c>
      <c r="E272" s="1" t="s">
        <v>49</v>
      </c>
      <c r="F272" s="1" t="s">
        <v>50</v>
      </c>
      <c r="G272" s="1" t="s">
        <v>33</v>
      </c>
      <c r="H272" s="1" t="s">
        <v>71</v>
      </c>
      <c r="I272" s="1" t="s">
        <v>51</v>
      </c>
      <c r="J272" s="1" t="s">
        <v>52</v>
      </c>
      <c r="K272" s="1" t="s">
        <v>37</v>
      </c>
      <c r="L272">
        <v>2</v>
      </c>
      <c r="M272">
        <v>499</v>
      </c>
      <c r="N272">
        <v>0.1</v>
      </c>
      <c r="O272">
        <v>898.2</v>
      </c>
      <c r="P272">
        <v>180</v>
      </c>
      <c r="Q272">
        <v>360</v>
      </c>
      <c r="R272">
        <v>0</v>
      </c>
      <c r="S272">
        <v>538.20000000000005</v>
      </c>
    </row>
    <row r="273" spans="1:19" x14ac:dyDescent="0.3">
      <c r="A273" s="1" t="s">
        <v>564</v>
      </c>
      <c r="B273" s="4">
        <v>45418</v>
      </c>
      <c r="C273" s="1" t="s">
        <v>565</v>
      </c>
      <c r="D273" s="1" t="s">
        <v>48</v>
      </c>
      <c r="E273" s="1" t="s">
        <v>80</v>
      </c>
      <c r="F273" s="1" t="s">
        <v>55</v>
      </c>
      <c r="G273" s="1" t="s">
        <v>33</v>
      </c>
      <c r="H273" s="1" t="s">
        <v>89</v>
      </c>
      <c r="I273" s="1" t="s">
        <v>66</v>
      </c>
      <c r="J273" s="1" t="s">
        <v>67</v>
      </c>
      <c r="K273" s="1" t="s">
        <v>28</v>
      </c>
      <c r="L273">
        <v>1</v>
      </c>
      <c r="M273">
        <v>2499</v>
      </c>
      <c r="N273">
        <v>0.1</v>
      </c>
      <c r="O273">
        <v>2249.1</v>
      </c>
      <c r="P273">
        <v>1450</v>
      </c>
      <c r="Q273">
        <v>1450</v>
      </c>
      <c r="R273">
        <v>60</v>
      </c>
      <c r="S273">
        <v>739.1</v>
      </c>
    </row>
    <row r="274" spans="1:19" x14ac:dyDescent="0.3">
      <c r="A274" s="1" t="s">
        <v>566</v>
      </c>
      <c r="B274" s="4">
        <v>45418</v>
      </c>
      <c r="C274" s="1" t="s">
        <v>491</v>
      </c>
      <c r="D274" s="1" t="s">
        <v>48</v>
      </c>
      <c r="E274" s="1" t="s">
        <v>70</v>
      </c>
      <c r="F274" s="1" t="s">
        <v>70</v>
      </c>
      <c r="G274" s="1" t="s">
        <v>33</v>
      </c>
      <c r="H274" s="1" t="s">
        <v>89</v>
      </c>
      <c r="I274" s="1" t="s">
        <v>81</v>
      </c>
      <c r="J274" s="1" t="s">
        <v>82</v>
      </c>
      <c r="K274" s="1" t="s">
        <v>61</v>
      </c>
      <c r="L274">
        <v>1</v>
      </c>
      <c r="M274">
        <v>2999</v>
      </c>
      <c r="N274">
        <v>0.05</v>
      </c>
      <c r="O274">
        <v>2849.05</v>
      </c>
      <c r="P274">
        <v>1750</v>
      </c>
      <c r="Q274">
        <v>1750</v>
      </c>
      <c r="R274">
        <v>40</v>
      </c>
      <c r="S274">
        <v>1059.05</v>
      </c>
    </row>
    <row r="275" spans="1:19" x14ac:dyDescent="0.3">
      <c r="A275" s="1" t="s">
        <v>567</v>
      </c>
      <c r="B275" s="4">
        <v>45418</v>
      </c>
      <c r="C275" s="1" t="s">
        <v>568</v>
      </c>
      <c r="D275" s="1" t="s">
        <v>21</v>
      </c>
      <c r="E275" s="1" t="s">
        <v>124</v>
      </c>
      <c r="F275" s="1" t="s">
        <v>125</v>
      </c>
      <c r="G275" s="1" t="s">
        <v>24</v>
      </c>
      <c r="H275" s="1" t="s">
        <v>25</v>
      </c>
      <c r="I275" s="1" t="s">
        <v>43</v>
      </c>
      <c r="J275" s="1" t="s">
        <v>44</v>
      </c>
      <c r="K275" s="1" t="s">
        <v>45</v>
      </c>
      <c r="L275">
        <v>1</v>
      </c>
      <c r="M275">
        <v>1799</v>
      </c>
      <c r="N275">
        <v>0</v>
      </c>
      <c r="O275">
        <v>1799</v>
      </c>
      <c r="P275">
        <v>850</v>
      </c>
      <c r="Q275">
        <v>850</v>
      </c>
      <c r="R275">
        <v>80</v>
      </c>
      <c r="S275">
        <v>869</v>
      </c>
    </row>
    <row r="276" spans="1:19" x14ac:dyDescent="0.3">
      <c r="A276" s="1" t="s">
        <v>569</v>
      </c>
      <c r="B276" s="4">
        <v>45419</v>
      </c>
      <c r="C276" s="1" t="s">
        <v>570</v>
      </c>
      <c r="D276" s="1" t="s">
        <v>48</v>
      </c>
      <c r="E276" s="1" t="s">
        <v>112</v>
      </c>
      <c r="F276" s="1" t="s">
        <v>113</v>
      </c>
      <c r="G276" s="1" t="s">
        <v>42</v>
      </c>
      <c r="H276" s="1" t="s">
        <v>71</v>
      </c>
      <c r="I276" s="1" t="s">
        <v>43</v>
      </c>
      <c r="J276" s="1" t="s">
        <v>44</v>
      </c>
      <c r="K276" s="1" t="s">
        <v>45</v>
      </c>
      <c r="L276">
        <v>1</v>
      </c>
      <c r="M276">
        <v>1799</v>
      </c>
      <c r="N276">
        <v>0.05</v>
      </c>
      <c r="O276">
        <v>1709.05</v>
      </c>
      <c r="P276">
        <v>850</v>
      </c>
      <c r="Q276">
        <v>850</v>
      </c>
      <c r="R276">
        <v>100</v>
      </c>
      <c r="S276">
        <v>759.05</v>
      </c>
    </row>
    <row r="277" spans="1:19" x14ac:dyDescent="0.3">
      <c r="A277" s="1" t="s">
        <v>571</v>
      </c>
      <c r="B277" s="4">
        <v>45421</v>
      </c>
      <c r="C277" s="1" t="s">
        <v>486</v>
      </c>
      <c r="D277" s="1" t="s">
        <v>48</v>
      </c>
      <c r="E277" s="1" t="s">
        <v>31</v>
      </c>
      <c r="F277" s="1" t="s">
        <v>32</v>
      </c>
      <c r="G277" s="1" t="s">
        <v>24</v>
      </c>
      <c r="H277" s="1" t="s">
        <v>71</v>
      </c>
      <c r="I277" s="1" t="s">
        <v>85</v>
      </c>
      <c r="J277" s="1" t="s">
        <v>86</v>
      </c>
      <c r="K277" s="1" t="s">
        <v>45</v>
      </c>
      <c r="L277">
        <v>2</v>
      </c>
      <c r="M277">
        <v>599</v>
      </c>
      <c r="N277">
        <v>0.1</v>
      </c>
      <c r="O277">
        <v>1078.2</v>
      </c>
      <c r="P277">
        <v>240</v>
      </c>
      <c r="Q277">
        <v>480</v>
      </c>
      <c r="R277">
        <v>60</v>
      </c>
      <c r="S277">
        <v>538.20000000000005</v>
      </c>
    </row>
    <row r="278" spans="1:19" x14ac:dyDescent="0.3">
      <c r="A278" s="1" t="s">
        <v>572</v>
      </c>
      <c r="B278" s="4">
        <v>45421</v>
      </c>
      <c r="C278" s="1" t="s">
        <v>573</v>
      </c>
      <c r="D278" s="1" t="s">
        <v>21</v>
      </c>
      <c r="E278" s="1" t="s">
        <v>64</v>
      </c>
      <c r="F278" s="1" t="s">
        <v>65</v>
      </c>
      <c r="G278" s="1" t="s">
        <v>24</v>
      </c>
      <c r="H278" s="1" t="s">
        <v>89</v>
      </c>
      <c r="I278" s="1" t="s">
        <v>72</v>
      </c>
      <c r="J278" s="1" t="s">
        <v>73</v>
      </c>
      <c r="K278" s="1" t="s">
        <v>28</v>
      </c>
      <c r="L278">
        <v>1</v>
      </c>
      <c r="M278">
        <v>2199</v>
      </c>
      <c r="N278">
        <v>0</v>
      </c>
      <c r="O278">
        <v>2199</v>
      </c>
      <c r="P278">
        <v>1250</v>
      </c>
      <c r="Q278">
        <v>1250</v>
      </c>
      <c r="R278">
        <v>0</v>
      </c>
      <c r="S278">
        <v>949</v>
      </c>
    </row>
    <row r="279" spans="1:19" x14ac:dyDescent="0.3">
      <c r="A279" s="1" t="s">
        <v>574</v>
      </c>
      <c r="B279" s="4">
        <v>45421</v>
      </c>
      <c r="C279" s="1" t="s">
        <v>109</v>
      </c>
      <c r="D279" s="1" t="s">
        <v>48</v>
      </c>
      <c r="E279" s="1" t="s">
        <v>80</v>
      </c>
      <c r="F279" s="1" t="s">
        <v>55</v>
      </c>
      <c r="G279" s="1" t="s">
        <v>24</v>
      </c>
      <c r="H279" s="1" t="s">
        <v>34</v>
      </c>
      <c r="I279" s="1" t="s">
        <v>26</v>
      </c>
      <c r="J279" s="1" t="s">
        <v>27</v>
      </c>
      <c r="K279" s="1" t="s">
        <v>28</v>
      </c>
      <c r="L279">
        <v>3</v>
      </c>
      <c r="M279">
        <v>799</v>
      </c>
      <c r="N279">
        <v>0</v>
      </c>
      <c r="O279">
        <v>2397</v>
      </c>
      <c r="P279">
        <v>420</v>
      </c>
      <c r="Q279">
        <v>1260</v>
      </c>
      <c r="R279">
        <v>40</v>
      </c>
      <c r="S279">
        <v>1097</v>
      </c>
    </row>
    <row r="280" spans="1:19" x14ac:dyDescent="0.3">
      <c r="A280" s="1" t="s">
        <v>575</v>
      </c>
      <c r="B280" s="4">
        <v>45421</v>
      </c>
      <c r="C280" s="1" t="s">
        <v>576</v>
      </c>
      <c r="D280" s="1" t="s">
        <v>21</v>
      </c>
      <c r="E280" s="1" t="s">
        <v>96</v>
      </c>
      <c r="F280" s="1" t="s">
        <v>97</v>
      </c>
      <c r="G280" s="1" t="s">
        <v>24</v>
      </c>
      <c r="H280" s="1" t="s">
        <v>89</v>
      </c>
      <c r="I280" s="1" t="s">
        <v>85</v>
      </c>
      <c r="J280" s="1" t="s">
        <v>86</v>
      </c>
      <c r="K280" s="1" t="s">
        <v>45</v>
      </c>
      <c r="L280">
        <v>5</v>
      </c>
      <c r="M280">
        <v>599</v>
      </c>
      <c r="N280">
        <v>0.1</v>
      </c>
      <c r="O280">
        <v>2695.5</v>
      </c>
      <c r="P280">
        <v>240</v>
      </c>
      <c r="Q280">
        <v>1200</v>
      </c>
      <c r="R280">
        <v>40</v>
      </c>
      <c r="S280">
        <v>1455.5</v>
      </c>
    </row>
    <row r="281" spans="1:19" x14ac:dyDescent="0.3">
      <c r="A281" s="1" t="s">
        <v>577</v>
      </c>
      <c r="B281" s="4">
        <v>45422</v>
      </c>
      <c r="C281" s="1" t="s">
        <v>578</v>
      </c>
      <c r="D281" s="1" t="s">
        <v>40</v>
      </c>
      <c r="E281" s="1" t="s">
        <v>41</v>
      </c>
      <c r="F281" s="1" t="s">
        <v>32</v>
      </c>
      <c r="G281" s="1" t="s">
        <v>42</v>
      </c>
      <c r="H281" s="1" t="s">
        <v>25</v>
      </c>
      <c r="I281" s="1" t="s">
        <v>51</v>
      </c>
      <c r="J281" s="1" t="s">
        <v>52</v>
      </c>
      <c r="K281" s="1" t="s">
        <v>37</v>
      </c>
      <c r="L281">
        <v>2</v>
      </c>
      <c r="M281">
        <v>499</v>
      </c>
      <c r="N281">
        <v>0</v>
      </c>
      <c r="O281">
        <v>998</v>
      </c>
      <c r="P281">
        <v>180</v>
      </c>
      <c r="Q281">
        <v>360</v>
      </c>
      <c r="R281">
        <v>100</v>
      </c>
      <c r="S281">
        <v>538</v>
      </c>
    </row>
    <row r="282" spans="1:19" x14ac:dyDescent="0.3">
      <c r="A282" s="1" t="s">
        <v>579</v>
      </c>
      <c r="B282" s="4">
        <v>45422</v>
      </c>
      <c r="C282" s="1" t="s">
        <v>580</v>
      </c>
      <c r="D282" s="1" t="s">
        <v>48</v>
      </c>
      <c r="E282" s="1" t="s">
        <v>22</v>
      </c>
      <c r="F282" s="1" t="s">
        <v>23</v>
      </c>
      <c r="G282" s="1" t="s">
        <v>24</v>
      </c>
      <c r="H282" s="1" t="s">
        <v>56</v>
      </c>
      <c r="I282" s="1" t="s">
        <v>81</v>
      </c>
      <c r="J282" s="1" t="s">
        <v>82</v>
      </c>
      <c r="K282" s="1" t="s">
        <v>61</v>
      </c>
      <c r="L282">
        <v>4</v>
      </c>
      <c r="M282">
        <v>2999</v>
      </c>
      <c r="N282">
        <v>0.15</v>
      </c>
      <c r="O282">
        <v>10196.6</v>
      </c>
      <c r="P282">
        <v>1750</v>
      </c>
      <c r="Q282">
        <v>7000</v>
      </c>
      <c r="R282">
        <v>0</v>
      </c>
      <c r="S282">
        <v>3196.6</v>
      </c>
    </row>
    <row r="283" spans="1:19" x14ac:dyDescent="0.3">
      <c r="A283" s="1" t="s">
        <v>581</v>
      </c>
      <c r="B283" s="4">
        <v>45423</v>
      </c>
      <c r="C283" s="1" t="s">
        <v>283</v>
      </c>
      <c r="D283" s="1" t="s">
        <v>40</v>
      </c>
      <c r="E283" s="1" t="s">
        <v>31</v>
      </c>
      <c r="F283" s="1" t="s">
        <v>32</v>
      </c>
      <c r="G283" s="1" t="s">
        <v>33</v>
      </c>
      <c r="H283" s="1" t="s">
        <v>34</v>
      </c>
      <c r="I283" s="1" t="s">
        <v>76</v>
      </c>
      <c r="J283" s="1" t="s">
        <v>77</v>
      </c>
      <c r="K283" s="1" t="s">
        <v>37</v>
      </c>
      <c r="L283">
        <v>2</v>
      </c>
      <c r="M283">
        <v>6999</v>
      </c>
      <c r="N283">
        <v>0</v>
      </c>
      <c r="O283">
        <v>13998</v>
      </c>
      <c r="P283">
        <v>4900</v>
      </c>
      <c r="Q283">
        <v>9800</v>
      </c>
      <c r="R283">
        <v>60</v>
      </c>
      <c r="S283">
        <v>4138</v>
      </c>
    </row>
    <row r="284" spans="1:19" x14ac:dyDescent="0.3">
      <c r="A284" s="1" t="s">
        <v>582</v>
      </c>
      <c r="B284" s="4">
        <v>45424</v>
      </c>
      <c r="C284" s="1" t="s">
        <v>583</v>
      </c>
      <c r="D284" s="1" t="s">
        <v>21</v>
      </c>
      <c r="E284" s="1" t="s">
        <v>31</v>
      </c>
      <c r="F284" s="1" t="s">
        <v>32</v>
      </c>
      <c r="G284" s="1" t="s">
        <v>42</v>
      </c>
      <c r="H284" s="1" t="s">
        <v>25</v>
      </c>
      <c r="I284" s="1" t="s">
        <v>72</v>
      </c>
      <c r="J284" s="1" t="s">
        <v>73</v>
      </c>
      <c r="K284" s="1" t="s">
        <v>28</v>
      </c>
      <c r="L284">
        <v>1</v>
      </c>
      <c r="M284">
        <v>2199</v>
      </c>
      <c r="N284">
        <v>0.15</v>
      </c>
      <c r="O284">
        <v>1869.15</v>
      </c>
      <c r="P284">
        <v>1250</v>
      </c>
      <c r="Q284">
        <v>1250</v>
      </c>
      <c r="R284">
        <v>60</v>
      </c>
      <c r="S284">
        <v>559.15</v>
      </c>
    </row>
    <row r="285" spans="1:19" x14ac:dyDescent="0.3">
      <c r="A285" s="1" t="s">
        <v>584</v>
      </c>
      <c r="B285" s="4">
        <v>45424</v>
      </c>
      <c r="C285" s="1" t="s">
        <v>115</v>
      </c>
      <c r="D285" s="1" t="s">
        <v>21</v>
      </c>
      <c r="E285" s="1" t="s">
        <v>96</v>
      </c>
      <c r="F285" s="1" t="s">
        <v>97</v>
      </c>
      <c r="G285" s="1" t="s">
        <v>33</v>
      </c>
      <c r="H285" s="1" t="s">
        <v>25</v>
      </c>
      <c r="I285" s="1" t="s">
        <v>72</v>
      </c>
      <c r="J285" s="1" t="s">
        <v>73</v>
      </c>
      <c r="K285" s="1" t="s">
        <v>28</v>
      </c>
      <c r="L285">
        <v>2</v>
      </c>
      <c r="M285">
        <v>2199</v>
      </c>
      <c r="N285">
        <v>0.15</v>
      </c>
      <c r="O285">
        <v>3738.3</v>
      </c>
      <c r="P285">
        <v>1250</v>
      </c>
      <c r="Q285">
        <v>2500</v>
      </c>
      <c r="R285">
        <v>0</v>
      </c>
      <c r="S285">
        <v>1238.3</v>
      </c>
    </row>
    <row r="286" spans="1:19" x14ac:dyDescent="0.3">
      <c r="A286" s="1" t="s">
        <v>585</v>
      </c>
      <c r="B286" s="4">
        <v>45424</v>
      </c>
      <c r="C286" s="1" t="s">
        <v>435</v>
      </c>
      <c r="D286" s="1" t="s">
        <v>21</v>
      </c>
      <c r="E286" s="1" t="s">
        <v>112</v>
      </c>
      <c r="F286" s="1" t="s">
        <v>113</v>
      </c>
      <c r="G286" s="1" t="s">
        <v>42</v>
      </c>
      <c r="H286" s="1" t="s">
        <v>25</v>
      </c>
      <c r="I286" s="1" t="s">
        <v>134</v>
      </c>
      <c r="J286" s="1" t="s">
        <v>135</v>
      </c>
      <c r="K286" s="1" t="s">
        <v>136</v>
      </c>
      <c r="L286">
        <v>2</v>
      </c>
      <c r="M286">
        <v>299</v>
      </c>
      <c r="N286">
        <v>0.1</v>
      </c>
      <c r="O286">
        <v>538.20000000000005</v>
      </c>
      <c r="P286">
        <v>110</v>
      </c>
      <c r="Q286">
        <v>220</v>
      </c>
      <c r="R286">
        <v>80</v>
      </c>
      <c r="S286">
        <v>238.2</v>
      </c>
    </row>
    <row r="287" spans="1:19" x14ac:dyDescent="0.3">
      <c r="A287" s="1" t="s">
        <v>586</v>
      </c>
      <c r="B287" s="4">
        <v>45425</v>
      </c>
      <c r="C287" s="1" t="s">
        <v>351</v>
      </c>
      <c r="D287" s="1" t="s">
        <v>21</v>
      </c>
      <c r="E287" s="1" t="s">
        <v>54</v>
      </c>
      <c r="F287" s="1" t="s">
        <v>55</v>
      </c>
      <c r="G287" s="1" t="s">
        <v>33</v>
      </c>
      <c r="H287" s="1" t="s">
        <v>25</v>
      </c>
      <c r="I287" s="1" t="s">
        <v>66</v>
      </c>
      <c r="J287" s="1" t="s">
        <v>67</v>
      </c>
      <c r="K287" s="1" t="s">
        <v>28</v>
      </c>
      <c r="L287">
        <v>1</v>
      </c>
      <c r="M287">
        <v>2499</v>
      </c>
      <c r="N287">
        <v>0</v>
      </c>
      <c r="O287">
        <v>2499</v>
      </c>
      <c r="P287">
        <v>1450</v>
      </c>
      <c r="Q287">
        <v>1450</v>
      </c>
      <c r="R287">
        <v>0</v>
      </c>
      <c r="S287">
        <v>1049</v>
      </c>
    </row>
    <row r="288" spans="1:19" x14ac:dyDescent="0.3">
      <c r="A288" s="1" t="s">
        <v>587</v>
      </c>
      <c r="B288" s="4">
        <v>45425</v>
      </c>
      <c r="C288" s="1" t="s">
        <v>30</v>
      </c>
      <c r="D288" s="1" t="s">
        <v>40</v>
      </c>
      <c r="E288" s="1" t="s">
        <v>31</v>
      </c>
      <c r="F288" s="1" t="s">
        <v>32</v>
      </c>
      <c r="G288" s="1" t="s">
        <v>42</v>
      </c>
      <c r="H288" s="1" t="s">
        <v>34</v>
      </c>
      <c r="I288" s="1" t="s">
        <v>76</v>
      </c>
      <c r="J288" s="1" t="s">
        <v>77</v>
      </c>
      <c r="K288" s="1" t="s">
        <v>37</v>
      </c>
      <c r="L288">
        <v>3</v>
      </c>
      <c r="M288">
        <v>6999</v>
      </c>
      <c r="N288">
        <v>0</v>
      </c>
      <c r="O288">
        <v>20997</v>
      </c>
      <c r="P288">
        <v>4900</v>
      </c>
      <c r="Q288">
        <v>14700</v>
      </c>
      <c r="R288">
        <v>0</v>
      </c>
      <c r="S288">
        <v>6297</v>
      </c>
    </row>
    <row r="289" spans="1:19" x14ac:dyDescent="0.3">
      <c r="A289" s="1" t="s">
        <v>588</v>
      </c>
      <c r="B289" s="4">
        <v>45425</v>
      </c>
      <c r="C289" s="1" t="s">
        <v>589</v>
      </c>
      <c r="D289" s="1" t="s">
        <v>48</v>
      </c>
      <c r="E289" s="1" t="s">
        <v>124</v>
      </c>
      <c r="F289" s="1" t="s">
        <v>125</v>
      </c>
      <c r="G289" s="1" t="s">
        <v>42</v>
      </c>
      <c r="H289" s="1" t="s">
        <v>25</v>
      </c>
      <c r="I289" s="1" t="s">
        <v>92</v>
      </c>
      <c r="J289" s="1" t="s">
        <v>93</v>
      </c>
      <c r="K289" s="1" t="s">
        <v>28</v>
      </c>
      <c r="L289">
        <v>2</v>
      </c>
      <c r="M289">
        <v>1599</v>
      </c>
      <c r="N289">
        <v>0.05</v>
      </c>
      <c r="O289">
        <v>3038.1</v>
      </c>
      <c r="P289">
        <v>900</v>
      </c>
      <c r="Q289">
        <v>1800</v>
      </c>
      <c r="R289">
        <v>0</v>
      </c>
      <c r="S289">
        <v>1238.0999999999999</v>
      </c>
    </row>
    <row r="290" spans="1:19" x14ac:dyDescent="0.3">
      <c r="A290" s="1" t="s">
        <v>590</v>
      </c>
      <c r="B290" s="4">
        <v>45426</v>
      </c>
      <c r="C290" s="1" t="s">
        <v>404</v>
      </c>
      <c r="D290" s="1" t="s">
        <v>21</v>
      </c>
      <c r="E290" s="1" t="s">
        <v>49</v>
      </c>
      <c r="F290" s="1" t="s">
        <v>50</v>
      </c>
      <c r="G290" s="1" t="s">
        <v>33</v>
      </c>
      <c r="H290" s="1" t="s">
        <v>56</v>
      </c>
      <c r="I290" s="1" t="s">
        <v>134</v>
      </c>
      <c r="J290" s="1" t="s">
        <v>135</v>
      </c>
      <c r="K290" s="1" t="s">
        <v>136</v>
      </c>
      <c r="L290">
        <v>2</v>
      </c>
      <c r="M290">
        <v>299</v>
      </c>
      <c r="N290">
        <v>0</v>
      </c>
      <c r="O290">
        <v>598</v>
      </c>
      <c r="P290">
        <v>110</v>
      </c>
      <c r="Q290">
        <v>220</v>
      </c>
      <c r="R290">
        <v>60</v>
      </c>
      <c r="S290">
        <v>318</v>
      </c>
    </row>
    <row r="291" spans="1:19" x14ac:dyDescent="0.3">
      <c r="A291" s="1" t="s">
        <v>591</v>
      </c>
      <c r="B291" s="4">
        <v>45426</v>
      </c>
      <c r="C291" s="1" t="s">
        <v>425</v>
      </c>
      <c r="D291" s="1" t="s">
        <v>48</v>
      </c>
      <c r="E291" s="1" t="s">
        <v>41</v>
      </c>
      <c r="F291" s="1" t="s">
        <v>32</v>
      </c>
      <c r="G291" s="1" t="s">
        <v>33</v>
      </c>
      <c r="H291" s="1" t="s">
        <v>34</v>
      </c>
      <c r="I291" s="1" t="s">
        <v>35</v>
      </c>
      <c r="J291" s="1" t="s">
        <v>36</v>
      </c>
      <c r="K291" s="1" t="s">
        <v>37</v>
      </c>
      <c r="L291">
        <v>2</v>
      </c>
      <c r="M291">
        <v>1299</v>
      </c>
      <c r="N291">
        <v>0.1</v>
      </c>
      <c r="O291">
        <v>2338.1999999999998</v>
      </c>
      <c r="P291">
        <v>700</v>
      </c>
      <c r="Q291">
        <v>1400</v>
      </c>
      <c r="R291">
        <v>80</v>
      </c>
      <c r="S291">
        <v>858.2</v>
      </c>
    </row>
    <row r="292" spans="1:19" x14ac:dyDescent="0.3">
      <c r="A292" s="1" t="s">
        <v>592</v>
      </c>
      <c r="B292" s="4">
        <v>45426</v>
      </c>
      <c r="C292" s="1" t="s">
        <v>593</v>
      </c>
      <c r="D292" s="1" t="s">
        <v>48</v>
      </c>
      <c r="E292" s="1" t="s">
        <v>70</v>
      </c>
      <c r="F292" s="1" t="s">
        <v>70</v>
      </c>
      <c r="G292" s="1" t="s">
        <v>42</v>
      </c>
      <c r="H292" s="1" t="s">
        <v>56</v>
      </c>
      <c r="I292" s="1" t="s">
        <v>66</v>
      </c>
      <c r="J292" s="1" t="s">
        <v>67</v>
      </c>
      <c r="K292" s="1" t="s">
        <v>28</v>
      </c>
      <c r="L292">
        <v>4</v>
      </c>
      <c r="M292">
        <v>2499</v>
      </c>
      <c r="N292">
        <v>0</v>
      </c>
      <c r="O292">
        <v>9996</v>
      </c>
      <c r="P292">
        <v>1450</v>
      </c>
      <c r="Q292">
        <v>5800</v>
      </c>
      <c r="R292">
        <v>40</v>
      </c>
      <c r="S292">
        <v>4156</v>
      </c>
    </row>
    <row r="293" spans="1:19" x14ac:dyDescent="0.3">
      <c r="A293" s="1" t="s">
        <v>594</v>
      </c>
      <c r="B293" s="4">
        <v>45426</v>
      </c>
      <c r="C293" s="1" t="s">
        <v>558</v>
      </c>
      <c r="D293" s="1" t="s">
        <v>21</v>
      </c>
      <c r="E293" s="1" t="s">
        <v>96</v>
      </c>
      <c r="F293" s="1" t="s">
        <v>97</v>
      </c>
      <c r="G293" s="1" t="s">
        <v>24</v>
      </c>
      <c r="H293" s="1" t="s">
        <v>56</v>
      </c>
      <c r="I293" s="1" t="s">
        <v>81</v>
      </c>
      <c r="J293" s="1" t="s">
        <v>82</v>
      </c>
      <c r="K293" s="1" t="s">
        <v>61</v>
      </c>
      <c r="L293">
        <v>3</v>
      </c>
      <c r="M293">
        <v>2999</v>
      </c>
      <c r="N293">
        <v>0.15</v>
      </c>
      <c r="O293">
        <v>7647.45</v>
      </c>
      <c r="P293">
        <v>1750</v>
      </c>
      <c r="Q293">
        <v>5250</v>
      </c>
      <c r="R293">
        <v>0</v>
      </c>
      <c r="S293">
        <v>2397.4499999999998</v>
      </c>
    </row>
    <row r="294" spans="1:19" x14ac:dyDescent="0.3">
      <c r="A294" s="1" t="s">
        <v>595</v>
      </c>
      <c r="B294" s="4">
        <v>45427</v>
      </c>
      <c r="C294" s="1" t="s">
        <v>561</v>
      </c>
      <c r="D294" s="1" t="s">
        <v>21</v>
      </c>
      <c r="E294" s="1" t="s">
        <v>120</v>
      </c>
      <c r="F294" s="1" t="s">
        <v>121</v>
      </c>
      <c r="G294" s="1" t="s">
        <v>42</v>
      </c>
      <c r="H294" s="1" t="s">
        <v>25</v>
      </c>
      <c r="I294" s="1" t="s">
        <v>66</v>
      </c>
      <c r="J294" s="1" t="s">
        <v>67</v>
      </c>
      <c r="K294" s="1" t="s">
        <v>28</v>
      </c>
      <c r="L294">
        <v>1</v>
      </c>
      <c r="M294">
        <v>2499</v>
      </c>
      <c r="N294">
        <v>0.1</v>
      </c>
      <c r="O294">
        <v>2249.1</v>
      </c>
      <c r="P294">
        <v>1450</v>
      </c>
      <c r="Q294">
        <v>1450</v>
      </c>
      <c r="R294">
        <v>100</v>
      </c>
      <c r="S294">
        <v>699.1</v>
      </c>
    </row>
    <row r="295" spans="1:19" x14ac:dyDescent="0.3">
      <c r="A295" s="1" t="s">
        <v>596</v>
      </c>
      <c r="B295" s="4">
        <v>45428</v>
      </c>
      <c r="C295" s="1" t="s">
        <v>597</v>
      </c>
      <c r="D295" s="1" t="s">
        <v>40</v>
      </c>
      <c r="E295" s="1" t="s">
        <v>120</v>
      </c>
      <c r="F295" s="1" t="s">
        <v>121</v>
      </c>
      <c r="G295" s="1" t="s">
        <v>24</v>
      </c>
      <c r="H295" s="1" t="s">
        <v>56</v>
      </c>
      <c r="I295" s="1" t="s">
        <v>76</v>
      </c>
      <c r="J295" s="1" t="s">
        <v>77</v>
      </c>
      <c r="K295" s="1" t="s">
        <v>37</v>
      </c>
      <c r="L295">
        <v>5</v>
      </c>
      <c r="M295">
        <v>6999</v>
      </c>
      <c r="N295">
        <v>0</v>
      </c>
      <c r="O295">
        <v>34995</v>
      </c>
      <c r="P295">
        <v>4900</v>
      </c>
      <c r="Q295">
        <v>24500</v>
      </c>
      <c r="R295">
        <v>0</v>
      </c>
      <c r="S295">
        <v>10495</v>
      </c>
    </row>
    <row r="296" spans="1:19" x14ac:dyDescent="0.3">
      <c r="A296" s="1" t="s">
        <v>598</v>
      </c>
      <c r="B296" s="4">
        <v>45429</v>
      </c>
      <c r="C296" s="1" t="s">
        <v>599</v>
      </c>
      <c r="D296" s="1" t="s">
        <v>21</v>
      </c>
      <c r="E296" s="1" t="s">
        <v>70</v>
      </c>
      <c r="F296" s="1" t="s">
        <v>70</v>
      </c>
      <c r="G296" s="1" t="s">
        <v>24</v>
      </c>
      <c r="H296" s="1" t="s">
        <v>56</v>
      </c>
      <c r="I296" s="1" t="s">
        <v>35</v>
      </c>
      <c r="J296" s="1" t="s">
        <v>36</v>
      </c>
      <c r="K296" s="1" t="s">
        <v>37</v>
      </c>
      <c r="L296">
        <v>1</v>
      </c>
      <c r="M296">
        <v>1299</v>
      </c>
      <c r="N296">
        <v>0</v>
      </c>
      <c r="O296">
        <v>1299</v>
      </c>
      <c r="P296">
        <v>700</v>
      </c>
      <c r="Q296">
        <v>700</v>
      </c>
      <c r="R296">
        <v>100</v>
      </c>
      <c r="S296">
        <v>499</v>
      </c>
    </row>
    <row r="297" spans="1:19" x14ac:dyDescent="0.3">
      <c r="A297" s="1" t="s">
        <v>600</v>
      </c>
      <c r="B297" s="4">
        <v>45429</v>
      </c>
      <c r="C297" s="1" t="s">
        <v>601</v>
      </c>
      <c r="D297" s="1" t="s">
        <v>40</v>
      </c>
      <c r="E297" s="1" t="s">
        <v>124</v>
      </c>
      <c r="F297" s="1" t="s">
        <v>125</v>
      </c>
      <c r="G297" s="1" t="s">
        <v>24</v>
      </c>
      <c r="H297" s="1" t="s">
        <v>56</v>
      </c>
      <c r="I297" s="1" t="s">
        <v>43</v>
      </c>
      <c r="J297" s="1" t="s">
        <v>44</v>
      </c>
      <c r="K297" s="1" t="s">
        <v>45</v>
      </c>
      <c r="L297">
        <v>2</v>
      </c>
      <c r="M297">
        <v>1799</v>
      </c>
      <c r="N297">
        <v>0</v>
      </c>
      <c r="O297">
        <v>3598</v>
      </c>
      <c r="P297">
        <v>850</v>
      </c>
      <c r="Q297">
        <v>1700</v>
      </c>
      <c r="R297">
        <v>80</v>
      </c>
      <c r="S297">
        <v>1818</v>
      </c>
    </row>
    <row r="298" spans="1:19" x14ac:dyDescent="0.3">
      <c r="A298" s="1" t="s">
        <v>602</v>
      </c>
      <c r="B298" s="4">
        <v>45429</v>
      </c>
      <c r="C298" s="1" t="s">
        <v>603</v>
      </c>
      <c r="D298" s="1" t="s">
        <v>40</v>
      </c>
      <c r="E298" s="1" t="s">
        <v>54</v>
      </c>
      <c r="F298" s="1" t="s">
        <v>55</v>
      </c>
      <c r="G298" s="1" t="s">
        <v>24</v>
      </c>
      <c r="H298" s="1" t="s">
        <v>89</v>
      </c>
      <c r="I298" s="1" t="s">
        <v>35</v>
      </c>
      <c r="J298" s="1" t="s">
        <v>36</v>
      </c>
      <c r="K298" s="1" t="s">
        <v>37</v>
      </c>
      <c r="L298">
        <v>2</v>
      </c>
      <c r="M298">
        <v>1299</v>
      </c>
      <c r="N298">
        <v>0.1</v>
      </c>
      <c r="O298">
        <v>2338.1999999999998</v>
      </c>
      <c r="P298">
        <v>700</v>
      </c>
      <c r="Q298">
        <v>1400</v>
      </c>
      <c r="R298">
        <v>60</v>
      </c>
      <c r="S298">
        <v>878.2</v>
      </c>
    </row>
    <row r="299" spans="1:19" x14ac:dyDescent="0.3">
      <c r="A299" s="1" t="s">
        <v>604</v>
      </c>
      <c r="B299" s="4">
        <v>45430</v>
      </c>
      <c r="C299" s="1" t="s">
        <v>232</v>
      </c>
      <c r="D299" s="1" t="s">
        <v>40</v>
      </c>
      <c r="E299" s="1" t="s">
        <v>49</v>
      </c>
      <c r="F299" s="1" t="s">
        <v>50</v>
      </c>
      <c r="G299" s="1" t="s">
        <v>42</v>
      </c>
      <c r="H299" s="1" t="s">
        <v>56</v>
      </c>
      <c r="I299" s="1" t="s">
        <v>85</v>
      </c>
      <c r="J299" s="1" t="s">
        <v>86</v>
      </c>
      <c r="K299" s="1" t="s">
        <v>45</v>
      </c>
      <c r="L299">
        <v>3</v>
      </c>
      <c r="M299">
        <v>599</v>
      </c>
      <c r="N299">
        <v>0</v>
      </c>
      <c r="O299">
        <v>1797</v>
      </c>
      <c r="P299">
        <v>240</v>
      </c>
      <c r="Q299">
        <v>720</v>
      </c>
      <c r="R299">
        <v>40</v>
      </c>
      <c r="S299">
        <v>1037</v>
      </c>
    </row>
    <row r="300" spans="1:19" x14ac:dyDescent="0.3">
      <c r="A300" s="1" t="s">
        <v>605</v>
      </c>
      <c r="B300" s="4">
        <v>45430</v>
      </c>
      <c r="C300" s="1" t="s">
        <v>251</v>
      </c>
      <c r="D300" s="1" t="s">
        <v>48</v>
      </c>
      <c r="E300" s="1" t="s">
        <v>80</v>
      </c>
      <c r="F300" s="1" t="s">
        <v>55</v>
      </c>
      <c r="G300" s="1" t="s">
        <v>24</v>
      </c>
      <c r="H300" s="1" t="s">
        <v>34</v>
      </c>
      <c r="I300" s="1" t="s">
        <v>59</v>
      </c>
      <c r="J300" s="1" t="s">
        <v>60</v>
      </c>
      <c r="K300" s="1" t="s">
        <v>61</v>
      </c>
      <c r="L300">
        <v>2</v>
      </c>
      <c r="M300">
        <v>999</v>
      </c>
      <c r="N300">
        <v>0.05</v>
      </c>
      <c r="O300">
        <v>1898.1</v>
      </c>
      <c r="P300">
        <v>520</v>
      </c>
      <c r="Q300">
        <v>1040</v>
      </c>
      <c r="R300">
        <v>60</v>
      </c>
      <c r="S300">
        <v>798.1</v>
      </c>
    </row>
    <row r="301" spans="1:19" x14ac:dyDescent="0.3">
      <c r="A301" s="1" t="s">
        <v>606</v>
      </c>
      <c r="B301" s="4">
        <v>45432</v>
      </c>
      <c r="C301" s="1" t="s">
        <v>374</v>
      </c>
      <c r="D301" s="1" t="s">
        <v>40</v>
      </c>
      <c r="E301" s="1" t="s">
        <v>120</v>
      </c>
      <c r="F301" s="1" t="s">
        <v>121</v>
      </c>
      <c r="G301" s="1" t="s">
        <v>33</v>
      </c>
      <c r="H301" s="1" t="s">
        <v>89</v>
      </c>
      <c r="I301" s="1" t="s">
        <v>51</v>
      </c>
      <c r="J301" s="1" t="s">
        <v>52</v>
      </c>
      <c r="K301" s="1" t="s">
        <v>37</v>
      </c>
      <c r="L301">
        <v>1</v>
      </c>
      <c r="M301">
        <v>499</v>
      </c>
      <c r="N301">
        <v>0.1</v>
      </c>
      <c r="O301">
        <v>449.1</v>
      </c>
      <c r="P301">
        <v>180</v>
      </c>
      <c r="Q301">
        <v>180</v>
      </c>
      <c r="R301">
        <v>60</v>
      </c>
      <c r="S301">
        <v>209.1</v>
      </c>
    </row>
    <row r="302" spans="1:19" x14ac:dyDescent="0.3">
      <c r="A302" s="1" t="s">
        <v>607</v>
      </c>
      <c r="B302" s="4">
        <v>45432</v>
      </c>
      <c r="C302" s="1" t="s">
        <v>453</v>
      </c>
      <c r="D302" s="1" t="s">
        <v>21</v>
      </c>
      <c r="E302" s="1" t="s">
        <v>54</v>
      </c>
      <c r="F302" s="1" t="s">
        <v>55</v>
      </c>
      <c r="G302" s="1" t="s">
        <v>42</v>
      </c>
      <c r="H302" s="1" t="s">
        <v>56</v>
      </c>
      <c r="I302" s="1" t="s">
        <v>92</v>
      </c>
      <c r="J302" s="1" t="s">
        <v>93</v>
      </c>
      <c r="K302" s="1" t="s">
        <v>28</v>
      </c>
      <c r="L302">
        <v>1</v>
      </c>
      <c r="M302">
        <v>1599</v>
      </c>
      <c r="N302">
        <v>0</v>
      </c>
      <c r="O302">
        <v>1599</v>
      </c>
      <c r="P302">
        <v>900</v>
      </c>
      <c r="Q302">
        <v>900</v>
      </c>
      <c r="R302">
        <v>80</v>
      </c>
      <c r="S302">
        <v>619</v>
      </c>
    </row>
    <row r="303" spans="1:19" x14ac:dyDescent="0.3">
      <c r="A303" s="1" t="s">
        <v>608</v>
      </c>
      <c r="B303" s="4">
        <v>45433</v>
      </c>
      <c r="C303" s="1" t="s">
        <v>105</v>
      </c>
      <c r="D303" s="1" t="s">
        <v>21</v>
      </c>
      <c r="E303" s="1" t="s">
        <v>64</v>
      </c>
      <c r="F303" s="1" t="s">
        <v>65</v>
      </c>
      <c r="G303" s="1" t="s">
        <v>24</v>
      </c>
      <c r="H303" s="1" t="s">
        <v>25</v>
      </c>
      <c r="I303" s="1" t="s">
        <v>76</v>
      </c>
      <c r="J303" s="1" t="s">
        <v>77</v>
      </c>
      <c r="K303" s="1" t="s">
        <v>37</v>
      </c>
      <c r="L303">
        <v>2</v>
      </c>
      <c r="M303">
        <v>6999</v>
      </c>
      <c r="N303">
        <v>0.05</v>
      </c>
      <c r="O303">
        <v>13298.1</v>
      </c>
      <c r="P303">
        <v>4900</v>
      </c>
      <c r="Q303">
        <v>9800</v>
      </c>
      <c r="R303">
        <v>60</v>
      </c>
      <c r="S303">
        <v>3438.1</v>
      </c>
    </row>
    <row r="304" spans="1:19" x14ac:dyDescent="0.3">
      <c r="A304" s="1" t="s">
        <v>609</v>
      </c>
      <c r="B304" s="4">
        <v>45433</v>
      </c>
      <c r="C304" s="1" t="s">
        <v>95</v>
      </c>
      <c r="D304" s="1" t="s">
        <v>40</v>
      </c>
      <c r="E304" s="1" t="s">
        <v>80</v>
      </c>
      <c r="F304" s="1" t="s">
        <v>55</v>
      </c>
      <c r="G304" s="1" t="s">
        <v>42</v>
      </c>
      <c r="H304" s="1" t="s">
        <v>89</v>
      </c>
      <c r="I304" s="1" t="s">
        <v>66</v>
      </c>
      <c r="J304" s="1" t="s">
        <v>67</v>
      </c>
      <c r="K304" s="1" t="s">
        <v>28</v>
      </c>
      <c r="L304">
        <v>2</v>
      </c>
      <c r="M304">
        <v>2499</v>
      </c>
      <c r="N304">
        <v>0.2</v>
      </c>
      <c r="O304">
        <v>3998.4</v>
      </c>
      <c r="P304">
        <v>1450</v>
      </c>
      <c r="Q304">
        <v>2900</v>
      </c>
      <c r="R304">
        <v>80</v>
      </c>
      <c r="S304">
        <v>1018.4</v>
      </c>
    </row>
    <row r="305" spans="1:19" x14ac:dyDescent="0.3">
      <c r="A305" s="1" t="s">
        <v>610</v>
      </c>
      <c r="B305" s="4">
        <v>45434</v>
      </c>
      <c r="C305" s="1" t="s">
        <v>611</v>
      </c>
      <c r="D305" s="1" t="s">
        <v>48</v>
      </c>
      <c r="E305" s="1" t="s">
        <v>22</v>
      </c>
      <c r="F305" s="1" t="s">
        <v>23</v>
      </c>
      <c r="G305" s="1" t="s">
        <v>33</v>
      </c>
      <c r="H305" s="1" t="s">
        <v>25</v>
      </c>
      <c r="I305" s="1" t="s">
        <v>134</v>
      </c>
      <c r="J305" s="1" t="s">
        <v>135</v>
      </c>
      <c r="K305" s="1" t="s">
        <v>136</v>
      </c>
      <c r="L305">
        <v>2</v>
      </c>
      <c r="M305">
        <v>299</v>
      </c>
      <c r="N305">
        <v>0</v>
      </c>
      <c r="O305">
        <v>598</v>
      </c>
      <c r="P305">
        <v>110</v>
      </c>
      <c r="Q305">
        <v>220</v>
      </c>
      <c r="R305">
        <v>40</v>
      </c>
      <c r="S305">
        <v>338</v>
      </c>
    </row>
    <row r="306" spans="1:19" x14ac:dyDescent="0.3">
      <c r="A306" s="1" t="s">
        <v>612</v>
      </c>
      <c r="B306" s="4">
        <v>45434</v>
      </c>
      <c r="C306" s="1" t="s">
        <v>547</v>
      </c>
      <c r="D306" s="1" t="s">
        <v>40</v>
      </c>
      <c r="E306" s="1" t="s">
        <v>96</v>
      </c>
      <c r="F306" s="1" t="s">
        <v>97</v>
      </c>
      <c r="G306" s="1" t="s">
        <v>33</v>
      </c>
      <c r="H306" s="1" t="s">
        <v>34</v>
      </c>
      <c r="I306" s="1" t="s">
        <v>26</v>
      </c>
      <c r="J306" s="1" t="s">
        <v>27</v>
      </c>
      <c r="K306" s="1" t="s">
        <v>28</v>
      </c>
      <c r="L306">
        <v>2</v>
      </c>
      <c r="M306">
        <v>799</v>
      </c>
      <c r="N306">
        <v>0.15</v>
      </c>
      <c r="O306">
        <v>1358.3</v>
      </c>
      <c r="P306">
        <v>420</v>
      </c>
      <c r="Q306">
        <v>840</v>
      </c>
      <c r="R306">
        <v>60</v>
      </c>
      <c r="S306">
        <v>458.3</v>
      </c>
    </row>
    <row r="307" spans="1:19" x14ac:dyDescent="0.3">
      <c r="A307" s="1" t="s">
        <v>613</v>
      </c>
      <c r="B307" s="4">
        <v>45434</v>
      </c>
      <c r="C307" s="1" t="s">
        <v>302</v>
      </c>
      <c r="D307" s="1" t="s">
        <v>48</v>
      </c>
      <c r="E307" s="1" t="s">
        <v>124</v>
      </c>
      <c r="F307" s="1" t="s">
        <v>125</v>
      </c>
      <c r="G307" s="1" t="s">
        <v>33</v>
      </c>
      <c r="H307" s="1" t="s">
        <v>25</v>
      </c>
      <c r="I307" s="1" t="s">
        <v>43</v>
      </c>
      <c r="J307" s="1" t="s">
        <v>44</v>
      </c>
      <c r="K307" s="1" t="s">
        <v>45</v>
      </c>
      <c r="L307">
        <v>4</v>
      </c>
      <c r="M307">
        <v>1799</v>
      </c>
      <c r="N307">
        <v>0.15</v>
      </c>
      <c r="O307">
        <v>6116.6</v>
      </c>
      <c r="P307">
        <v>850</v>
      </c>
      <c r="Q307">
        <v>3400</v>
      </c>
      <c r="R307">
        <v>100</v>
      </c>
      <c r="S307">
        <v>2616.6</v>
      </c>
    </row>
    <row r="308" spans="1:19" x14ac:dyDescent="0.3">
      <c r="A308" s="1" t="s">
        <v>614</v>
      </c>
      <c r="B308" s="4">
        <v>45435</v>
      </c>
      <c r="C308" s="1" t="s">
        <v>615</v>
      </c>
      <c r="D308" s="1" t="s">
        <v>21</v>
      </c>
      <c r="E308" s="1" t="s">
        <v>54</v>
      </c>
      <c r="F308" s="1" t="s">
        <v>55</v>
      </c>
      <c r="G308" s="1" t="s">
        <v>42</v>
      </c>
      <c r="H308" s="1" t="s">
        <v>25</v>
      </c>
      <c r="I308" s="1" t="s">
        <v>72</v>
      </c>
      <c r="J308" s="1" t="s">
        <v>73</v>
      </c>
      <c r="K308" s="1" t="s">
        <v>28</v>
      </c>
      <c r="L308">
        <v>2</v>
      </c>
      <c r="M308">
        <v>2199</v>
      </c>
      <c r="N308">
        <v>0.15</v>
      </c>
      <c r="O308">
        <v>3738.3</v>
      </c>
      <c r="P308">
        <v>1250</v>
      </c>
      <c r="Q308">
        <v>2500</v>
      </c>
      <c r="R308">
        <v>60</v>
      </c>
      <c r="S308">
        <v>1178.3</v>
      </c>
    </row>
    <row r="309" spans="1:19" x14ac:dyDescent="0.3">
      <c r="A309" s="1" t="s">
        <v>616</v>
      </c>
      <c r="B309" s="4">
        <v>45435</v>
      </c>
      <c r="C309" s="1" t="s">
        <v>257</v>
      </c>
      <c r="D309" s="1" t="s">
        <v>48</v>
      </c>
      <c r="E309" s="1" t="s">
        <v>80</v>
      </c>
      <c r="F309" s="1" t="s">
        <v>55</v>
      </c>
      <c r="G309" s="1" t="s">
        <v>24</v>
      </c>
      <c r="H309" s="1" t="s">
        <v>89</v>
      </c>
      <c r="I309" s="1" t="s">
        <v>51</v>
      </c>
      <c r="J309" s="1" t="s">
        <v>52</v>
      </c>
      <c r="K309" s="1" t="s">
        <v>37</v>
      </c>
      <c r="L309">
        <v>1</v>
      </c>
      <c r="M309">
        <v>499</v>
      </c>
      <c r="N309">
        <v>0.2</v>
      </c>
      <c r="O309">
        <v>399.2</v>
      </c>
      <c r="P309">
        <v>180</v>
      </c>
      <c r="Q309">
        <v>180</v>
      </c>
      <c r="R309">
        <v>100</v>
      </c>
      <c r="S309">
        <v>119.2</v>
      </c>
    </row>
    <row r="310" spans="1:19" x14ac:dyDescent="0.3">
      <c r="A310" s="1" t="s">
        <v>617</v>
      </c>
      <c r="B310" s="4">
        <v>45435</v>
      </c>
      <c r="C310" s="1" t="s">
        <v>415</v>
      </c>
      <c r="D310" s="1" t="s">
        <v>40</v>
      </c>
      <c r="E310" s="1" t="s">
        <v>22</v>
      </c>
      <c r="F310" s="1" t="s">
        <v>23</v>
      </c>
      <c r="G310" s="1" t="s">
        <v>33</v>
      </c>
      <c r="H310" s="1" t="s">
        <v>71</v>
      </c>
      <c r="I310" s="1" t="s">
        <v>43</v>
      </c>
      <c r="J310" s="1" t="s">
        <v>44</v>
      </c>
      <c r="K310" s="1" t="s">
        <v>45</v>
      </c>
      <c r="L310">
        <v>1</v>
      </c>
      <c r="M310">
        <v>1799</v>
      </c>
      <c r="N310">
        <v>0</v>
      </c>
      <c r="O310">
        <v>1799</v>
      </c>
      <c r="P310">
        <v>850</v>
      </c>
      <c r="Q310">
        <v>850</v>
      </c>
      <c r="R310">
        <v>0</v>
      </c>
      <c r="S310">
        <v>949</v>
      </c>
    </row>
    <row r="311" spans="1:19" x14ac:dyDescent="0.3">
      <c r="A311" s="1" t="s">
        <v>618</v>
      </c>
      <c r="B311" s="4">
        <v>45435</v>
      </c>
      <c r="C311" s="1" t="s">
        <v>394</v>
      </c>
      <c r="D311" s="1" t="s">
        <v>48</v>
      </c>
      <c r="E311" s="1" t="s">
        <v>120</v>
      </c>
      <c r="F311" s="1" t="s">
        <v>121</v>
      </c>
      <c r="G311" s="1" t="s">
        <v>24</v>
      </c>
      <c r="H311" s="1" t="s">
        <v>89</v>
      </c>
      <c r="I311" s="1" t="s">
        <v>51</v>
      </c>
      <c r="J311" s="1" t="s">
        <v>52</v>
      </c>
      <c r="K311" s="1" t="s">
        <v>37</v>
      </c>
      <c r="L311">
        <v>1</v>
      </c>
      <c r="M311">
        <v>499</v>
      </c>
      <c r="N311">
        <v>0</v>
      </c>
      <c r="O311">
        <v>499</v>
      </c>
      <c r="P311">
        <v>180</v>
      </c>
      <c r="Q311">
        <v>180</v>
      </c>
      <c r="R311">
        <v>40</v>
      </c>
      <c r="S311">
        <v>279</v>
      </c>
    </row>
    <row r="312" spans="1:19" x14ac:dyDescent="0.3">
      <c r="A312" s="1" t="s">
        <v>619</v>
      </c>
      <c r="B312" s="4">
        <v>45436</v>
      </c>
      <c r="C312" s="1" t="s">
        <v>620</v>
      </c>
      <c r="D312" s="1" t="s">
        <v>40</v>
      </c>
      <c r="E312" s="1" t="s">
        <v>112</v>
      </c>
      <c r="F312" s="1" t="s">
        <v>113</v>
      </c>
      <c r="G312" s="1" t="s">
        <v>33</v>
      </c>
      <c r="H312" s="1" t="s">
        <v>89</v>
      </c>
      <c r="I312" s="1" t="s">
        <v>66</v>
      </c>
      <c r="J312" s="1" t="s">
        <v>67</v>
      </c>
      <c r="K312" s="1" t="s">
        <v>28</v>
      </c>
      <c r="L312">
        <v>1</v>
      </c>
      <c r="M312">
        <v>2499</v>
      </c>
      <c r="N312">
        <v>0.1</v>
      </c>
      <c r="O312">
        <v>2249.1</v>
      </c>
      <c r="P312">
        <v>1450</v>
      </c>
      <c r="Q312">
        <v>1450</v>
      </c>
      <c r="R312">
        <v>100</v>
      </c>
      <c r="S312">
        <v>699.1</v>
      </c>
    </row>
    <row r="313" spans="1:19" x14ac:dyDescent="0.3">
      <c r="A313" s="1" t="s">
        <v>621</v>
      </c>
      <c r="B313" s="4">
        <v>45436</v>
      </c>
      <c r="C313" s="1" t="s">
        <v>622</v>
      </c>
      <c r="D313" s="1" t="s">
        <v>40</v>
      </c>
      <c r="E313" s="1" t="s">
        <v>54</v>
      </c>
      <c r="F313" s="1" t="s">
        <v>55</v>
      </c>
      <c r="G313" s="1" t="s">
        <v>24</v>
      </c>
      <c r="H313" s="1" t="s">
        <v>89</v>
      </c>
      <c r="I313" s="1" t="s">
        <v>66</v>
      </c>
      <c r="J313" s="1" t="s">
        <v>67</v>
      </c>
      <c r="K313" s="1" t="s">
        <v>28</v>
      </c>
      <c r="L313">
        <v>1</v>
      </c>
      <c r="M313">
        <v>2499</v>
      </c>
      <c r="N313">
        <v>0.15</v>
      </c>
      <c r="O313">
        <v>2124.15</v>
      </c>
      <c r="P313">
        <v>1450</v>
      </c>
      <c r="Q313">
        <v>1450</v>
      </c>
      <c r="R313">
        <v>40</v>
      </c>
      <c r="S313">
        <v>634.15</v>
      </c>
    </row>
    <row r="314" spans="1:19" x14ac:dyDescent="0.3">
      <c r="A314" s="1" t="s">
        <v>623</v>
      </c>
      <c r="B314" s="4">
        <v>45436</v>
      </c>
      <c r="C314" s="1" t="s">
        <v>624</v>
      </c>
      <c r="D314" s="1" t="s">
        <v>48</v>
      </c>
      <c r="E314" s="1" t="s">
        <v>54</v>
      </c>
      <c r="F314" s="1" t="s">
        <v>55</v>
      </c>
      <c r="G314" s="1" t="s">
        <v>24</v>
      </c>
      <c r="H314" s="1" t="s">
        <v>56</v>
      </c>
      <c r="I314" s="1" t="s">
        <v>43</v>
      </c>
      <c r="J314" s="1" t="s">
        <v>44</v>
      </c>
      <c r="K314" s="1" t="s">
        <v>45</v>
      </c>
      <c r="L314">
        <v>2</v>
      </c>
      <c r="M314">
        <v>1799</v>
      </c>
      <c r="N314">
        <v>0.1</v>
      </c>
      <c r="O314">
        <v>3238.2</v>
      </c>
      <c r="P314">
        <v>850</v>
      </c>
      <c r="Q314">
        <v>1700</v>
      </c>
      <c r="R314">
        <v>100</v>
      </c>
      <c r="S314">
        <v>1438.2</v>
      </c>
    </row>
    <row r="315" spans="1:19" x14ac:dyDescent="0.3">
      <c r="A315" s="1" t="s">
        <v>625</v>
      </c>
      <c r="B315" s="4">
        <v>45436</v>
      </c>
      <c r="C315" s="1" t="s">
        <v>361</v>
      </c>
      <c r="D315" s="1" t="s">
        <v>21</v>
      </c>
      <c r="E315" s="1" t="s">
        <v>70</v>
      </c>
      <c r="F315" s="1" t="s">
        <v>70</v>
      </c>
      <c r="G315" s="1" t="s">
        <v>24</v>
      </c>
      <c r="H315" s="1" t="s">
        <v>71</v>
      </c>
      <c r="I315" s="1" t="s">
        <v>72</v>
      </c>
      <c r="J315" s="1" t="s">
        <v>73</v>
      </c>
      <c r="K315" s="1" t="s">
        <v>28</v>
      </c>
      <c r="L315">
        <v>3</v>
      </c>
      <c r="M315">
        <v>2199</v>
      </c>
      <c r="N315">
        <v>0.15</v>
      </c>
      <c r="O315">
        <v>5607.45</v>
      </c>
      <c r="P315">
        <v>1250</v>
      </c>
      <c r="Q315">
        <v>3750</v>
      </c>
      <c r="R315">
        <v>40</v>
      </c>
      <c r="S315">
        <v>1817.45</v>
      </c>
    </row>
    <row r="316" spans="1:19" x14ac:dyDescent="0.3">
      <c r="A316" s="1" t="s">
        <v>626</v>
      </c>
      <c r="B316" s="4">
        <v>45436</v>
      </c>
      <c r="C316" s="1" t="s">
        <v>39</v>
      </c>
      <c r="D316" s="1" t="s">
        <v>48</v>
      </c>
      <c r="E316" s="1" t="s">
        <v>124</v>
      </c>
      <c r="F316" s="1" t="s">
        <v>125</v>
      </c>
      <c r="G316" s="1" t="s">
        <v>42</v>
      </c>
      <c r="H316" s="1" t="s">
        <v>71</v>
      </c>
      <c r="I316" s="1" t="s">
        <v>81</v>
      </c>
      <c r="J316" s="1" t="s">
        <v>82</v>
      </c>
      <c r="K316" s="1" t="s">
        <v>61</v>
      </c>
      <c r="L316">
        <v>3</v>
      </c>
      <c r="M316">
        <v>2999</v>
      </c>
      <c r="N316">
        <v>0</v>
      </c>
      <c r="O316">
        <v>8997</v>
      </c>
      <c r="P316">
        <v>1750</v>
      </c>
      <c r="Q316">
        <v>5250</v>
      </c>
      <c r="R316">
        <v>60</v>
      </c>
      <c r="S316">
        <v>3687</v>
      </c>
    </row>
    <row r="317" spans="1:19" x14ac:dyDescent="0.3">
      <c r="A317" s="1" t="s">
        <v>627</v>
      </c>
      <c r="B317" s="4">
        <v>45437</v>
      </c>
      <c r="C317" s="1" t="s">
        <v>628</v>
      </c>
      <c r="D317" s="1" t="s">
        <v>21</v>
      </c>
      <c r="E317" s="1" t="s">
        <v>64</v>
      </c>
      <c r="F317" s="1" t="s">
        <v>65</v>
      </c>
      <c r="G317" s="1" t="s">
        <v>24</v>
      </c>
      <c r="H317" s="1" t="s">
        <v>71</v>
      </c>
      <c r="I317" s="1" t="s">
        <v>35</v>
      </c>
      <c r="J317" s="1" t="s">
        <v>36</v>
      </c>
      <c r="K317" s="1" t="s">
        <v>37</v>
      </c>
      <c r="L317">
        <v>1</v>
      </c>
      <c r="M317">
        <v>1299</v>
      </c>
      <c r="N317">
        <v>0</v>
      </c>
      <c r="O317">
        <v>1299</v>
      </c>
      <c r="P317">
        <v>700</v>
      </c>
      <c r="Q317">
        <v>700</v>
      </c>
      <c r="R317">
        <v>40</v>
      </c>
      <c r="S317">
        <v>559</v>
      </c>
    </row>
    <row r="318" spans="1:19" x14ac:dyDescent="0.3">
      <c r="A318" s="1" t="s">
        <v>629</v>
      </c>
      <c r="B318" s="4">
        <v>45438</v>
      </c>
      <c r="C318" s="1" t="s">
        <v>630</v>
      </c>
      <c r="D318" s="1" t="s">
        <v>48</v>
      </c>
      <c r="E318" s="1" t="s">
        <v>64</v>
      </c>
      <c r="F318" s="1" t="s">
        <v>65</v>
      </c>
      <c r="G318" s="1" t="s">
        <v>42</v>
      </c>
      <c r="H318" s="1" t="s">
        <v>71</v>
      </c>
      <c r="I318" s="1" t="s">
        <v>81</v>
      </c>
      <c r="J318" s="1" t="s">
        <v>82</v>
      </c>
      <c r="K318" s="1" t="s">
        <v>61</v>
      </c>
      <c r="L318">
        <v>3</v>
      </c>
      <c r="M318">
        <v>2999</v>
      </c>
      <c r="N318">
        <v>0</v>
      </c>
      <c r="O318">
        <v>8997</v>
      </c>
      <c r="P318">
        <v>1750</v>
      </c>
      <c r="Q318">
        <v>5250</v>
      </c>
      <c r="R318">
        <v>0</v>
      </c>
      <c r="S318">
        <v>3747</v>
      </c>
    </row>
    <row r="319" spans="1:19" x14ac:dyDescent="0.3">
      <c r="A319" s="1" t="s">
        <v>631</v>
      </c>
      <c r="B319" s="4">
        <v>45439</v>
      </c>
      <c r="C319" s="1" t="s">
        <v>524</v>
      </c>
      <c r="D319" s="1" t="s">
        <v>40</v>
      </c>
      <c r="E319" s="1" t="s">
        <v>54</v>
      </c>
      <c r="F319" s="1" t="s">
        <v>55</v>
      </c>
      <c r="G319" s="1" t="s">
        <v>42</v>
      </c>
      <c r="H319" s="1" t="s">
        <v>71</v>
      </c>
      <c r="I319" s="1" t="s">
        <v>51</v>
      </c>
      <c r="J319" s="1" t="s">
        <v>52</v>
      </c>
      <c r="K319" s="1" t="s">
        <v>37</v>
      </c>
      <c r="L319">
        <v>2</v>
      </c>
      <c r="M319">
        <v>499</v>
      </c>
      <c r="N319">
        <v>0.1</v>
      </c>
      <c r="O319">
        <v>898.2</v>
      </c>
      <c r="P319">
        <v>180</v>
      </c>
      <c r="Q319">
        <v>360</v>
      </c>
      <c r="R319">
        <v>100</v>
      </c>
      <c r="S319">
        <v>438.2</v>
      </c>
    </row>
    <row r="320" spans="1:19" x14ac:dyDescent="0.3">
      <c r="A320" s="1" t="s">
        <v>632</v>
      </c>
      <c r="B320" s="4">
        <v>45439</v>
      </c>
      <c r="C320" s="1" t="s">
        <v>224</v>
      </c>
      <c r="D320" s="1" t="s">
        <v>40</v>
      </c>
      <c r="E320" s="1" t="s">
        <v>70</v>
      </c>
      <c r="F320" s="1" t="s">
        <v>70</v>
      </c>
      <c r="G320" s="1" t="s">
        <v>24</v>
      </c>
      <c r="H320" s="1" t="s">
        <v>34</v>
      </c>
      <c r="I320" s="1" t="s">
        <v>72</v>
      </c>
      <c r="J320" s="1" t="s">
        <v>73</v>
      </c>
      <c r="K320" s="1" t="s">
        <v>28</v>
      </c>
      <c r="L320">
        <v>4</v>
      </c>
      <c r="M320">
        <v>2199</v>
      </c>
      <c r="N320">
        <v>0.2</v>
      </c>
      <c r="O320">
        <v>7036.8</v>
      </c>
      <c r="P320">
        <v>1250</v>
      </c>
      <c r="Q320">
        <v>5000</v>
      </c>
      <c r="R320">
        <v>80</v>
      </c>
      <c r="S320">
        <v>1956.8</v>
      </c>
    </row>
    <row r="321" spans="1:19" x14ac:dyDescent="0.3">
      <c r="A321" s="1" t="s">
        <v>633</v>
      </c>
      <c r="B321" s="4">
        <v>45440</v>
      </c>
      <c r="C321" s="1" t="s">
        <v>273</v>
      </c>
      <c r="D321" s="1" t="s">
        <v>40</v>
      </c>
      <c r="E321" s="1" t="s">
        <v>96</v>
      </c>
      <c r="F321" s="1" t="s">
        <v>97</v>
      </c>
      <c r="G321" s="1" t="s">
        <v>33</v>
      </c>
      <c r="H321" s="1" t="s">
        <v>89</v>
      </c>
      <c r="I321" s="1" t="s">
        <v>81</v>
      </c>
      <c r="J321" s="1" t="s">
        <v>82</v>
      </c>
      <c r="K321" s="1" t="s">
        <v>61</v>
      </c>
      <c r="L321">
        <v>1</v>
      </c>
      <c r="M321">
        <v>2999</v>
      </c>
      <c r="N321">
        <v>0.05</v>
      </c>
      <c r="O321">
        <v>2849.05</v>
      </c>
      <c r="P321">
        <v>1750</v>
      </c>
      <c r="Q321">
        <v>1750</v>
      </c>
      <c r="R321">
        <v>0</v>
      </c>
      <c r="S321">
        <v>1099.05</v>
      </c>
    </row>
    <row r="322" spans="1:19" x14ac:dyDescent="0.3">
      <c r="A322" s="1" t="s">
        <v>634</v>
      </c>
      <c r="B322" s="4">
        <v>45441</v>
      </c>
      <c r="C322" s="1" t="s">
        <v>155</v>
      </c>
      <c r="D322" s="1" t="s">
        <v>40</v>
      </c>
      <c r="E322" s="1" t="s">
        <v>112</v>
      </c>
      <c r="F322" s="1" t="s">
        <v>113</v>
      </c>
      <c r="G322" s="1" t="s">
        <v>24</v>
      </c>
      <c r="H322" s="1" t="s">
        <v>89</v>
      </c>
      <c r="I322" s="1" t="s">
        <v>72</v>
      </c>
      <c r="J322" s="1" t="s">
        <v>73</v>
      </c>
      <c r="K322" s="1" t="s">
        <v>28</v>
      </c>
      <c r="L322">
        <v>1</v>
      </c>
      <c r="M322">
        <v>2199</v>
      </c>
      <c r="N322">
        <v>0</v>
      </c>
      <c r="O322">
        <v>2199</v>
      </c>
      <c r="P322">
        <v>1250</v>
      </c>
      <c r="Q322">
        <v>1250</v>
      </c>
      <c r="R322">
        <v>40</v>
      </c>
      <c r="S322">
        <v>909</v>
      </c>
    </row>
    <row r="323" spans="1:19" x14ac:dyDescent="0.3">
      <c r="A323" s="1" t="s">
        <v>635</v>
      </c>
      <c r="B323" s="4">
        <v>45441</v>
      </c>
      <c r="C323" s="1" t="s">
        <v>636</v>
      </c>
      <c r="D323" s="1" t="s">
        <v>21</v>
      </c>
      <c r="E323" s="1" t="s">
        <v>120</v>
      </c>
      <c r="F323" s="1" t="s">
        <v>121</v>
      </c>
      <c r="G323" s="1" t="s">
        <v>33</v>
      </c>
      <c r="H323" s="1" t="s">
        <v>25</v>
      </c>
      <c r="I323" s="1" t="s">
        <v>26</v>
      </c>
      <c r="J323" s="1" t="s">
        <v>27</v>
      </c>
      <c r="K323" s="1" t="s">
        <v>28</v>
      </c>
      <c r="L323">
        <v>2</v>
      </c>
      <c r="M323">
        <v>799</v>
      </c>
      <c r="N323">
        <v>0.05</v>
      </c>
      <c r="O323">
        <v>1518.1</v>
      </c>
      <c r="P323">
        <v>420</v>
      </c>
      <c r="Q323">
        <v>840</v>
      </c>
      <c r="R323">
        <v>40</v>
      </c>
      <c r="S323">
        <v>638.1</v>
      </c>
    </row>
    <row r="324" spans="1:19" x14ac:dyDescent="0.3">
      <c r="A324" s="1" t="s">
        <v>637</v>
      </c>
      <c r="B324" s="4">
        <v>45442</v>
      </c>
      <c r="C324" s="1" t="s">
        <v>152</v>
      </c>
      <c r="D324" s="1" t="s">
        <v>21</v>
      </c>
      <c r="E324" s="1" t="s">
        <v>49</v>
      </c>
      <c r="F324" s="1" t="s">
        <v>50</v>
      </c>
      <c r="G324" s="1" t="s">
        <v>42</v>
      </c>
      <c r="H324" s="1" t="s">
        <v>71</v>
      </c>
      <c r="I324" s="1" t="s">
        <v>43</v>
      </c>
      <c r="J324" s="1" t="s">
        <v>44</v>
      </c>
      <c r="K324" s="1" t="s">
        <v>45</v>
      </c>
      <c r="L324">
        <v>3</v>
      </c>
      <c r="M324">
        <v>1799</v>
      </c>
      <c r="N324">
        <v>0.2</v>
      </c>
      <c r="O324">
        <v>4317.6000000000004</v>
      </c>
      <c r="P324">
        <v>850</v>
      </c>
      <c r="Q324">
        <v>2550</v>
      </c>
      <c r="R324">
        <v>0</v>
      </c>
      <c r="S324">
        <v>1767.6</v>
      </c>
    </row>
    <row r="325" spans="1:19" x14ac:dyDescent="0.3">
      <c r="A325" s="1" t="s">
        <v>638</v>
      </c>
      <c r="B325" s="4">
        <v>45442</v>
      </c>
      <c r="C325" s="1" t="s">
        <v>115</v>
      </c>
      <c r="D325" s="1" t="s">
        <v>40</v>
      </c>
      <c r="E325" s="1" t="s">
        <v>70</v>
      </c>
      <c r="F325" s="1" t="s">
        <v>70</v>
      </c>
      <c r="G325" s="1" t="s">
        <v>42</v>
      </c>
      <c r="H325" s="1" t="s">
        <v>25</v>
      </c>
      <c r="I325" s="1" t="s">
        <v>66</v>
      </c>
      <c r="J325" s="1" t="s">
        <v>67</v>
      </c>
      <c r="K325" s="1" t="s">
        <v>28</v>
      </c>
      <c r="L325">
        <v>4</v>
      </c>
      <c r="M325">
        <v>2499</v>
      </c>
      <c r="N325">
        <v>0.1</v>
      </c>
      <c r="O325">
        <v>8996.4</v>
      </c>
      <c r="P325">
        <v>1450</v>
      </c>
      <c r="Q325">
        <v>5800</v>
      </c>
      <c r="R325">
        <v>40</v>
      </c>
      <c r="S325">
        <v>3156.4</v>
      </c>
    </row>
    <row r="326" spans="1:19" x14ac:dyDescent="0.3">
      <c r="A326" s="1" t="s">
        <v>639</v>
      </c>
      <c r="B326" s="4">
        <v>45442</v>
      </c>
      <c r="C326" s="1" t="s">
        <v>640</v>
      </c>
      <c r="D326" s="1" t="s">
        <v>48</v>
      </c>
      <c r="E326" s="1" t="s">
        <v>112</v>
      </c>
      <c r="F326" s="1" t="s">
        <v>113</v>
      </c>
      <c r="G326" s="1" t="s">
        <v>33</v>
      </c>
      <c r="H326" s="1" t="s">
        <v>56</v>
      </c>
      <c r="I326" s="1" t="s">
        <v>76</v>
      </c>
      <c r="J326" s="1" t="s">
        <v>77</v>
      </c>
      <c r="K326" s="1" t="s">
        <v>37</v>
      </c>
      <c r="L326">
        <v>1</v>
      </c>
      <c r="M326">
        <v>6999</v>
      </c>
      <c r="N326">
        <v>0.15</v>
      </c>
      <c r="O326">
        <v>5949.15</v>
      </c>
      <c r="P326">
        <v>4900</v>
      </c>
      <c r="Q326">
        <v>4900</v>
      </c>
      <c r="R326">
        <v>60</v>
      </c>
      <c r="S326">
        <v>989.15</v>
      </c>
    </row>
    <row r="327" spans="1:19" x14ac:dyDescent="0.3">
      <c r="A327" s="1" t="s">
        <v>641</v>
      </c>
      <c r="B327" s="4">
        <v>45443</v>
      </c>
      <c r="C327" s="1" t="s">
        <v>356</v>
      </c>
      <c r="D327" s="1" t="s">
        <v>21</v>
      </c>
      <c r="E327" s="1" t="s">
        <v>22</v>
      </c>
      <c r="F327" s="1" t="s">
        <v>23</v>
      </c>
      <c r="G327" s="1" t="s">
        <v>42</v>
      </c>
      <c r="H327" s="1" t="s">
        <v>71</v>
      </c>
      <c r="I327" s="1" t="s">
        <v>35</v>
      </c>
      <c r="J327" s="1" t="s">
        <v>36</v>
      </c>
      <c r="K327" s="1" t="s">
        <v>37</v>
      </c>
      <c r="L327">
        <v>1</v>
      </c>
      <c r="M327">
        <v>1299</v>
      </c>
      <c r="N327">
        <v>0.2</v>
      </c>
      <c r="O327">
        <v>1039.2</v>
      </c>
      <c r="P327">
        <v>700</v>
      </c>
      <c r="Q327">
        <v>700</v>
      </c>
      <c r="R327">
        <v>0</v>
      </c>
      <c r="S327">
        <v>339.2</v>
      </c>
    </row>
    <row r="328" spans="1:19" x14ac:dyDescent="0.3">
      <c r="A328" s="1" t="s">
        <v>642</v>
      </c>
      <c r="B328" s="4">
        <v>45443</v>
      </c>
      <c r="C328" s="1" t="s">
        <v>643</v>
      </c>
      <c r="D328" s="1" t="s">
        <v>40</v>
      </c>
      <c r="E328" s="1" t="s">
        <v>54</v>
      </c>
      <c r="F328" s="1" t="s">
        <v>55</v>
      </c>
      <c r="G328" s="1" t="s">
        <v>24</v>
      </c>
      <c r="H328" s="1" t="s">
        <v>56</v>
      </c>
      <c r="I328" s="1" t="s">
        <v>59</v>
      </c>
      <c r="J328" s="1" t="s">
        <v>60</v>
      </c>
      <c r="K328" s="1" t="s">
        <v>61</v>
      </c>
      <c r="L328">
        <v>1</v>
      </c>
      <c r="M328">
        <v>999</v>
      </c>
      <c r="N328">
        <v>0.05</v>
      </c>
      <c r="O328">
        <v>949.05</v>
      </c>
      <c r="P328">
        <v>520</v>
      </c>
      <c r="Q328">
        <v>520</v>
      </c>
      <c r="R328">
        <v>60</v>
      </c>
      <c r="S328">
        <v>369.05</v>
      </c>
    </row>
    <row r="329" spans="1:19" x14ac:dyDescent="0.3">
      <c r="A329" s="1" t="s">
        <v>644</v>
      </c>
      <c r="B329" s="4">
        <v>45444</v>
      </c>
      <c r="C329" s="1" t="s">
        <v>447</v>
      </c>
      <c r="D329" s="1" t="s">
        <v>40</v>
      </c>
      <c r="E329" s="1" t="s">
        <v>54</v>
      </c>
      <c r="F329" s="1" t="s">
        <v>55</v>
      </c>
      <c r="G329" s="1" t="s">
        <v>24</v>
      </c>
      <c r="H329" s="1" t="s">
        <v>34</v>
      </c>
      <c r="I329" s="1" t="s">
        <v>85</v>
      </c>
      <c r="J329" s="1" t="s">
        <v>86</v>
      </c>
      <c r="K329" s="1" t="s">
        <v>45</v>
      </c>
      <c r="L329">
        <v>4</v>
      </c>
      <c r="M329">
        <v>599</v>
      </c>
      <c r="N329">
        <v>0.15</v>
      </c>
      <c r="O329">
        <v>2036.6</v>
      </c>
      <c r="P329">
        <v>240</v>
      </c>
      <c r="Q329">
        <v>960</v>
      </c>
      <c r="R329">
        <v>0</v>
      </c>
      <c r="S329">
        <v>1076.5999999999999</v>
      </c>
    </row>
    <row r="330" spans="1:19" x14ac:dyDescent="0.3">
      <c r="A330" s="1" t="s">
        <v>645</v>
      </c>
      <c r="B330" s="4">
        <v>45444</v>
      </c>
      <c r="C330" s="1" t="s">
        <v>646</v>
      </c>
      <c r="D330" s="1" t="s">
        <v>21</v>
      </c>
      <c r="E330" s="1" t="s">
        <v>120</v>
      </c>
      <c r="F330" s="1" t="s">
        <v>121</v>
      </c>
      <c r="G330" s="1" t="s">
        <v>24</v>
      </c>
      <c r="H330" s="1" t="s">
        <v>25</v>
      </c>
      <c r="I330" s="1" t="s">
        <v>92</v>
      </c>
      <c r="J330" s="1" t="s">
        <v>93</v>
      </c>
      <c r="K330" s="1" t="s">
        <v>28</v>
      </c>
      <c r="L330">
        <v>2</v>
      </c>
      <c r="M330">
        <v>1599</v>
      </c>
      <c r="N330">
        <v>0.05</v>
      </c>
      <c r="O330">
        <v>3038.1</v>
      </c>
      <c r="P330">
        <v>900</v>
      </c>
      <c r="Q330">
        <v>1800</v>
      </c>
      <c r="R330">
        <v>40</v>
      </c>
      <c r="S330">
        <v>1198.0999999999999</v>
      </c>
    </row>
    <row r="331" spans="1:19" x14ac:dyDescent="0.3">
      <c r="A331" s="1" t="s">
        <v>647</v>
      </c>
      <c r="B331" s="4">
        <v>45444</v>
      </c>
      <c r="C331" s="1" t="s">
        <v>648</v>
      </c>
      <c r="D331" s="1" t="s">
        <v>48</v>
      </c>
      <c r="E331" s="1" t="s">
        <v>22</v>
      </c>
      <c r="F331" s="1" t="s">
        <v>23</v>
      </c>
      <c r="G331" s="1" t="s">
        <v>33</v>
      </c>
      <c r="H331" s="1" t="s">
        <v>34</v>
      </c>
      <c r="I331" s="1" t="s">
        <v>26</v>
      </c>
      <c r="J331" s="1" t="s">
        <v>27</v>
      </c>
      <c r="K331" s="1" t="s">
        <v>28</v>
      </c>
      <c r="L331">
        <v>1</v>
      </c>
      <c r="M331">
        <v>799</v>
      </c>
      <c r="N331">
        <v>0</v>
      </c>
      <c r="O331">
        <v>799</v>
      </c>
      <c r="P331">
        <v>420</v>
      </c>
      <c r="Q331">
        <v>420</v>
      </c>
      <c r="R331">
        <v>80</v>
      </c>
      <c r="S331">
        <v>299</v>
      </c>
    </row>
    <row r="332" spans="1:19" x14ac:dyDescent="0.3">
      <c r="A332" s="1" t="s">
        <v>649</v>
      </c>
      <c r="B332" s="4">
        <v>45444</v>
      </c>
      <c r="C332" s="1" t="s">
        <v>650</v>
      </c>
      <c r="D332" s="1" t="s">
        <v>21</v>
      </c>
      <c r="E332" s="1" t="s">
        <v>64</v>
      </c>
      <c r="F332" s="1" t="s">
        <v>65</v>
      </c>
      <c r="G332" s="1" t="s">
        <v>42</v>
      </c>
      <c r="H332" s="1" t="s">
        <v>25</v>
      </c>
      <c r="I332" s="1" t="s">
        <v>76</v>
      </c>
      <c r="J332" s="1" t="s">
        <v>77</v>
      </c>
      <c r="K332" s="1" t="s">
        <v>37</v>
      </c>
      <c r="L332">
        <v>1</v>
      </c>
      <c r="M332">
        <v>6999</v>
      </c>
      <c r="N332">
        <v>0</v>
      </c>
      <c r="O332">
        <v>6999</v>
      </c>
      <c r="P332">
        <v>4900</v>
      </c>
      <c r="Q332">
        <v>4900</v>
      </c>
      <c r="R332">
        <v>80</v>
      </c>
      <c r="S332">
        <v>2019</v>
      </c>
    </row>
    <row r="333" spans="1:19" x14ac:dyDescent="0.3">
      <c r="A333" s="1" t="s">
        <v>651</v>
      </c>
      <c r="B333" s="4">
        <v>45447</v>
      </c>
      <c r="C333" s="1" t="s">
        <v>640</v>
      </c>
      <c r="D333" s="1" t="s">
        <v>21</v>
      </c>
      <c r="E333" s="1" t="s">
        <v>31</v>
      </c>
      <c r="F333" s="1" t="s">
        <v>32</v>
      </c>
      <c r="G333" s="1" t="s">
        <v>24</v>
      </c>
      <c r="H333" s="1" t="s">
        <v>89</v>
      </c>
      <c r="I333" s="1" t="s">
        <v>51</v>
      </c>
      <c r="J333" s="1" t="s">
        <v>52</v>
      </c>
      <c r="K333" s="1" t="s">
        <v>37</v>
      </c>
      <c r="L333">
        <v>1</v>
      </c>
      <c r="M333">
        <v>499</v>
      </c>
      <c r="N333">
        <v>0</v>
      </c>
      <c r="O333">
        <v>499</v>
      </c>
      <c r="P333">
        <v>180</v>
      </c>
      <c r="Q333">
        <v>180</v>
      </c>
      <c r="R333">
        <v>0</v>
      </c>
      <c r="S333">
        <v>319</v>
      </c>
    </row>
    <row r="334" spans="1:19" x14ac:dyDescent="0.3">
      <c r="A334" s="1" t="s">
        <v>652</v>
      </c>
      <c r="B334" s="4">
        <v>45447</v>
      </c>
      <c r="C334" s="1" t="s">
        <v>396</v>
      </c>
      <c r="D334" s="1" t="s">
        <v>21</v>
      </c>
      <c r="E334" s="1" t="s">
        <v>31</v>
      </c>
      <c r="F334" s="1" t="s">
        <v>32</v>
      </c>
      <c r="G334" s="1" t="s">
        <v>33</v>
      </c>
      <c r="H334" s="1" t="s">
        <v>34</v>
      </c>
      <c r="I334" s="1" t="s">
        <v>66</v>
      </c>
      <c r="J334" s="1" t="s">
        <v>67</v>
      </c>
      <c r="K334" s="1" t="s">
        <v>28</v>
      </c>
      <c r="L334">
        <v>3</v>
      </c>
      <c r="M334">
        <v>2499</v>
      </c>
      <c r="N334">
        <v>0.1</v>
      </c>
      <c r="O334">
        <v>6747.3</v>
      </c>
      <c r="P334">
        <v>1450</v>
      </c>
      <c r="Q334">
        <v>4350</v>
      </c>
      <c r="R334">
        <v>40</v>
      </c>
      <c r="S334">
        <v>2357.3000000000002</v>
      </c>
    </row>
    <row r="335" spans="1:19" x14ac:dyDescent="0.3">
      <c r="A335" s="1" t="s">
        <v>653</v>
      </c>
      <c r="B335" s="4">
        <v>45448</v>
      </c>
      <c r="C335" s="1" t="s">
        <v>654</v>
      </c>
      <c r="D335" s="1" t="s">
        <v>48</v>
      </c>
      <c r="E335" s="1" t="s">
        <v>31</v>
      </c>
      <c r="F335" s="1" t="s">
        <v>32</v>
      </c>
      <c r="G335" s="1" t="s">
        <v>42</v>
      </c>
      <c r="H335" s="1" t="s">
        <v>56</v>
      </c>
      <c r="I335" s="1" t="s">
        <v>26</v>
      </c>
      <c r="J335" s="1" t="s">
        <v>27</v>
      </c>
      <c r="K335" s="1" t="s">
        <v>28</v>
      </c>
      <c r="L335">
        <v>2</v>
      </c>
      <c r="M335">
        <v>799</v>
      </c>
      <c r="N335">
        <v>0.1</v>
      </c>
      <c r="O335">
        <v>1438.2</v>
      </c>
      <c r="P335">
        <v>420</v>
      </c>
      <c r="Q335">
        <v>840</v>
      </c>
      <c r="R335">
        <v>80</v>
      </c>
      <c r="S335">
        <v>518.20000000000005</v>
      </c>
    </row>
    <row r="336" spans="1:19" x14ac:dyDescent="0.3">
      <c r="A336" s="1" t="s">
        <v>655</v>
      </c>
      <c r="B336" s="4">
        <v>45448</v>
      </c>
      <c r="C336" s="1" t="s">
        <v>656</v>
      </c>
      <c r="D336" s="1" t="s">
        <v>48</v>
      </c>
      <c r="E336" s="1" t="s">
        <v>112</v>
      </c>
      <c r="F336" s="1" t="s">
        <v>113</v>
      </c>
      <c r="G336" s="1" t="s">
        <v>33</v>
      </c>
      <c r="H336" s="1" t="s">
        <v>89</v>
      </c>
      <c r="I336" s="1" t="s">
        <v>43</v>
      </c>
      <c r="J336" s="1" t="s">
        <v>44</v>
      </c>
      <c r="K336" s="1" t="s">
        <v>45</v>
      </c>
      <c r="L336">
        <v>3</v>
      </c>
      <c r="M336">
        <v>1799</v>
      </c>
      <c r="N336">
        <v>0.15</v>
      </c>
      <c r="O336">
        <v>4587.45</v>
      </c>
      <c r="P336">
        <v>850</v>
      </c>
      <c r="Q336">
        <v>2550</v>
      </c>
      <c r="R336">
        <v>60</v>
      </c>
      <c r="S336">
        <v>1977.45</v>
      </c>
    </row>
    <row r="337" spans="1:19" x14ac:dyDescent="0.3">
      <c r="A337" s="1" t="s">
        <v>657</v>
      </c>
      <c r="B337" s="4">
        <v>45449</v>
      </c>
      <c r="C337" s="1" t="s">
        <v>658</v>
      </c>
      <c r="D337" s="1" t="s">
        <v>40</v>
      </c>
      <c r="E337" s="1" t="s">
        <v>70</v>
      </c>
      <c r="F337" s="1" t="s">
        <v>70</v>
      </c>
      <c r="G337" s="1" t="s">
        <v>24</v>
      </c>
      <c r="H337" s="1" t="s">
        <v>25</v>
      </c>
      <c r="I337" s="1" t="s">
        <v>35</v>
      </c>
      <c r="J337" s="1" t="s">
        <v>36</v>
      </c>
      <c r="K337" s="1" t="s">
        <v>37</v>
      </c>
      <c r="L337">
        <v>5</v>
      </c>
      <c r="M337">
        <v>1299</v>
      </c>
      <c r="N337">
        <v>0.2</v>
      </c>
      <c r="O337">
        <v>5196</v>
      </c>
      <c r="P337">
        <v>700</v>
      </c>
      <c r="Q337">
        <v>3500</v>
      </c>
      <c r="R337">
        <v>40</v>
      </c>
      <c r="S337">
        <v>1656</v>
      </c>
    </row>
    <row r="338" spans="1:19" x14ac:dyDescent="0.3">
      <c r="A338" s="1" t="s">
        <v>659</v>
      </c>
      <c r="B338" s="4">
        <v>45449</v>
      </c>
      <c r="C338" s="1" t="s">
        <v>660</v>
      </c>
      <c r="D338" s="1" t="s">
        <v>21</v>
      </c>
      <c r="E338" s="1" t="s">
        <v>41</v>
      </c>
      <c r="F338" s="1" t="s">
        <v>32</v>
      </c>
      <c r="G338" s="1" t="s">
        <v>24</v>
      </c>
      <c r="H338" s="1" t="s">
        <v>89</v>
      </c>
      <c r="I338" s="1" t="s">
        <v>81</v>
      </c>
      <c r="J338" s="1" t="s">
        <v>82</v>
      </c>
      <c r="K338" s="1" t="s">
        <v>61</v>
      </c>
      <c r="L338">
        <v>2</v>
      </c>
      <c r="M338">
        <v>2999</v>
      </c>
      <c r="N338">
        <v>0.2</v>
      </c>
      <c r="O338">
        <v>4798.3999999999996</v>
      </c>
      <c r="P338">
        <v>1750</v>
      </c>
      <c r="Q338">
        <v>3500</v>
      </c>
      <c r="R338">
        <v>100</v>
      </c>
      <c r="S338">
        <v>1198.4000000000001</v>
      </c>
    </row>
    <row r="339" spans="1:19" x14ac:dyDescent="0.3">
      <c r="A339" s="1" t="s">
        <v>661</v>
      </c>
      <c r="B339" s="4">
        <v>45449</v>
      </c>
      <c r="C339" s="1" t="s">
        <v>662</v>
      </c>
      <c r="D339" s="1" t="s">
        <v>48</v>
      </c>
      <c r="E339" s="1" t="s">
        <v>96</v>
      </c>
      <c r="F339" s="1" t="s">
        <v>97</v>
      </c>
      <c r="G339" s="1" t="s">
        <v>33</v>
      </c>
      <c r="H339" s="1" t="s">
        <v>71</v>
      </c>
      <c r="I339" s="1" t="s">
        <v>26</v>
      </c>
      <c r="J339" s="1" t="s">
        <v>27</v>
      </c>
      <c r="K339" s="1" t="s">
        <v>28</v>
      </c>
      <c r="L339">
        <v>1</v>
      </c>
      <c r="M339">
        <v>799</v>
      </c>
      <c r="N339">
        <v>0.1</v>
      </c>
      <c r="O339">
        <v>719.1</v>
      </c>
      <c r="P339">
        <v>420</v>
      </c>
      <c r="Q339">
        <v>420</v>
      </c>
      <c r="R339">
        <v>100</v>
      </c>
      <c r="S339">
        <v>199.1</v>
      </c>
    </row>
    <row r="340" spans="1:19" x14ac:dyDescent="0.3">
      <c r="A340" s="1" t="s">
        <v>663</v>
      </c>
      <c r="B340" s="4">
        <v>45450</v>
      </c>
      <c r="C340" s="1" t="s">
        <v>206</v>
      </c>
      <c r="D340" s="1" t="s">
        <v>21</v>
      </c>
      <c r="E340" s="1" t="s">
        <v>64</v>
      </c>
      <c r="F340" s="1" t="s">
        <v>65</v>
      </c>
      <c r="G340" s="1" t="s">
        <v>33</v>
      </c>
      <c r="H340" s="1" t="s">
        <v>71</v>
      </c>
      <c r="I340" s="1" t="s">
        <v>51</v>
      </c>
      <c r="J340" s="1" t="s">
        <v>52</v>
      </c>
      <c r="K340" s="1" t="s">
        <v>37</v>
      </c>
      <c r="L340">
        <v>1</v>
      </c>
      <c r="M340">
        <v>499</v>
      </c>
      <c r="N340">
        <v>0.15</v>
      </c>
      <c r="O340">
        <v>424.15</v>
      </c>
      <c r="P340">
        <v>180</v>
      </c>
      <c r="Q340">
        <v>180</v>
      </c>
      <c r="R340">
        <v>60</v>
      </c>
      <c r="S340">
        <v>184.15</v>
      </c>
    </row>
    <row r="341" spans="1:19" x14ac:dyDescent="0.3">
      <c r="A341" s="1" t="s">
        <v>664</v>
      </c>
      <c r="B341" s="4">
        <v>45450</v>
      </c>
      <c r="C341" s="1" t="s">
        <v>665</v>
      </c>
      <c r="D341" s="1" t="s">
        <v>40</v>
      </c>
      <c r="E341" s="1" t="s">
        <v>112</v>
      </c>
      <c r="F341" s="1" t="s">
        <v>113</v>
      </c>
      <c r="G341" s="1" t="s">
        <v>33</v>
      </c>
      <c r="H341" s="1" t="s">
        <v>56</v>
      </c>
      <c r="I341" s="1" t="s">
        <v>66</v>
      </c>
      <c r="J341" s="1" t="s">
        <v>67</v>
      </c>
      <c r="K341" s="1" t="s">
        <v>28</v>
      </c>
      <c r="L341">
        <v>2</v>
      </c>
      <c r="M341">
        <v>2499</v>
      </c>
      <c r="N341">
        <v>0</v>
      </c>
      <c r="O341">
        <v>4998</v>
      </c>
      <c r="P341">
        <v>1450</v>
      </c>
      <c r="Q341">
        <v>2900</v>
      </c>
      <c r="R341">
        <v>40</v>
      </c>
      <c r="S341">
        <v>2058</v>
      </c>
    </row>
    <row r="342" spans="1:19" x14ac:dyDescent="0.3">
      <c r="A342" s="1" t="s">
        <v>666</v>
      </c>
      <c r="B342" s="4">
        <v>45451</v>
      </c>
      <c r="C342" s="1" t="s">
        <v>244</v>
      </c>
      <c r="D342" s="1" t="s">
        <v>48</v>
      </c>
      <c r="E342" s="1" t="s">
        <v>31</v>
      </c>
      <c r="F342" s="1" t="s">
        <v>32</v>
      </c>
      <c r="G342" s="1" t="s">
        <v>42</v>
      </c>
      <c r="H342" s="1" t="s">
        <v>34</v>
      </c>
      <c r="I342" s="1" t="s">
        <v>66</v>
      </c>
      <c r="J342" s="1" t="s">
        <v>67</v>
      </c>
      <c r="K342" s="1" t="s">
        <v>28</v>
      </c>
      <c r="L342">
        <v>1</v>
      </c>
      <c r="M342">
        <v>2499</v>
      </c>
      <c r="N342">
        <v>0</v>
      </c>
      <c r="O342">
        <v>2499</v>
      </c>
      <c r="P342">
        <v>1450</v>
      </c>
      <c r="Q342">
        <v>1450</v>
      </c>
      <c r="R342">
        <v>80</v>
      </c>
      <c r="S342">
        <v>969</v>
      </c>
    </row>
    <row r="343" spans="1:19" x14ac:dyDescent="0.3">
      <c r="A343" s="1" t="s">
        <v>667</v>
      </c>
      <c r="B343" s="4">
        <v>45452</v>
      </c>
      <c r="C343" s="1" t="s">
        <v>668</v>
      </c>
      <c r="D343" s="1" t="s">
        <v>48</v>
      </c>
      <c r="E343" s="1" t="s">
        <v>120</v>
      </c>
      <c r="F343" s="1" t="s">
        <v>121</v>
      </c>
      <c r="G343" s="1" t="s">
        <v>42</v>
      </c>
      <c r="H343" s="1" t="s">
        <v>71</v>
      </c>
      <c r="I343" s="1" t="s">
        <v>85</v>
      </c>
      <c r="J343" s="1" t="s">
        <v>86</v>
      </c>
      <c r="K343" s="1" t="s">
        <v>45</v>
      </c>
      <c r="L343">
        <v>1</v>
      </c>
      <c r="M343">
        <v>599</v>
      </c>
      <c r="N343">
        <v>0.2</v>
      </c>
      <c r="O343">
        <v>479.2</v>
      </c>
      <c r="P343">
        <v>240</v>
      </c>
      <c r="Q343">
        <v>240</v>
      </c>
      <c r="R343">
        <v>80</v>
      </c>
      <c r="S343">
        <v>159.19999999999999</v>
      </c>
    </row>
    <row r="344" spans="1:19" x14ac:dyDescent="0.3">
      <c r="A344" s="1" t="s">
        <v>669</v>
      </c>
      <c r="B344" s="4">
        <v>45452</v>
      </c>
      <c r="C344" s="1" t="s">
        <v>117</v>
      </c>
      <c r="D344" s="1" t="s">
        <v>40</v>
      </c>
      <c r="E344" s="1" t="s">
        <v>112</v>
      </c>
      <c r="F344" s="1" t="s">
        <v>113</v>
      </c>
      <c r="G344" s="1" t="s">
        <v>33</v>
      </c>
      <c r="H344" s="1" t="s">
        <v>89</v>
      </c>
      <c r="I344" s="1" t="s">
        <v>85</v>
      </c>
      <c r="J344" s="1" t="s">
        <v>86</v>
      </c>
      <c r="K344" s="1" t="s">
        <v>45</v>
      </c>
      <c r="L344">
        <v>1</v>
      </c>
      <c r="M344">
        <v>599</v>
      </c>
      <c r="N344">
        <v>0</v>
      </c>
      <c r="O344">
        <v>599</v>
      </c>
      <c r="P344">
        <v>240</v>
      </c>
      <c r="Q344">
        <v>240</v>
      </c>
      <c r="R344">
        <v>100</v>
      </c>
      <c r="S344">
        <v>259</v>
      </c>
    </row>
    <row r="345" spans="1:19" x14ac:dyDescent="0.3">
      <c r="A345" s="1" t="s">
        <v>670</v>
      </c>
      <c r="B345" s="4">
        <v>45452</v>
      </c>
      <c r="C345" s="1" t="s">
        <v>261</v>
      </c>
      <c r="D345" s="1" t="s">
        <v>40</v>
      </c>
      <c r="E345" s="1" t="s">
        <v>22</v>
      </c>
      <c r="F345" s="1" t="s">
        <v>23</v>
      </c>
      <c r="G345" s="1" t="s">
        <v>24</v>
      </c>
      <c r="H345" s="1" t="s">
        <v>25</v>
      </c>
      <c r="I345" s="1" t="s">
        <v>134</v>
      </c>
      <c r="J345" s="1" t="s">
        <v>135</v>
      </c>
      <c r="K345" s="1" t="s">
        <v>136</v>
      </c>
      <c r="L345">
        <v>2</v>
      </c>
      <c r="M345">
        <v>299</v>
      </c>
      <c r="N345">
        <v>0.1</v>
      </c>
      <c r="O345">
        <v>538.20000000000005</v>
      </c>
      <c r="P345">
        <v>110</v>
      </c>
      <c r="Q345">
        <v>220</v>
      </c>
      <c r="R345">
        <v>80</v>
      </c>
      <c r="S345">
        <v>238.2</v>
      </c>
    </row>
    <row r="346" spans="1:19" x14ac:dyDescent="0.3">
      <c r="A346" s="1" t="s">
        <v>671</v>
      </c>
      <c r="B346" s="4">
        <v>45453</v>
      </c>
      <c r="C346" s="1" t="s">
        <v>377</v>
      </c>
      <c r="D346" s="1" t="s">
        <v>40</v>
      </c>
      <c r="E346" s="1" t="s">
        <v>54</v>
      </c>
      <c r="F346" s="1" t="s">
        <v>55</v>
      </c>
      <c r="G346" s="1" t="s">
        <v>24</v>
      </c>
      <c r="H346" s="1" t="s">
        <v>89</v>
      </c>
      <c r="I346" s="1" t="s">
        <v>26</v>
      </c>
      <c r="J346" s="1" t="s">
        <v>27</v>
      </c>
      <c r="K346" s="1" t="s">
        <v>28</v>
      </c>
      <c r="L346">
        <v>3</v>
      </c>
      <c r="M346">
        <v>799</v>
      </c>
      <c r="N346">
        <v>0</v>
      </c>
      <c r="O346">
        <v>2397</v>
      </c>
      <c r="P346">
        <v>420</v>
      </c>
      <c r="Q346">
        <v>1260</v>
      </c>
      <c r="R346">
        <v>0</v>
      </c>
      <c r="S346">
        <v>1137</v>
      </c>
    </row>
    <row r="347" spans="1:19" x14ac:dyDescent="0.3">
      <c r="A347" s="1" t="s">
        <v>672</v>
      </c>
      <c r="B347" s="4">
        <v>45453</v>
      </c>
      <c r="C347" s="1" t="s">
        <v>673</v>
      </c>
      <c r="D347" s="1" t="s">
        <v>40</v>
      </c>
      <c r="E347" s="1" t="s">
        <v>70</v>
      </c>
      <c r="F347" s="1" t="s">
        <v>70</v>
      </c>
      <c r="G347" s="1" t="s">
        <v>24</v>
      </c>
      <c r="H347" s="1" t="s">
        <v>25</v>
      </c>
      <c r="I347" s="1" t="s">
        <v>81</v>
      </c>
      <c r="J347" s="1" t="s">
        <v>82</v>
      </c>
      <c r="K347" s="1" t="s">
        <v>61</v>
      </c>
      <c r="L347">
        <v>1</v>
      </c>
      <c r="M347">
        <v>2999</v>
      </c>
      <c r="N347">
        <v>0.15</v>
      </c>
      <c r="O347">
        <v>2549.15</v>
      </c>
      <c r="P347">
        <v>1750</v>
      </c>
      <c r="Q347">
        <v>1750</v>
      </c>
      <c r="R347">
        <v>0</v>
      </c>
      <c r="S347">
        <v>799.15</v>
      </c>
    </row>
    <row r="348" spans="1:19" x14ac:dyDescent="0.3">
      <c r="A348" s="1" t="s">
        <v>674</v>
      </c>
      <c r="B348" s="4">
        <v>45453</v>
      </c>
      <c r="C348" s="1" t="s">
        <v>109</v>
      </c>
      <c r="D348" s="1" t="s">
        <v>48</v>
      </c>
      <c r="E348" s="1" t="s">
        <v>96</v>
      </c>
      <c r="F348" s="1" t="s">
        <v>97</v>
      </c>
      <c r="G348" s="1" t="s">
        <v>33</v>
      </c>
      <c r="H348" s="1" t="s">
        <v>56</v>
      </c>
      <c r="I348" s="1" t="s">
        <v>43</v>
      </c>
      <c r="J348" s="1" t="s">
        <v>44</v>
      </c>
      <c r="K348" s="1" t="s">
        <v>45</v>
      </c>
      <c r="L348">
        <v>2</v>
      </c>
      <c r="M348">
        <v>1799</v>
      </c>
      <c r="N348">
        <v>0.1</v>
      </c>
      <c r="O348">
        <v>3238.2</v>
      </c>
      <c r="P348">
        <v>850</v>
      </c>
      <c r="Q348">
        <v>1700</v>
      </c>
      <c r="R348">
        <v>40</v>
      </c>
      <c r="S348">
        <v>1498.2</v>
      </c>
    </row>
    <row r="349" spans="1:19" x14ac:dyDescent="0.3">
      <c r="A349" s="1" t="s">
        <v>675</v>
      </c>
      <c r="B349" s="4">
        <v>45453</v>
      </c>
      <c r="C349" s="1" t="s">
        <v>676</v>
      </c>
      <c r="D349" s="1" t="s">
        <v>21</v>
      </c>
      <c r="E349" s="1" t="s">
        <v>22</v>
      </c>
      <c r="F349" s="1" t="s">
        <v>23</v>
      </c>
      <c r="G349" s="1" t="s">
        <v>24</v>
      </c>
      <c r="H349" s="1" t="s">
        <v>71</v>
      </c>
      <c r="I349" s="1" t="s">
        <v>66</v>
      </c>
      <c r="J349" s="1" t="s">
        <v>67</v>
      </c>
      <c r="K349" s="1" t="s">
        <v>28</v>
      </c>
      <c r="L349">
        <v>2</v>
      </c>
      <c r="M349">
        <v>2499</v>
      </c>
      <c r="N349">
        <v>0.05</v>
      </c>
      <c r="O349">
        <v>4748.1000000000004</v>
      </c>
      <c r="P349">
        <v>1450</v>
      </c>
      <c r="Q349">
        <v>2900</v>
      </c>
      <c r="R349">
        <v>100</v>
      </c>
      <c r="S349">
        <v>1748.1</v>
      </c>
    </row>
    <row r="350" spans="1:19" x14ac:dyDescent="0.3">
      <c r="A350" s="1" t="s">
        <v>677</v>
      </c>
      <c r="B350" s="4">
        <v>45454</v>
      </c>
      <c r="C350" s="1" t="s">
        <v>601</v>
      </c>
      <c r="D350" s="1" t="s">
        <v>48</v>
      </c>
      <c r="E350" s="1" t="s">
        <v>49</v>
      </c>
      <c r="F350" s="1" t="s">
        <v>50</v>
      </c>
      <c r="G350" s="1" t="s">
        <v>24</v>
      </c>
      <c r="H350" s="1" t="s">
        <v>34</v>
      </c>
      <c r="I350" s="1" t="s">
        <v>134</v>
      </c>
      <c r="J350" s="1" t="s">
        <v>135</v>
      </c>
      <c r="K350" s="1" t="s">
        <v>136</v>
      </c>
      <c r="L350">
        <v>2</v>
      </c>
      <c r="M350">
        <v>299</v>
      </c>
      <c r="N350">
        <v>0.05</v>
      </c>
      <c r="O350">
        <v>568.1</v>
      </c>
      <c r="P350">
        <v>110</v>
      </c>
      <c r="Q350">
        <v>220</v>
      </c>
      <c r="R350">
        <v>100</v>
      </c>
      <c r="S350">
        <v>248.1</v>
      </c>
    </row>
    <row r="351" spans="1:19" x14ac:dyDescent="0.3">
      <c r="A351" s="1" t="s">
        <v>678</v>
      </c>
      <c r="B351" s="4">
        <v>45455</v>
      </c>
      <c r="C351" s="1" t="s">
        <v>679</v>
      </c>
      <c r="D351" s="1" t="s">
        <v>40</v>
      </c>
      <c r="E351" s="1" t="s">
        <v>124</v>
      </c>
      <c r="F351" s="1" t="s">
        <v>125</v>
      </c>
      <c r="G351" s="1" t="s">
        <v>24</v>
      </c>
      <c r="H351" s="1" t="s">
        <v>71</v>
      </c>
      <c r="I351" s="1" t="s">
        <v>59</v>
      </c>
      <c r="J351" s="1" t="s">
        <v>60</v>
      </c>
      <c r="K351" s="1" t="s">
        <v>61</v>
      </c>
      <c r="L351">
        <v>2</v>
      </c>
      <c r="M351">
        <v>999</v>
      </c>
      <c r="N351">
        <v>0.1</v>
      </c>
      <c r="O351">
        <v>1798.2</v>
      </c>
      <c r="P351">
        <v>520</v>
      </c>
      <c r="Q351">
        <v>1040</v>
      </c>
      <c r="R351">
        <v>0</v>
      </c>
      <c r="S351">
        <v>758.2</v>
      </c>
    </row>
    <row r="352" spans="1:19" x14ac:dyDescent="0.3">
      <c r="A352" s="1" t="s">
        <v>680</v>
      </c>
      <c r="B352" s="4">
        <v>45456</v>
      </c>
      <c r="C352" s="1" t="s">
        <v>681</v>
      </c>
      <c r="D352" s="1" t="s">
        <v>40</v>
      </c>
      <c r="E352" s="1" t="s">
        <v>54</v>
      </c>
      <c r="F352" s="1" t="s">
        <v>55</v>
      </c>
      <c r="G352" s="1" t="s">
        <v>33</v>
      </c>
      <c r="H352" s="1" t="s">
        <v>34</v>
      </c>
      <c r="I352" s="1" t="s">
        <v>43</v>
      </c>
      <c r="J352" s="1" t="s">
        <v>44</v>
      </c>
      <c r="K352" s="1" t="s">
        <v>45</v>
      </c>
      <c r="L352">
        <v>2</v>
      </c>
      <c r="M352">
        <v>1799</v>
      </c>
      <c r="N352">
        <v>0.2</v>
      </c>
      <c r="O352">
        <v>2878.4</v>
      </c>
      <c r="P352">
        <v>850</v>
      </c>
      <c r="Q352">
        <v>1700</v>
      </c>
      <c r="R352">
        <v>80</v>
      </c>
      <c r="S352">
        <v>1098.4000000000001</v>
      </c>
    </row>
    <row r="353" spans="1:19" x14ac:dyDescent="0.3">
      <c r="A353" s="1" t="s">
        <v>682</v>
      </c>
      <c r="B353" s="4">
        <v>45456</v>
      </c>
      <c r="C353" s="1" t="s">
        <v>95</v>
      </c>
      <c r="D353" s="1" t="s">
        <v>40</v>
      </c>
      <c r="E353" s="1" t="s">
        <v>120</v>
      </c>
      <c r="F353" s="1" t="s">
        <v>121</v>
      </c>
      <c r="G353" s="1" t="s">
        <v>42</v>
      </c>
      <c r="H353" s="1" t="s">
        <v>89</v>
      </c>
      <c r="I353" s="1" t="s">
        <v>85</v>
      </c>
      <c r="J353" s="1" t="s">
        <v>86</v>
      </c>
      <c r="K353" s="1" t="s">
        <v>45</v>
      </c>
      <c r="L353">
        <v>3</v>
      </c>
      <c r="M353">
        <v>599</v>
      </c>
      <c r="N353">
        <v>0.15</v>
      </c>
      <c r="O353">
        <v>1527.45</v>
      </c>
      <c r="P353">
        <v>240</v>
      </c>
      <c r="Q353">
        <v>720</v>
      </c>
      <c r="R353">
        <v>40</v>
      </c>
      <c r="S353">
        <v>767.45</v>
      </c>
    </row>
    <row r="354" spans="1:19" x14ac:dyDescent="0.3">
      <c r="A354" s="1" t="s">
        <v>683</v>
      </c>
      <c r="B354" s="4">
        <v>45457</v>
      </c>
      <c r="C354" s="1" t="s">
        <v>496</v>
      </c>
      <c r="D354" s="1" t="s">
        <v>40</v>
      </c>
      <c r="E354" s="1" t="s">
        <v>41</v>
      </c>
      <c r="F354" s="1" t="s">
        <v>32</v>
      </c>
      <c r="G354" s="1" t="s">
        <v>42</v>
      </c>
      <c r="H354" s="1" t="s">
        <v>56</v>
      </c>
      <c r="I354" s="1" t="s">
        <v>134</v>
      </c>
      <c r="J354" s="1" t="s">
        <v>135</v>
      </c>
      <c r="K354" s="1" t="s">
        <v>136</v>
      </c>
      <c r="L354">
        <v>1</v>
      </c>
      <c r="M354">
        <v>299</v>
      </c>
      <c r="N354">
        <v>0.2</v>
      </c>
      <c r="O354">
        <v>239.2</v>
      </c>
      <c r="P354">
        <v>110</v>
      </c>
      <c r="Q354">
        <v>110</v>
      </c>
      <c r="R354">
        <v>0</v>
      </c>
      <c r="S354">
        <v>129.19999999999999</v>
      </c>
    </row>
    <row r="355" spans="1:19" x14ac:dyDescent="0.3">
      <c r="A355" s="1" t="s">
        <v>684</v>
      </c>
      <c r="B355" s="4">
        <v>45457</v>
      </c>
      <c r="C355" s="1" t="s">
        <v>620</v>
      </c>
      <c r="D355" s="1" t="s">
        <v>40</v>
      </c>
      <c r="E355" s="1" t="s">
        <v>96</v>
      </c>
      <c r="F355" s="1" t="s">
        <v>97</v>
      </c>
      <c r="G355" s="1" t="s">
        <v>42</v>
      </c>
      <c r="H355" s="1" t="s">
        <v>25</v>
      </c>
      <c r="I355" s="1" t="s">
        <v>81</v>
      </c>
      <c r="J355" s="1" t="s">
        <v>82</v>
      </c>
      <c r="K355" s="1" t="s">
        <v>61</v>
      </c>
      <c r="L355">
        <v>1</v>
      </c>
      <c r="M355">
        <v>2999</v>
      </c>
      <c r="N355">
        <v>0</v>
      </c>
      <c r="O355">
        <v>2999</v>
      </c>
      <c r="P355">
        <v>1750</v>
      </c>
      <c r="Q355">
        <v>1750</v>
      </c>
      <c r="R355">
        <v>100</v>
      </c>
      <c r="S355">
        <v>1149</v>
      </c>
    </row>
    <row r="356" spans="1:19" x14ac:dyDescent="0.3">
      <c r="A356" s="1" t="s">
        <v>685</v>
      </c>
      <c r="B356" s="4">
        <v>45457</v>
      </c>
      <c r="C356" s="1" t="s">
        <v>686</v>
      </c>
      <c r="D356" s="1" t="s">
        <v>40</v>
      </c>
      <c r="E356" s="1" t="s">
        <v>70</v>
      </c>
      <c r="F356" s="1" t="s">
        <v>70</v>
      </c>
      <c r="G356" s="1" t="s">
        <v>24</v>
      </c>
      <c r="H356" s="1" t="s">
        <v>34</v>
      </c>
      <c r="I356" s="1" t="s">
        <v>92</v>
      </c>
      <c r="J356" s="1" t="s">
        <v>93</v>
      </c>
      <c r="K356" s="1" t="s">
        <v>28</v>
      </c>
      <c r="L356">
        <v>3</v>
      </c>
      <c r="M356">
        <v>1599</v>
      </c>
      <c r="N356">
        <v>0.15</v>
      </c>
      <c r="O356">
        <v>4077.45</v>
      </c>
      <c r="P356">
        <v>900</v>
      </c>
      <c r="Q356">
        <v>2700</v>
      </c>
      <c r="R356">
        <v>0</v>
      </c>
      <c r="S356">
        <v>1377.45</v>
      </c>
    </row>
    <row r="357" spans="1:19" x14ac:dyDescent="0.3">
      <c r="A357" s="1" t="s">
        <v>687</v>
      </c>
      <c r="B357" s="4">
        <v>45458</v>
      </c>
      <c r="C357" s="1" t="s">
        <v>688</v>
      </c>
      <c r="D357" s="1" t="s">
        <v>21</v>
      </c>
      <c r="E357" s="1" t="s">
        <v>112</v>
      </c>
      <c r="F357" s="1" t="s">
        <v>113</v>
      </c>
      <c r="G357" s="1" t="s">
        <v>24</v>
      </c>
      <c r="H357" s="1" t="s">
        <v>34</v>
      </c>
      <c r="I357" s="1" t="s">
        <v>92</v>
      </c>
      <c r="J357" s="1" t="s">
        <v>93</v>
      </c>
      <c r="K357" s="1" t="s">
        <v>28</v>
      </c>
      <c r="L357">
        <v>1</v>
      </c>
      <c r="M357">
        <v>1599</v>
      </c>
      <c r="N357">
        <v>0.2</v>
      </c>
      <c r="O357">
        <v>1279.2</v>
      </c>
      <c r="P357">
        <v>900</v>
      </c>
      <c r="Q357">
        <v>900</v>
      </c>
      <c r="R357">
        <v>0</v>
      </c>
      <c r="S357">
        <v>379.2</v>
      </c>
    </row>
    <row r="358" spans="1:19" x14ac:dyDescent="0.3">
      <c r="A358" s="1" t="s">
        <v>689</v>
      </c>
      <c r="B358" s="4">
        <v>45458</v>
      </c>
      <c r="C358" s="1" t="s">
        <v>58</v>
      </c>
      <c r="D358" s="1" t="s">
        <v>21</v>
      </c>
      <c r="E358" s="1" t="s">
        <v>120</v>
      </c>
      <c r="F358" s="1" t="s">
        <v>121</v>
      </c>
      <c r="G358" s="1" t="s">
        <v>24</v>
      </c>
      <c r="H358" s="1" t="s">
        <v>71</v>
      </c>
      <c r="I358" s="1" t="s">
        <v>51</v>
      </c>
      <c r="J358" s="1" t="s">
        <v>52</v>
      </c>
      <c r="K358" s="1" t="s">
        <v>37</v>
      </c>
      <c r="L358">
        <v>3</v>
      </c>
      <c r="M358">
        <v>499</v>
      </c>
      <c r="N358">
        <v>0.05</v>
      </c>
      <c r="O358">
        <v>1422.15</v>
      </c>
      <c r="P358">
        <v>180</v>
      </c>
      <c r="Q358">
        <v>540</v>
      </c>
      <c r="R358">
        <v>60</v>
      </c>
      <c r="S358">
        <v>822.15</v>
      </c>
    </row>
    <row r="359" spans="1:19" x14ac:dyDescent="0.3">
      <c r="A359" s="1" t="s">
        <v>690</v>
      </c>
      <c r="B359" s="4">
        <v>45459</v>
      </c>
      <c r="C359" s="1" t="s">
        <v>370</v>
      </c>
      <c r="D359" s="1" t="s">
        <v>21</v>
      </c>
      <c r="E359" s="1" t="s">
        <v>31</v>
      </c>
      <c r="F359" s="1" t="s">
        <v>32</v>
      </c>
      <c r="G359" s="1" t="s">
        <v>33</v>
      </c>
      <c r="H359" s="1" t="s">
        <v>56</v>
      </c>
      <c r="I359" s="1" t="s">
        <v>35</v>
      </c>
      <c r="J359" s="1" t="s">
        <v>36</v>
      </c>
      <c r="K359" s="1" t="s">
        <v>37</v>
      </c>
      <c r="L359">
        <v>1</v>
      </c>
      <c r="M359">
        <v>1299</v>
      </c>
      <c r="N359">
        <v>0</v>
      </c>
      <c r="O359">
        <v>1299</v>
      </c>
      <c r="P359">
        <v>700</v>
      </c>
      <c r="Q359">
        <v>700</v>
      </c>
      <c r="R359">
        <v>60</v>
      </c>
      <c r="S359">
        <v>539</v>
      </c>
    </row>
    <row r="360" spans="1:19" x14ac:dyDescent="0.3">
      <c r="A360" s="1" t="s">
        <v>691</v>
      </c>
      <c r="B360" s="4">
        <v>45459</v>
      </c>
      <c r="C360" s="1" t="s">
        <v>692</v>
      </c>
      <c r="D360" s="1" t="s">
        <v>40</v>
      </c>
      <c r="E360" s="1" t="s">
        <v>96</v>
      </c>
      <c r="F360" s="1" t="s">
        <v>97</v>
      </c>
      <c r="G360" s="1" t="s">
        <v>33</v>
      </c>
      <c r="H360" s="1" t="s">
        <v>56</v>
      </c>
      <c r="I360" s="1" t="s">
        <v>43</v>
      </c>
      <c r="J360" s="1" t="s">
        <v>44</v>
      </c>
      <c r="K360" s="1" t="s">
        <v>45</v>
      </c>
      <c r="L360">
        <v>4</v>
      </c>
      <c r="M360">
        <v>1799</v>
      </c>
      <c r="N360">
        <v>0.15</v>
      </c>
      <c r="O360">
        <v>6116.6</v>
      </c>
      <c r="P360">
        <v>850</v>
      </c>
      <c r="Q360">
        <v>3400</v>
      </c>
      <c r="R360">
        <v>100</v>
      </c>
      <c r="S360">
        <v>2616.6</v>
      </c>
    </row>
    <row r="361" spans="1:19" x14ac:dyDescent="0.3">
      <c r="A361" s="1" t="s">
        <v>693</v>
      </c>
      <c r="B361" s="4">
        <v>45459</v>
      </c>
      <c r="C361" s="1" t="s">
        <v>694</v>
      </c>
      <c r="D361" s="1" t="s">
        <v>48</v>
      </c>
      <c r="E361" s="1" t="s">
        <v>112</v>
      </c>
      <c r="F361" s="1" t="s">
        <v>113</v>
      </c>
      <c r="G361" s="1" t="s">
        <v>42</v>
      </c>
      <c r="H361" s="1" t="s">
        <v>25</v>
      </c>
      <c r="I361" s="1" t="s">
        <v>59</v>
      </c>
      <c r="J361" s="1" t="s">
        <v>60</v>
      </c>
      <c r="K361" s="1" t="s">
        <v>61</v>
      </c>
      <c r="L361">
        <v>3</v>
      </c>
      <c r="M361">
        <v>999</v>
      </c>
      <c r="N361">
        <v>0.05</v>
      </c>
      <c r="O361">
        <v>2847.15</v>
      </c>
      <c r="P361">
        <v>520</v>
      </c>
      <c r="Q361">
        <v>1560</v>
      </c>
      <c r="R361">
        <v>80</v>
      </c>
      <c r="S361">
        <v>1207.1500000000001</v>
      </c>
    </row>
    <row r="362" spans="1:19" x14ac:dyDescent="0.3">
      <c r="A362" s="1" t="s">
        <v>695</v>
      </c>
      <c r="B362" s="4">
        <v>45460</v>
      </c>
      <c r="C362" s="1" t="s">
        <v>696</v>
      </c>
      <c r="D362" s="1" t="s">
        <v>48</v>
      </c>
      <c r="E362" s="1" t="s">
        <v>31</v>
      </c>
      <c r="F362" s="1" t="s">
        <v>32</v>
      </c>
      <c r="G362" s="1" t="s">
        <v>24</v>
      </c>
      <c r="H362" s="1" t="s">
        <v>89</v>
      </c>
      <c r="I362" s="1" t="s">
        <v>59</v>
      </c>
      <c r="J362" s="1" t="s">
        <v>60</v>
      </c>
      <c r="K362" s="1" t="s">
        <v>61</v>
      </c>
      <c r="L362">
        <v>1</v>
      </c>
      <c r="M362">
        <v>999</v>
      </c>
      <c r="N362">
        <v>0</v>
      </c>
      <c r="O362">
        <v>999</v>
      </c>
      <c r="P362">
        <v>520</v>
      </c>
      <c r="Q362">
        <v>520</v>
      </c>
      <c r="R362">
        <v>40</v>
      </c>
      <c r="S362">
        <v>439</v>
      </c>
    </row>
    <row r="363" spans="1:19" x14ac:dyDescent="0.3">
      <c r="A363" s="1" t="s">
        <v>697</v>
      </c>
      <c r="B363" s="4">
        <v>45461</v>
      </c>
      <c r="C363" s="1" t="s">
        <v>698</v>
      </c>
      <c r="D363" s="1" t="s">
        <v>48</v>
      </c>
      <c r="E363" s="1" t="s">
        <v>49</v>
      </c>
      <c r="F363" s="1" t="s">
        <v>50</v>
      </c>
      <c r="G363" s="1" t="s">
        <v>24</v>
      </c>
      <c r="H363" s="1" t="s">
        <v>56</v>
      </c>
      <c r="I363" s="1" t="s">
        <v>35</v>
      </c>
      <c r="J363" s="1" t="s">
        <v>36</v>
      </c>
      <c r="K363" s="1" t="s">
        <v>37</v>
      </c>
      <c r="L363">
        <v>2</v>
      </c>
      <c r="M363">
        <v>1299</v>
      </c>
      <c r="N363">
        <v>0.15</v>
      </c>
      <c r="O363">
        <v>2208.3000000000002</v>
      </c>
      <c r="P363">
        <v>700</v>
      </c>
      <c r="Q363">
        <v>1400</v>
      </c>
      <c r="R363">
        <v>80</v>
      </c>
      <c r="S363">
        <v>728.3</v>
      </c>
    </row>
    <row r="364" spans="1:19" x14ac:dyDescent="0.3">
      <c r="A364" s="1" t="s">
        <v>699</v>
      </c>
      <c r="B364" s="4">
        <v>45461</v>
      </c>
      <c r="C364" s="1" t="s">
        <v>518</v>
      </c>
      <c r="D364" s="1" t="s">
        <v>48</v>
      </c>
      <c r="E364" s="1" t="s">
        <v>54</v>
      </c>
      <c r="F364" s="1" t="s">
        <v>55</v>
      </c>
      <c r="G364" s="1" t="s">
        <v>24</v>
      </c>
      <c r="H364" s="1" t="s">
        <v>25</v>
      </c>
      <c r="I364" s="1" t="s">
        <v>43</v>
      </c>
      <c r="J364" s="1" t="s">
        <v>44</v>
      </c>
      <c r="K364" s="1" t="s">
        <v>45</v>
      </c>
      <c r="L364">
        <v>4</v>
      </c>
      <c r="M364">
        <v>1799</v>
      </c>
      <c r="N364">
        <v>0.15</v>
      </c>
      <c r="O364">
        <v>6116.6</v>
      </c>
      <c r="P364">
        <v>850</v>
      </c>
      <c r="Q364">
        <v>3400</v>
      </c>
      <c r="R364">
        <v>100</v>
      </c>
      <c r="S364">
        <v>2616.6</v>
      </c>
    </row>
    <row r="365" spans="1:19" x14ac:dyDescent="0.3">
      <c r="A365" s="1" t="s">
        <v>700</v>
      </c>
      <c r="B365" s="4">
        <v>45462</v>
      </c>
      <c r="C365" s="1" t="s">
        <v>544</v>
      </c>
      <c r="D365" s="1" t="s">
        <v>40</v>
      </c>
      <c r="E365" s="1" t="s">
        <v>112</v>
      </c>
      <c r="F365" s="1" t="s">
        <v>113</v>
      </c>
      <c r="G365" s="1" t="s">
        <v>24</v>
      </c>
      <c r="H365" s="1" t="s">
        <v>89</v>
      </c>
      <c r="I365" s="1" t="s">
        <v>51</v>
      </c>
      <c r="J365" s="1" t="s">
        <v>52</v>
      </c>
      <c r="K365" s="1" t="s">
        <v>37</v>
      </c>
      <c r="L365">
        <v>2</v>
      </c>
      <c r="M365">
        <v>499</v>
      </c>
      <c r="N365">
        <v>0</v>
      </c>
      <c r="O365">
        <v>998</v>
      </c>
      <c r="P365">
        <v>180</v>
      </c>
      <c r="Q365">
        <v>360</v>
      </c>
      <c r="R365">
        <v>0</v>
      </c>
      <c r="S365">
        <v>638</v>
      </c>
    </row>
    <row r="366" spans="1:19" x14ac:dyDescent="0.3">
      <c r="A366" s="1" t="s">
        <v>701</v>
      </c>
      <c r="B366" s="4">
        <v>45462</v>
      </c>
      <c r="C366" s="1" t="s">
        <v>702</v>
      </c>
      <c r="D366" s="1" t="s">
        <v>40</v>
      </c>
      <c r="E366" s="1" t="s">
        <v>41</v>
      </c>
      <c r="F366" s="1" t="s">
        <v>32</v>
      </c>
      <c r="G366" s="1" t="s">
        <v>42</v>
      </c>
      <c r="H366" s="1" t="s">
        <v>89</v>
      </c>
      <c r="I366" s="1" t="s">
        <v>81</v>
      </c>
      <c r="J366" s="1" t="s">
        <v>82</v>
      </c>
      <c r="K366" s="1" t="s">
        <v>61</v>
      </c>
      <c r="L366">
        <v>1</v>
      </c>
      <c r="M366">
        <v>2999</v>
      </c>
      <c r="N366">
        <v>0</v>
      </c>
      <c r="O366">
        <v>2999</v>
      </c>
      <c r="P366">
        <v>1750</v>
      </c>
      <c r="Q366">
        <v>1750</v>
      </c>
      <c r="R366">
        <v>100</v>
      </c>
      <c r="S366">
        <v>1149</v>
      </c>
    </row>
    <row r="367" spans="1:19" x14ac:dyDescent="0.3">
      <c r="A367" s="1" t="s">
        <v>703</v>
      </c>
      <c r="B367" s="4">
        <v>45462</v>
      </c>
      <c r="C367" s="1" t="s">
        <v>704</v>
      </c>
      <c r="D367" s="1" t="s">
        <v>40</v>
      </c>
      <c r="E367" s="1" t="s">
        <v>54</v>
      </c>
      <c r="F367" s="1" t="s">
        <v>55</v>
      </c>
      <c r="G367" s="1" t="s">
        <v>24</v>
      </c>
      <c r="H367" s="1" t="s">
        <v>56</v>
      </c>
      <c r="I367" s="1" t="s">
        <v>134</v>
      </c>
      <c r="J367" s="1" t="s">
        <v>135</v>
      </c>
      <c r="K367" s="1" t="s">
        <v>136</v>
      </c>
      <c r="L367">
        <v>1</v>
      </c>
      <c r="M367">
        <v>299</v>
      </c>
      <c r="N367">
        <v>0</v>
      </c>
      <c r="O367">
        <v>299</v>
      </c>
      <c r="P367">
        <v>110</v>
      </c>
      <c r="Q367">
        <v>110</v>
      </c>
      <c r="R367">
        <v>60</v>
      </c>
      <c r="S367">
        <v>129</v>
      </c>
    </row>
    <row r="368" spans="1:19" x14ac:dyDescent="0.3">
      <c r="A368" s="1" t="s">
        <v>705</v>
      </c>
      <c r="B368" s="4">
        <v>45463</v>
      </c>
      <c r="C368" s="1" t="s">
        <v>706</v>
      </c>
      <c r="D368" s="1" t="s">
        <v>48</v>
      </c>
      <c r="E368" s="1" t="s">
        <v>96</v>
      </c>
      <c r="F368" s="1" t="s">
        <v>97</v>
      </c>
      <c r="G368" s="1" t="s">
        <v>42</v>
      </c>
      <c r="H368" s="1" t="s">
        <v>34</v>
      </c>
      <c r="I368" s="1" t="s">
        <v>43</v>
      </c>
      <c r="J368" s="1" t="s">
        <v>44</v>
      </c>
      <c r="K368" s="1" t="s">
        <v>45</v>
      </c>
      <c r="L368">
        <v>1</v>
      </c>
      <c r="M368">
        <v>1799</v>
      </c>
      <c r="N368">
        <v>0.05</v>
      </c>
      <c r="O368">
        <v>1709.05</v>
      </c>
      <c r="P368">
        <v>850</v>
      </c>
      <c r="Q368">
        <v>850</v>
      </c>
      <c r="R368">
        <v>80</v>
      </c>
      <c r="S368">
        <v>779.05</v>
      </c>
    </row>
    <row r="369" spans="1:19" x14ac:dyDescent="0.3">
      <c r="A369" s="1" t="s">
        <v>707</v>
      </c>
      <c r="B369" s="4">
        <v>45464</v>
      </c>
      <c r="C369" s="1" t="s">
        <v>325</v>
      </c>
      <c r="D369" s="1" t="s">
        <v>21</v>
      </c>
      <c r="E369" s="1" t="s">
        <v>70</v>
      </c>
      <c r="F369" s="1" t="s">
        <v>70</v>
      </c>
      <c r="G369" s="1" t="s">
        <v>42</v>
      </c>
      <c r="H369" s="1" t="s">
        <v>56</v>
      </c>
      <c r="I369" s="1" t="s">
        <v>66</v>
      </c>
      <c r="J369" s="1" t="s">
        <v>67</v>
      </c>
      <c r="K369" s="1" t="s">
        <v>28</v>
      </c>
      <c r="L369">
        <v>2</v>
      </c>
      <c r="M369">
        <v>2499</v>
      </c>
      <c r="N369">
        <v>0</v>
      </c>
      <c r="O369">
        <v>4998</v>
      </c>
      <c r="P369">
        <v>1450</v>
      </c>
      <c r="Q369">
        <v>2900</v>
      </c>
      <c r="R369">
        <v>60</v>
      </c>
      <c r="S369">
        <v>2038</v>
      </c>
    </row>
    <row r="370" spans="1:19" x14ac:dyDescent="0.3">
      <c r="A370" s="1" t="s">
        <v>708</v>
      </c>
      <c r="B370" s="4">
        <v>45465</v>
      </c>
      <c r="C370" s="1" t="s">
        <v>232</v>
      </c>
      <c r="D370" s="1" t="s">
        <v>48</v>
      </c>
      <c r="E370" s="1" t="s">
        <v>112</v>
      </c>
      <c r="F370" s="1" t="s">
        <v>113</v>
      </c>
      <c r="G370" s="1" t="s">
        <v>33</v>
      </c>
      <c r="H370" s="1" t="s">
        <v>89</v>
      </c>
      <c r="I370" s="1" t="s">
        <v>66</v>
      </c>
      <c r="J370" s="1" t="s">
        <v>67</v>
      </c>
      <c r="K370" s="1" t="s">
        <v>28</v>
      </c>
      <c r="L370">
        <v>1</v>
      </c>
      <c r="M370">
        <v>2499</v>
      </c>
      <c r="N370">
        <v>0.2</v>
      </c>
      <c r="O370">
        <v>1999.2</v>
      </c>
      <c r="P370">
        <v>1450</v>
      </c>
      <c r="Q370">
        <v>1450</v>
      </c>
      <c r="R370">
        <v>0</v>
      </c>
      <c r="S370">
        <v>549.20000000000005</v>
      </c>
    </row>
    <row r="371" spans="1:19" x14ac:dyDescent="0.3">
      <c r="A371" s="1" t="s">
        <v>709</v>
      </c>
      <c r="B371" s="4">
        <v>45465</v>
      </c>
      <c r="C371" s="1" t="s">
        <v>402</v>
      </c>
      <c r="D371" s="1" t="s">
        <v>40</v>
      </c>
      <c r="E371" s="1" t="s">
        <v>124</v>
      </c>
      <c r="F371" s="1" t="s">
        <v>125</v>
      </c>
      <c r="G371" s="1" t="s">
        <v>42</v>
      </c>
      <c r="H371" s="1" t="s">
        <v>56</v>
      </c>
      <c r="I371" s="1" t="s">
        <v>35</v>
      </c>
      <c r="J371" s="1" t="s">
        <v>36</v>
      </c>
      <c r="K371" s="1" t="s">
        <v>37</v>
      </c>
      <c r="L371">
        <v>1</v>
      </c>
      <c r="M371">
        <v>1299</v>
      </c>
      <c r="N371">
        <v>0.05</v>
      </c>
      <c r="O371">
        <v>1234.05</v>
      </c>
      <c r="P371">
        <v>700</v>
      </c>
      <c r="Q371">
        <v>700</v>
      </c>
      <c r="R371">
        <v>100</v>
      </c>
      <c r="S371">
        <v>434.05</v>
      </c>
    </row>
    <row r="372" spans="1:19" x14ac:dyDescent="0.3">
      <c r="A372" s="1" t="s">
        <v>710</v>
      </c>
      <c r="B372" s="4">
        <v>45465</v>
      </c>
      <c r="C372" s="1" t="s">
        <v>711</v>
      </c>
      <c r="D372" s="1" t="s">
        <v>40</v>
      </c>
      <c r="E372" s="1" t="s">
        <v>70</v>
      </c>
      <c r="F372" s="1" t="s">
        <v>70</v>
      </c>
      <c r="G372" s="1" t="s">
        <v>33</v>
      </c>
      <c r="H372" s="1" t="s">
        <v>71</v>
      </c>
      <c r="I372" s="1" t="s">
        <v>92</v>
      </c>
      <c r="J372" s="1" t="s">
        <v>93</v>
      </c>
      <c r="K372" s="1" t="s">
        <v>28</v>
      </c>
      <c r="L372">
        <v>1</v>
      </c>
      <c r="M372">
        <v>1599</v>
      </c>
      <c r="N372">
        <v>0.05</v>
      </c>
      <c r="O372">
        <v>1519.05</v>
      </c>
      <c r="P372">
        <v>900</v>
      </c>
      <c r="Q372">
        <v>900</v>
      </c>
      <c r="R372">
        <v>80</v>
      </c>
      <c r="S372">
        <v>539.04999999999995</v>
      </c>
    </row>
    <row r="373" spans="1:19" x14ac:dyDescent="0.3">
      <c r="A373" s="1" t="s">
        <v>712</v>
      </c>
      <c r="B373" s="4">
        <v>45466</v>
      </c>
      <c r="C373" s="1" t="s">
        <v>713</v>
      </c>
      <c r="D373" s="1" t="s">
        <v>48</v>
      </c>
      <c r="E373" s="1" t="s">
        <v>64</v>
      </c>
      <c r="F373" s="1" t="s">
        <v>65</v>
      </c>
      <c r="G373" s="1" t="s">
        <v>33</v>
      </c>
      <c r="H373" s="1" t="s">
        <v>89</v>
      </c>
      <c r="I373" s="1" t="s">
        <v>26</v>
      </c>
      <c r="J373" s="1" t="s">
        <v>27</v>
      </c>
      <c r="K373" s="1" t="s">
        <v>28</v>
      </c>
      <c r="L373">
        <v>1</v>
      </c>
      <c r="M373">
        <v>799</v>
      </c>
      <c r="N373">
        <v>0.05</v>
      </c>
      <c r="O373">
        <v>759.05</v>
      </c>
      <c r="P373">
        <v>420</v>
      </c>
      <c r="Q373">
        <v>420</v>
      </c>
      <c r="R373">
        <v>60</v>
      </c>
      <c r="S373">
        <v>279.05</v>
      </c>
    </row>
    <row r="374" spans="1:19" x14ac:dyDescent="0.3">
      <c r="A374" s="1" t="s">
        <v>714</v>
      </c>
      <c r="B374" s="4">
        <v>45466</v>
      </c>
      <c r="C374" s="1" t="s">
        <v>259</v>
      </c>
      <c r="D374" s="1" t="s">
        <v>21</v>
      </c>
      <c r="E374" s="1" t="s">
        <v>64</v>
      </c>
      <c r="F374" s="1" t="s">
        <v>65</v>
      </c>
      <c r="G374" s="1" t="s">
        <v>33</v>
      </c>
      <c r="H374" s="1" t="s">
        <v>25</v>
      </c>
      <c r="I374" s="1" t="s">
        <v>85</v>
      </c>
      <c r="J374" s="1" t="s">
        <v>86</v>
      </c>
      <c r="K374" s="1" t="s">
        <v>45</v>
      </c>
      <c r="L374">
        <v>3</v>
      </c>
      <c r="M374">
        <v>599</v>
      </c>
      <c r="N374">
        <v>0.15</v>
      </c>
      <c r="O374">
        <v>1527.45</v>
      </c>
      <c r="P374">
        <v>240</v>
      </c>
      <c r="Q374">
        <v>720</v>
      </c>
      <c r="R374">
        <v>40</v>
      </c>
      <c r="S374">
        <v>767.45</v>
      </c>
    </row>
    <row r="375" spans="1:19" x14ac:dyDescent="0.3">
      <c r="A375" s="1" t="s">
        <v>715</v>
      </c>
      <c r="B375" s="4">
        <v>45466</v>
      </c>
      <c r="C375" s="1" t="s">
        <v>138</v>
      </c>
      <c r="D375" s="1" t="s">
        <v>48</v>
      </c>
      <c r="E375" s="1" t="s">
        <v>112</v>
      </c>
      <c r="F375" s="1" t="s">
        <v>113</v>
      </c>
      <c r="G375" s="1" t="s">
        <v>33</v>
      </c>
      <c r="H375" s="1" t="s">
        <v>56</v>
      </c>
      <c r="I375" s="1" t="s">
        <v>134</v>
      </c>
      <c r="J375" s="1" t="s">
        <v>135</v>
      </c>
      <c r="K375" s="1" t="s">
        <v>136</v>
      </c>
      <c r="L375">
        <v>5</v>
      </c>
      <c r="M375">
        <v>299</v>
      </c>
      <c r="N375">
        <v>0</v>
      </c>
      <c r="O375">
        <v>1495</v>
      </c>
      <c r="P375">
        <v>110</v>
      </c>
      <c r="Q375">
        <v>550</v>
      </c>
      <c r="R375">
        <v>0</v>
      </c>
      <c r="S375">
        <v>945</v>
      </c>
    </row>
    <row r="376" spans="1:19" x14ac:dyDescent="0.3">
      <c r="A376" s="1" t="s">
        <v>716</v>
      </c>
      <c r="B376" s="4">
        <v>45466</v>
      </c>
      <c r="C376" s="1" t="s">
        <v>190</v>
      </c>
      <c r="D376" s="1" t="s">
        <v>21</v>
      </c>
      <c r="E376" s="1" t="s">
        <v>41</v>
      </c>
      <c r="F376" s="1" t="s">
        <v>32</v>
      </c>
      <c r="G376" s="1" t="s">
        <v>24</v>
      </c>
      <c r="H376" s="1" t="s">
        <v>56</v>
      </c>
      <c r="I376" s="1" t="s">
        <v>92</v>
      </c>
      <c r="J376" s="1" t="s">
        <v>93</v>
      </c>
      <c r="K376" s="1" t="s">
        <v>28</v>
      </c>
      <c r="L376">
        <v>1</v>
      </c>
      <c r="M376">
        <v>1599</v>
      </c>
      <c r="N376">
        <v>0.1</v>
      </c>
      <c r="O376">
        <v>1439.1</v>
      </c>
      <c r="P376">
        <v>900</v>
      </c>
      <c r="Q376">
        <v>900</v>
      </c>
      <c r="R376">
        <v>100</v>
      </c>
      <c r="S376">
        <v>439.1</v>
      </c>
    </row>
    <row r="377" spans="1:19" x14ac:dyDescent="0.3">
      <c r="A377" s="1" t="s">
        <v>717</v>
      </c>
      <c r="B377" s="4">
        <v>45466</v>
      </c>
      <c r="C377" s="1" t="s">
        <v>718</v>
      </c>
      <c r="D377" s="1" t="s">
        <v>40</v>
      </c>
      <c r="E377" s="1" t="s">
        <v>124</v>
      </c>
      <c r="F377" s="1" t="s">
        <v>125</v>
      </c>
      <c r="G377" s="1" t="s">
        <v>42</v>
      </c>
      <c r="H377" s="1" t="s">
        <v>34</v>
      </c>
      <c r="I377" s="1" t="s">
        <v>81</v>
      </c>
      <c r="J377" s="1" t="s">
        <v>82</v>
      </c>
      <c r="K377" s="1" t="s">
        <v>61</v>
      </c>
      <c r="L377">
        <v>2</v>
      </c>
      <c r="M377">
        <v>2999</v>
      </c>
      <c r="N377">
        <v>0</v>
      </c>
      <c r="O377">
        <v>5998</v>
      </c>
      <c r="P377">
        <v>1750</v>
      </c>
      <c r="Q377">
        <v>3500</v>
      </c>
      <c r="R377">
        <v>40</v>
      </c>
      <c r="S377">
        <v>2458</v>
      </c>
    </row>
    <row r="378" spans="1:19" x14ac:dyDescent="0.3">
      <c r="A378" s="1" t="s">
        <v>719</v>
      </c>
      <c r="B378" s="4">
        <v>45466</v>
      </c>
      <c r="C378" s="1" t="s">
        <v>720</v>
      </c>
      <c r="D378" s="1" t="s">
        <v>48</v>
      </c>
      <c r="E378" s="1" t="s">
        <v>124</v>
      </c>
      <c r="F378" s="1" t="s">
        <v>125</v>
      </c>
      <c r="G378" s="1" t="s">
        <v>24</v>
      </c>
      <c r="H378" s="1" t="s">
        <v>89</v>
      </c>
      <c r="I378" s="1" t="s">
        <v>81</v>
      </c>
      <c r="J378" s="1" t="s">
        <v>82</v>
      </c>
      <c r="K378" s="1" t="s">
        <v>61</v>
      </c>
      <c r="L378">
        <v>4</v>
      </c>
      <c r="M378">
        <v>2999</v>
      </c>
      <c r="N378">
        <v>0.1</v>
      </c>
      <c r="O378">
        <v>10796.4</v>
      </c>
      <c r="P378">
        <v>1750</v>
      </c>
      <c r="Q378">
        <v>7000</v>
      </c>
      <c r="R378">
        <v>40</v>
      </c>
      <c r="S378">
        <v>3756.4</v>
      </c>
    </row>
    <row r="379" spans="1:19" x14ac:dyDescent="0.3">
      <c r="A379" s="1" t="s">
        <v>721</v>
      </c>
      <c r="B379" s="4">
        <v>45467</v>
      </c>
      <c r="C379" s="1" t="s">
        <v>722</v>
      </c>
      <c r="D379" s="1" t="s">
        <v>40</v>
      </c>
      <c r="E379" s="1" t="s">
        <v>49</v>
      </c>
      <c r="F379" s="1" t="s">
        <v>50</v>
      </c>
      <c r="G379" s="1" t="s">
        <v>24</v>
      </c>
      <c r="H379" s="1" t="s">
        <v>71</v>
      </c>
      <c r="I379" s="1" t="s">
        <v>59</v>
      </c>
      <c r="J379" s="1" t="s">
        <v>60</v>
      </c>
      <c r="K379" s="1" t="s">
        <v>61</v>
      </c>
      <c r="L379">
        <v>5</v>
      </c>
      <c r="M379">
        <v>999</v>
      </c>
      <c r="N379">
        <v>0.2</v>
      </c>
      <c r="O379">
        <v>3996</v>
      </c>
      <c r="P379">
        <v>520</v>
      </c>
      <c r="Q379">
        <v>2600</v>
      </c>
      <c r="R379">
        <v>0</v>
      </c>
      <c r="S379">
        <v>1396</v>
      </c>
    </row>
    <row r="380" spans="1:19" x14ac:dyDescent="0.3">
      <c r="A380" s="1" t="s">
        <v>723</v>
      </c>
      <c r="B380" s="4">
        <v>45469</v>
      </c>
      <c r="C380" s="1" t="s">
        <v>370</v>
      </c>
      <c r="D380" s="1" t="s">
        <v>48</v>
      </c>
      <c r="E380" s="1" t="s">
        <v>124</v>
      </c>
      <c r="F380" s="1" t="s">
        <v>125</v>
      </c>
      <c r="G380" s="1" t="s">
        <v>24</v>
      </c>
      <c r="H380" s="1" t="s">
        <v>71</v>
      </c>
      <c r="I380" s="1" t="s">
        <v>43</v>
      </c>
      <c r="J380" s="1" t="s">
        <v>44</v>
      </c>
      <c r="K380" s="1" t="s">
        <v>45</v>
      </c>
      <c r="L380">
        <v>4</v>
      </c>
      <c r="M380">
        <v>1799</v>
      </c>
      <c r="N380">
        <v>0.05</v>
      </c>
      <c r="O380">
        <v>6836.2</v>
      </c>
      <c r="P380">
        <v>850</v>
      </c>
      <c r="Q380">
        <v>3400</v>
      </c>
      <c r="R380">
        <v>100</v>
      </c>
      <c r="S380">
        <v>3336.2</v>
      </c>
    </row>
    <row r="381" spans="1:19" x14ac:dyDescent="0.3">
      <c r="A381" s="1" t="s">
        <v>724</v>
      </c>
      <c r="B381" s="4">
        <v>45469</v>
      </c>
      <c r="C381" s="1" t="s">
        <v>224</v>
      </c>
      <c r="D381" s="1" t="s">
        <v>21</v>
      </c>
      <c r="E381" s="1" t="s">
        <v>49</v>
      </c>
      <c r="F381" s="1" t="s">
        <v>50</v>
      </c>
      <c r="G381" s="1" t="s">
        <v>33</v>
      </c>
      <c r="H381" s="1" t="s">
        <v>56</v>
      </c>
      <c r="I381" s="1" t="s">
        <v>76</v>
      </c>
      <c r="J381" s="1" t="s">
        <v>77</v>
      </c>
      <c r="K381" s="1" t="s">
        <v>37</v>
      </c>
      <c r="L381">
        <v>2</v>
      </c>
      <c r="M381">
        <v>6999</v>
      </c>
      <c r="N381">
        <v>0.05</v>
      </c>
      <c r="O381">
        <v>13298.1</v>
      </c>
      <c r="P381">
        <v>4900</v>
      </c>
      <c r="Q381">
        <v>9800</v>
      </c>
      <c r="R381">
        <v>60</v>
      </c>
      <c r="S381">
        <v>3438.1</v>
      </c>
    </row>
    <row r="382" spans="1:19" x14ac:dyDescent="0.3">
      <c r="A382" s="1" t="s">
        <v>725</v>
      </c>
      <c r="B382" s="4">
        <v>45469</v>
      </c>
      <c r="C382" s="1" t="s">
        <v>486</v>
      </c>
      <c r="D382" s="1" t="s">
        <v>48</v>
      </c>
      <c r="E382" s="1" t="s">
        <v>70</v>
      </c>
      <c r="F382" s="1" t="s">
        <v>70</v>
      </c>
      <c r="G382" s="1" t="s">
        <v>33</v>
      </c>
      <c r="H382" s="1" t="s">
        <v>34</v>
      </c>
      <c r="I382" s="1" t="s">
        <v>134</v>
      </c>
      <c r="J382" s="1" t="s">
        <v>135</v>
      </c>
      <c r="K382" s="1" t="s">
        <v>136</v>
      </c>
      <c r="L382">
        <v>1</v>
      </c>
      <c r="M382">
        <v>299</v>
      </c>
      <c r="N382">
        <v>0.2</v>
      </c>
      <c r="O382">
        <v>239.2</v>
      </c>
      <c r="P382">
        <v>110</v>
      </c>
      <c r="Q382">
        <v>110</v>
      </c>
      <c r="R382">
        <v>0</v>
      </c>
      <c r="S382">
        <v>129.19999999999999</v>
      </c>
    </row>
    <row r="383" spans="1:19" x14ac:dyDescent="0.3">
      <c r="A383" s="1" t="s">
        <v>726</v>
      </c>
      <c r="B383" s="4">
        <v>45469</v>
      </c>
      <c r="C383" s="1" t="s">
        <v>727</v>
      </c>
      <c r="D383" s="1" t="s">
        <v>48</v>
      </c>
      <c r="E383" s="1" t="s">
        <v>80</v>
      </c>
      <c r="F383" s="1" t="s">
        <v>55</v>
      </c>
      <c r="G383" s="1" t="s">
        <v>33</v>
      </c>
      <c r="H383" s="1" t="s">
        <v>25</v>
      </c>
      <c r="I383" s="1" t="s">
        <v>43</v>
      </c>
      <c r="J383" s="1" t="s">
        <v>44</v>
      </c>
      <c r="K383" s="1" t="s">
        <v>45</v>
      </c>
      <c r="L383">
        <v>3</v>
      </c>
      <c r="M383">
        <v>1799</v>
      </c>
      <c r="N383">
        <v>0.2</v>
      </c>
      <c r="O383">
        <v>4317.6000000000004</v>
      </c>
      <c r="P383">
        <v>850</v>
      </c>
      <c r="Q383">
        <v>2550</v>
      </c>
      <c r="R383">
        <v>100</v>
      </c>
      <c r="S383">
        <v>1667.6</v>
      </c>
    </row>
    <row r="384" spans="1:19" x14ac:dyDescent="0.3">
      <c r="A384" s="1" t="s">
        <v>728</v>
      </c>
      <c r="B384" s="4">
        <v>45471</v>
      </c>
      <c r="C384" s="1" t="s">
        <v>729</v>
      </c>
      <c r="D384" s="1" t="s">
        <v>21</v>
      </c>
      <c r="E384" s="1" t="s">
        <v>120</v>
      </c>
      <c r="F384" s="1" t="s">
        <v>121</v>
      </c>
      <c r="G384" s="1" t="s">
        <v>42</v>
      </c>
      <c r="H384" s="1" t="s">
        <v>71</v>
      </c>
      <c r="I384" s="1" t="s">
        <v>51</v>
      </c>
      <c r="J384" s="1" t="s">
        <v>52</v>
      </c>
      <c r="K384" s="1" t="s">
        <v>37</v>
      </c>
      <c r="L384">
        <v>1</v>
      </c>
      <c r="M384">
        <v>499</v>
      </c>
      <c r="N384">
        <v>0.15</v>
      </c>
      <c r="O384">
        <v>424.15</v>
      </c>
      <c r="P384">
        <v>180</v>
      </c>
      <c r="Q384">
        <v>180</v>
      </c>
      <c r="R384">
        <v>60</v>
      </c>
      <c r="S384">
        <v>184.15</v>
      </c>
    </row>
    <row r="385" spans="1:19" x14ac:dyDescent="0.3">
      <c r="A385" s="1" t="s">
        <v>730</v>
      </c>
      <c r="B385" s="4">
        <v>45472</v>
      </c>
      <c r="C385" s="1" t="s">
        <v>367</v>
      </c>
      <c r="D385" s="1" t="s">
        <v>21</v>
      </c>
      <c r="E385" s="1" t="s">
        <v>22</v>
      </c>
      <c r="F385" s="1" t="s">
        <v>23</v>
      </c>
      <c r="G385" s="1" t="s">
        <v>42</v>
      </c>
      <c r="H385" s="1" t="s">
        <v>71</v>
      </c>
      <c r="I385" s="1" t="s">
        <v>85</v>
      </c>
      <c r="J385" s="1" t="s">
        <v>86</v>
      </c>
      <c r="K385" s="1" t="s">
        <v>45</v>
      </c>
      <c r="L385">
        <v>1</v>
      </c>
      <c r="M385">
        <v>599</v>
      </c>
      <c r="N385">
        <v>0.1</v>
      </c>
      <c r="O385">
        <v>539.1</v>
      </c>
      <c r="P385">
        <v>240</v>
      </c>
      <c r="Q385">
        <v>240</v>
      </c>
      <c r="R385">
        <v>40</v>
      </c>
      <c r="S385">
        <v>259.10000000000002</v>
      </c>
    </row>
    <row r="386" spans="1:19" x14ac:dyDescent="0.3">
      <c r="A386" s="1" t="s">
        <v>731</v>
      </c>
      <c r="B386" s="4">
        <v>45472</v>
      </c>
      <c r="C386" s="1" t="s">
        <v>445</v>
      </c>
      <c r="D386" s="1" t="s">
        <v>48</v>
      </c>
      <c r="E386" s="1" t="s">
        <v>31</v>
      </c>
      <c r="F386" s="1" t="s">
        <v>32</v>
      </c>
      <c r="G386" s="1" t="s">
        <v>24</v>
      </c>
      <c r="H386" s="1" t="s">
        <v>71</v>
      </c>
      <c r="I386" s="1" t="s">
        <v>51</v>
      </c>
      <c r="J386" s="1" t="s">
        <v>52</v>
      </c>
      <c r="K386" s="1" t="s">
        <v>37</v>
      </c>
      <c r="L386">
        <v>2</v>
      </c>
      <c r="M386">
        <v>499</v>
      </c>
      <c r="N386">
        <v>0.2</v>
      </c>
      <c r="O386">
        <v>798.4</v>
      </c>
      <c r="P386">
        <v>180</v>
      </c>
      <c r="Q386">
        <v>360</v>
      </c>
      <c r="R386">
        <v>60</v>
      </c>
      <c r="S386">
        <v>378.4</v>
      </c>
    </row>
    <row r="387" spans="1:19" x14ac:dyDescent="0.3">
      <c r="A387" s="1" t="s">
        <v>732</v>
      </c>
      <c r="B387" s="4">
        <v>45473</v>
      </c>
      <c r="C387" s="1" t="s">
        <v>361</v>
      </c>
      <c r="D387" s="1" t="s">
        <v>21</v>
      </c>
      <c r="E387" s="1" t="s">
        <v>70</v>
      </c>
      <c r="F387" s="1" t="s">
        <v>70</v>
      </c>
      <c r="G387" s="1" t="s">
        <v>42</v>
      </c>
      <c r="H387" s="1" t="s">
        <v>34</v>
      </c>
      <c r="I387" s="1" t="s">
        <v>59</v>
      </c>
      <c r="J387" s="1" t="s">
        <v>60</v>
      </c>
      <c r="K387" s="1" t="s">
        <v>61</v>
      </c>
      <c r="L387">
        <v>2</v>
      </c>
      <c r="M387">
        <v>999</v>
      </c>
      <c r="N387">
        <v>0</v>
      </c>
      <c r="O387">
        <v>1998</v>
      </c>
      <c r="P387">
        <v>520</v>
      </c>
      <c r="Q387">
        <v>1040</v>
      </c>
      <c r="R387">
        <v>0</v>
      </c>
      <c r="S387">
        <v>958</v>
      </c>
    </row>
    <row r="388" spans="1:19" x14ac:dyDescent="0.3">
      <c r="A388" s="1" t="s">
        <v>733</v>
      </c>
      <c r="B388" s="4">
        <v>45473</v>
      </c>
      <c r="C388" s="1" t="s">
        <v>734</v>
      </c>
      <c r="D388" s="1" t="s">
        <v>40</v>
      </c>
      <c r="E388" s="1" t="s">
        <v>54</v>
      </c>
      <c r="F388" s="1" t="s">
        <v>55</v>
      </c>
      <c r="G388" s="1" t="s">
        <v>42</v>
      </c>
      <c r="H388" s="1" t="s">
        <v>34</v>
      </c>
      <c r="I388" s="1" t="s">
        <v>26</v>
      </c>
      <c r="J388" s="1" t="s">
        <v>27</v>
      </c>
      <c r="K388" s="1" t="s">
        <v>28</v>
      </c>
      <c r="L388">
        <v>3</v>
      </c>
      <c r="M388">
        <v>799</v>
      </c>
      <c r="N388">
        <v>0.15</v>
      </c>
      <c r="O388">
        <v>2037.45</v>
      </c>
      <c r="P388">
        <v>420</v>
      </c>
      <c r="Q388">
        <v>1260</v>
      </c>
      <c r="R388">
        <v>80</v>
      </c>
      <c r="S388">
        <v>697.45</v>
      </c>
    </row>
    <row r="389" spans="1:19" x14ac:dyDescent="0.3">
      <c r="A389" s="1" t="s">
        <v>735</v>
      </c>
      <c r="B389" s="4">
        <v>45473</v>
      </c>
      <c r="C389" s="1" t="s">
        <v>736</v>
      </c>
      <c r="D389" s="1" t="s">
        <v>48</v>
      </c>
      <c r="E389" s="1" t="s">
        <v>112</v>
      </c>
      <c r="F389" s="1" t="s">
        <v>113</v>
      </c>
      <c r="G389" s="1" t="s">
        <v>24</v>
      </c>
      <c r="H389" s="1" t="s">
        <v>56</v>
      </c>
      <c r="I389" s="1" t="s">
        <v>59</v>
      </c>
      <c r="J389" s="1" t="s">
        <v>60</v>
      </c>
      <c r="K389" s="1" t="s">
        <v>61</v>
      </c>
      <c r="L389">
        <v>1</v>
      </c>
      <c r="M389">
        <v>999</v>
      </c>
      <c r="N389">
        <v>0.2</v>
      </c>
      <c r="O389">
        <v>799.2</v>
      </c>
      <c r="P389">
        <v>520</v>
      </c>
      <c r="Q389">
        <v>520</v>
      </c>
      <c r="R389">
        <v>60</v>
      </c>
      <c r="S389">
        <v>219.2</v>
      </c>
    </row>
    <row r="390" spans="1:19" x14ac:dyDescent="0.3">
      <c r="A390" s="1" t="s">
        <v>737</v>
      </c>
      <c r="B390" s="4">
        <v>45475</v>
      </c>
      <c r="C390" s="1" t="s">
        <v>105</v>
      </c>
      <c r="D390" s="1" t="s">
        <v>48</v>
      </c>
      <c r="E390" s="1" t="s">
        <v>22</v>
      </c>
      <c r="F390" s="1" t="s">
        <v>23</v>
      </c>
      <c r="G390" s="1" t="s">
        <v>42</v>
      </c>
      <c r="H390" s="1" t="s">
        <v>25</v>
      </c>
      <c r="I390" s="1" t="s">
        <v>59</v>
      </c>
      <c r="J390" s="1" t="s">
        <v>60</v>
      </c>
      <c r="K390" s="1" t="s">
        <v>61</v>
      </c>
      <c r="L390">
        <v>2</v>
      </c>
      <c r="M390">
        <v>999</v>
      </c>
      <c r="N390">
        <v>0.05</v>
      </c>
      <c r="O390">
        <v>1898.1</v>
      </c>
      <c r="P390">
        <v>520</v>
      </c>
      <c r="Q390">
        <v>1040</v>
      </c>
      <c r="R390">
        <v>40</v>
      </c>
      <c r="S390">
        <v>818.1</v>
      </c>
    </row>
    <row r="391" spans="1:19" x14ac:dyDescent="0.3">
      <c r="A391" s="1" t="s">
        <v>738</v>
      </c>
      <c r="B391" s="4">
        <v>45475</v>
      </c>
      <c r="C391" s="1" t="s">
        <v>476</v>
      </c>
      <c r="D391" s="1" t="s">
        <v>48</v>
      </c>
      <c r="E391" s="1" t="s">
        <v>112</v>
      </c>
      <c r="F391" s="1" t="s">
        <v>113</v>
      </c>
      <c r="G391" s="1" t="s">
        <v>24</v>
      </c>
      <c r="H391" s="1" t="s">
        <v>25</v>
      </c>
      <c r="I391" s="1" t="s">
        <v>26</v>
      </c>
      <c r="J391" s="1" t="s">
        <v>27</v>
      </c>
      <c r="K391" s="1" t="s">
        <v>28</v>
      </c>
      <c r="L391">
        <v>5</v>
      </c>
      <c r="M391">
        <v>799</v>
      </c>
      <c r="N391">
        <v>0.1</v>
      </c>
      <c r="O391">
        <v>3595.5</v>
      </c>
      <c r="P391">
        <v>420</v>
      </c>
      <c r="Q391">
        <v>2100</v>
      </c>
      <c r="R391">
        <v>0</v>
      </c>
      <c r="S391">
        <v>1495.5</v>
      </c>
    </row>
    <row r="392" spans="1:19" x14ac:dyDescent="0.3">
      <c r="A392" s="1" t="s">
        <v>739</v>
      </c>
      <c r="B392" s="4">
        <v>45475</v>
      </c>
      <c r="C392" s="1" t="s">
        <v>740</v>
      </c>
      <c r="D392" s="1" t="s">
        <v>40</v>
      </c>
      <c r="E392" s="1" t="s">
        <v>49</v>
      </c>
      <c r="F392" s="1" t="s">
        <v>50</v>
      </c>
      <c r="G392" s="1" t="s">
        <v>33</v>
      </c>
      <c r="H392" s="1" t="s">
        <v>71</v>
      </c>
      <c r="I392" s="1" t="s">
        <v>26</v>
      </c>
      <c r="J392" s="1" t="s">
        <v>27</v>
      </c>
      <c r="K392" s="1" t="s">
        <v>28</v>
      </c>
      <c r="L392">
        <v>2</v>
      </c>
      <c r="M392">
        <v>799</v>
      </c>
      <c r="N392">
        <v>0.2</v>
      </c>
      <c r="O392">
        <v>1278.4000000000001</v>
      </c>
      <c r="P392">
        <v>420</v>
      </c>
      <c r="Q392">
        <v>840</v>
      </c>
      <c r="R392">
        <v>80</v>
      </c>
      <c r="S392">
        <v>358.4</v>
      </c>
    </row>
    <row r="393" spans="1:19" x14ac:dyDescent="0.3">
      <c r="A393" s="1" t="s">
        <v>741</v>
      </c>
      <c r="B393" s="4">
        <v>45476</v>
      </c>
      <c r="C393" s="1" t="s">
        <v>494</v>
      </c>
      <c r="D393" s="1" t="s">
        <v>40</v>
      </c>
      <c r="E393" s="1" t="s">
        <v>41</v>
      </c>
      <c r="F393" s="1" t="s">
        <v>32</v>
      </c>
      <c r="G393" s="1" t="s">
        <v>42</v>
      </c>
      <c r="H393" s="1" t="s">
        <v>71</v>
      </c>
      <c r="I393" s="1" t="s">
        <v>35</v>
      </c>
      <c r="J393" s="1" t="s">
        <v>36</v>
      </c>
      <c r="K393" s="1" t="s">
        <v>37</v>
      </c>
      <c r="L393">
        <v>1</v>
      </c>
      <c r="M393">
        <v>1299</v>
      </c>
      <c r="N393">
        <v>0</v>
      </c>
      <c r="O393">
        <v>1299</v>
      </c>
      <c r="P393">
        <v>700</v>
      </c>
      <c r="Q393">
        <v>700</v>
      </c>
      <c r="R393">
        <v>100</v>
      </c>
      <c r="S393">
        <v>499</v>
      </c>
    </row>
    <row r="394" spans="1:19" x14ac:dyDescent="0.3">
      <c r="A394" s="1" t="s">
        <v>742</v>
      </c>
      <c r="B394" s="4">
        <v>45477</v>
      </c>
      <c r="C394" s="1" t="s">
        <v>549</v>
      </c>
      <c r="D394" s="1" t="s">
        <v>21</v>
      </c>
      <c r="E394" s="1" t="s">
        <v>120</v>
      </c>
      <c r="F394" s="1" t="s">
        <v>121</v>
      </c>
      <c r="G394" s="1" t="s">
        <v>42</v>
      </c>
      <c r="H394" s="1" t="s">
        <v>71</v>
      </c>
      <c r="I394" s="1" t="s">
        <v>81</v>
      </c>
      <c r="J394" s="1" t="s">
        <v>82</v>
      </c>
      <c r="K394" s="1" t="s">
        <v>61</v>
      </c>
      <c r="L394">
        <v>5</v>
      </c>
      <c r="M394">
        <v>2999</v>
      </c>
      <c r="N394">
        <v>0.1</v>
      </c>
      <c r="O394">
        <v>13495.5</v>
      </c>
      <c r="P394">
        <v>1750</v>
      </c>
      <c r="Q394">
        <v>8750</v>
      </c>
      <c r="R394">
        <v>40</v>
      </c>
      <c r="S394">
        <v>4705.5</v>
      </c>
    </row>
    <row r="395" spans="1:19" x14ac:dyDescent="0.3">
      <c r="A395" s="1" t="s">
        <v>743</v>
      </c>
      <c r="B395" s="4">
        <v>45477</v>
      </c>
      <c r="C395" s="1" t="s">
        <v>744</v>
      </c>
      <c r="D395" s="1" t="s">
        <v>48</v>
      </c>
      <c r="E395" s="1" t="s">
        <v>96</v>
      </c>
      <c r="F395" s="1" t="s">
        <v>97</v>
      </c>
      <c r="G395" s="1" t="s">
        <v>42</v>
      </c>
      <c r="H395" s="1" t="s">
        <v>71</v>
      </c>
      <c r="I395" s="1" t="s">
        <v>35</v>
      </c>
      <c r="J395" s="1" t="s">
        <v>36</v>
      </c>
      <c r="K395" s="1" t="s">
        <v>37</v>
      </c>
      <c r="L395">
        <v>1</v>
      </c>
      <c r="M395">
        <v>1299</v>
      </c>
      <c r="N395">
        <v>0</v>
      </c>
      <c r="O395">
        <v>1299</v>
      </c>
      <c r="P395">
        <v>700</v>
      </c>
      <c r="Q395">
        <v>700</v>
      </c>
      <c r="R395">
        <v>60</v>
      </c>
      <c r="S395">
        <v>539</v>
      </c>
    </row>
    <row r="396" spans="1:19" x14ac:dyDescent="0.3">
      <c r="A396" s="1" t="s">
        <v>745</v>
      </c>
      <c r="B396" s="4">
        <v>45478</v>
      </c>
      <c r="C396" s="1" t="s">
        <v>570</v>
      </c>
      <c r="D396" s="1" t="s">
        <v>40</v>
      </c>
      <c r="E396" s="1" t="s">
        <v>70</v>
      </c>
      <c r="F396" s="1" t="s">
        <v>70</v>
      </c>
      <c r="G396" s="1" t="s">
        <v>42</v>
      </c>
      <c r="H396" s="1" t="s">
        <v>71</v>
      </c>
      <c r="I396" s="1" t="s">
        <v>92</v>
      </c>
      <c r="J396" s="1" t="s">
        <v>93</v>
      </c>
      <c r="K396" s="1" t="s">
        <v>28</v>
      </c>
      <c r="L396">
        <v>3</v>
      </c>
      <c r="M396">
        <v>1599</v>
      </c>
      <c r="N396">
        <v>0.2</v>
      </c>
      <c r="O396">
        <v>3837.6</v>
      </c>
      <c r="P396">
        <v>900</v>
      </c>
      <c r="Q396">
        <v>2700</v>
      </c>
      <c r="R396">
        <v>40</v>
      </c>
      <c r="S396">
        <v>1097.5999999999999</v>
      </c>
    </row>
    <row r="397" spans="1:19" x14ac:dyDescent="0.3">
      <c r="A397" s="1" t="s">
        <v>746</v>
      </c>
      <c r="B397" s="4">
        <v>45480</v>
      </c>
      <c r="C397" s="1" t="s">
        <v>603</v>
      </c>
      <c r="D397" s="1" t="s">
        <v>21</v>
      </c>
      <c r="E397" s="1" t="s">
        <v>80</v>
      </c>
      <c r="F397" s="1" t="s">
        <v>55</v>
      </c>
      <c r="G397" s="1" t="s">
        <v>42</v>
      </c>
      <c r="H397" s="1" t="s">
        <v>89</v>
      </c>
      <c r="I397" s="1" t="s">
        <v>26</v>
      </c>
      <c r="J397" s="1" t="s">
        <v>27</v>
      </c>
      <c r="K397" s="1" t="s">
        <v>28</v>
      </c>
      <c r="L397">
        <v>1</v>
      </c>
      <c r="M397">
        <v>799</v>
      </c>
      <c r="N397">
        <v>0.1</v>
      </c>
      <c r="O397">
        <v>719.1</v>
      </c>
      <c r="P397">
        <v>420</v>
      </c>
      <c r="Q397">
        <v>420</v>
      </c>
      <c r="R397">
        <v>0</v>
      </c>
      <c r="S397">
        <v>299.10000000000002</v>
      </c>
    </row>
    <row r="398" spans="1:19" x14ac:dyDescent="0.3">
      <c r="A398" s="1" t="s">
        <v>747</v>
      </c>
      <c r="B398" s="4">
        <v>45480</v>
      </c>
      <c r="C398" s="1" t="s">
        <v>240</v>
      </c>
      <c r="D398" s="1" t="s">
        <v>48</v>
      </c>
      <c r="E398" s="1" t="s">
        <v>124</v>
      </c>
      <c r="F398" s="1" t="s">
        <v>125</v>
      </c>
      <c r="G398" s="1" t="s">
        <v>24</v>
      </c>
      <c r="H398" s="1" t="s">
        <v>56</v>
      </c>
      <c r="I398" s="1" t="s">
        <v>76</v>
      </c>
      <c r="J398" s="1" t="s">
        <v>77</v>
      </c>
      <c r="K398" s="1" t="s">
        <v>37</v>
      </c>
      <c r="L398">
        <v>2</v>
      </c>
      <c r="M398">
        <v>6999</v>
      </c>
      <c r="N398">
        <v>0.1</v>
      </c>
      <c r="O398">
        <v>12598.2</v>
      </c>
      <c r="P398">
        <v>4900</v>
      </c>
      <c r="Q398">
        <v>9800</v>
      </c>
      <c r="R398">
        <v>100</v>
      </c>
      <c r="S398">
        <v>2698.2</v>
      </c>
    </row>
    <row r="399" spans="1:19" x14ac:dyDescent="0.3">
      <c r="A399" s="1" t="s">
        <v>748</v>
      </c>
      <c r="B399" s="4">
        <v>45481</v>
      </c>
      <c r="C399" s="1" t="s">
        <v>749</v>
      </c>
      <c r="D399" s="1" t="s">
        <v>48</v>
      </c>
      <c r="E399" s="1" t="s">
        <v>96</v>
      </c>
      <c r="F399" s="1" t="s">
        <v>97</v>
      </c>
      <c r="G399" s="1" t="s">
        <v>33</v>
      </c>
      <c r="H399" s="1" t="s">
        <v>71</v>
      </c>
      <c r="I399" s="1" t="s">
        <v>76</v>
      </c>
      <c r="J399" s="1" t="s">
        <v>77</v>
      </c>
      <c r="K399" s="1" t="s">
        <v>37</v>
      </c>
      <c r="L399">
        <v>1</v>
      </c>
      <c r="M399">
        <v>6999</v>
      </c>
      <c r="N399">
        <v>0</v>
      </c>
      <c r="O399">
        <v>6999</v>
      </c>
      <c r="P399">
        <v>4900</v>
      </c>
      <c r="Q399">
        <v>4900</v>
      </c>
      <c r="R399">
        <v>40</v>
      </c>
      <c r="S399">
        <v>2059</v>
      </c>
    </row>
    <row r="400" spans="1:19" x14ac:dyDescent="0.3">
      <c r="A400" s="1" t="s">
        <v>750</v>
      </c>
      <c r="B400" s="4">
        <v>45481</v>
      </c>
      <c r="C400" s="1" t="s">
        <v>506</v>
      </c>
      <c r="D400" s="1" t="s">
        <v>40</v>
      </c>
      <c r="E400" s="1" t="s">
        <v>41</v>
      </c>
      <c r="F400" s="1" t="s">
        <v>32</v>
      </c>
      <c r="G400" s="1" t="s">
        <v>33</v>
      </c>
      <c r="H400" s="1" t="s">
        <v>56</v>
      </c>
      <c r="I400" s="1" t="s">
        <v>92</v>
      </c>
      <c r="J400" s="1" t="s">
        <v>93</v>
      </c>
      <c r="K400" s="1" t="s">
        <v>28</v>
      </c>
      <c r="L400">
        <v>1</v>
      </c>
      <c r="M400">
        <v>1599</v>
      </c>
      <c r="N400">
        <v>0.1</v>
      </c>
      <c r="O400">
        <v>1439.1</v>
      </c>
      <c r="P400">
        <v>900</v>
      </c>
      <c r="Q400">
        <v>900</v>
      </c>
      <c r="R400">
        <v>40</v>
      </c>
      <c r="S400">
        <v>499.1</v>
      </c>
    </row>
    <row r="401" spans="1:19" x14ac:dyDescent="0.3">
      <c r="A401" s="1" t="s">
        <v>751</v>
      </c>
      <c r="B401" s="4">
        <v>45482</v>
      </c>
      <c r="C401" s="1" t="s">
        <v>409</v>
      </c>
      <c r="D401" s="1" t="s">
        <v>40</v>
      </c>
      <c r="E401" s="1" t="s">
        <v>96</v>
      </c>
      <c r="F401" s="1" t="s">
        <v>97</v>
      </c>
      <c r="G401" s="1" t="s">
        <v>42</v>
      </c>
      <c r="H401" s="1" t="s">
        <v>89</v>
      </c>
      <c r="I401" s="1" t="s">
        <v>51</v>
      </c>
      <c r="J401" s="1" t="s">
        <v>52</v>
      </c>
      <c r="K401" s="1" t="s">
        <v>37</v>
      </c>
      <c r="L401">
        <v>2</v>
      </c>
      <c r="M401">
        <v>499</v>
      </c>
      <c r="N401">
        <v>0.1</v>
      </c>
      <c r="O401">
        <v>898.2</v>
      </c>
      <c r="P401">
        <v>180</v>
      </c>
      <c r="Q401">
        <v>360</v>
      </c>
      <c r="R401">
        <v>100</v>
      </c>
      <c r="S401">
        <v>438.2</v>
      </c>
    </row>
    <row r="402" spans="1:19" x14ac:dyDescent="0.3">
      <c r="A402" s="1" t="s">
        <v>752</v>
      </c>
      <c r="B402" s="4">
        <v>45482</v>
      </c>
      <c r="C402" s="1" t="s">
        <v>39</v>
      </c>
      <c r="D402" s="1" t="s">
        <v>21</v>
      </c>
      <c r="E402" s="1" t="s">
        <v>120</v>
      </c>
      <c r="F402" s="1" t="s">
        <v>121</v>
      </c>
      <c r="G402" s="1" t="s">
        <v>33</v>
      </c>
      <c r="H402" s="1" t="s">
        <v>56</v>
      </c>
      <c r="I402" s="1" t="s">
        <v>43</v>
      </c>
      <c r="J402" s="1" t="s">
        <v>44</v>
      </c>
      <c r="K402" s="1" t="s">
        <v>45</v>
      </c>
      <c r="L402">
        <v>2</v>
      </c>
      <c r="M402">
        <v>1799</v>
      </c>
      <c r="N402">
        <v>0.2</v>
      </c>
      <c r="O402">
        <v>2878.4</v>
      </c>
      <c r="P402">
        <v>850</v>
      </c>
      <c r="Q402">
        <v>1700</v>
      </c>
      <c r="R402">
        <v>40</v>
      </c>
      <c r="S402">
        <v>1138.4000000000001</v>
      </c>
    </row>
    <row r="403" spans="1:19" x14ac:dyDescent="0.3">
      <c r="A403" s="1" t="s">
        <v>753</v>
      </c>
      <c r="B403" s="4">
        <v>45483</v>
      </c>
      <c r="C403" s="1" t="s">
        <v>300</v>
      </c>
      <c r="D403" s="1" t="s">
        <v>21</v>
      </c>
      <c r="E403" s="1" t="s">
        <v>124</v>
      </c>
      <c r="F403" s="1" t="s">
        <v>125</v>
      </c>
      <c r="G403" s="1" t="s">
        <v>42</v>
      </c>
      <c r="H403" s="1" t="s">
        <v>56</v>
      </c>
      <c r="I403" s="1" t="s">
        <v>81</v>
      </c>
      <c r="J403" s="1" t="s">
        <v>82</v>
      </c>
      <c r="K403" s="1" t="s">
        <v>61</v>
      </c>
      <c r="L403">
        <v>3</v>
      </c>
      <c r="M403">
        <v>2999</v>
      </c>
      <c r="N403">
        <v>0.15</v>
      </c>
      <c r="O403">
        <v>7647.45</v>
      </c>
      <c r="P403">
        <v>1750</v>
      </c>
      <c r="Q403">
        <v>5250</v>
      </c>
      <c r="R403">
        <v>0</v>
      </c>
      <c r="S403">
        <v>2397.4499999999998</v>
      </c>
    </row>
    <row r="404" spans="1:19" x14ac:dyDescent="0.3">
      <c r="A404" s="1" t="s">
        <v>754</v>
      </c>
      <c r="B404" s="4">
        <v>45483</v>
      </c>
      <c r="C404" s="1" t="s">
        <v>755</v>
      </c>
      <c r="D404" s="1" t="s">
        <v>21</v>
      </c>
      <c r="E404" s="1" t="s">
        <v>54</v>
      </c>
      <c r="F404" s="1" t="s">
        <v>55</v>
      </c>
      <c r="G404" s="1" t="s">
        <v>24</v>
      </c>
      <c r="H404" s="1" t="s">
        <v>71</v>
      </c>
      <c r="I404" s="1" t="s">
        <v>92</v>
      </c>
      <c r="J404" s="1" t="s">
        <v>93</v>
      </c>
      <c r="K404" s="1" t="s">
        <v>28</v>
      </c>
      <c r="L404">
        <v>3</v>
      </c>
      <c r="M404">
        <v>1599</v>
      </c>
      <c r="N404">
        <v>0</v>
      </c>
      <c r="O404">
        <v>4797</v>
      </c>
      <c r="P404">
        <v>900</v>
      </c>
      <c r="Q404">
        <v>2700</v>
      </c>
      <c r="R404">
        <v>80</v>
      </c>
      <c r="S404">
        <v>2017</v>
      </c>
    </row>
    <row r="405" spans="1:19" x14ac:dyDescent="0.3">
      <c r="A405" s="1" t="s">
        <v>756</v>
      </c>
      <c r="B405" s="4">
        <v>45484</v>
      </c>
      <c r="C405" s="1" t="s">
        <v>757</v>
      </c>
      <c r="D405" s="1" t="s">
        <v>40</v>
      </c>
      <c r="E405" s="1" t="s">
        <v>22</v>
      </c>
      <c r="F405" s="1" t="s">
        <v>23</v>
      </c>
      <c r="G405" s="1" t="s">
        <v>42</v>
      </c>
      <c r="H405" s="1" t="s">
        <v>71</v>
      </c>
      <c r="I405" s="1" t="s">
        <v>43</v>
      </c>
      <c r="J405" s="1" t="s">
        <v>44</v>
      </c>
      <c r="K405" s="1" t="s">
        <v>45</v>
      </c>
      <c r="L405">
        <v>1</v>
      </c>
      <c r="M405">
        <v>1799</v>
      </c>
      <c r="N405">
        <v>0.1</v>
      </c>
      <c r="O405">
        <v>1619.1</v>
      </c>
      <c r="P405">
        <v>850</v>
      </c>
      <c r="Q405">
        <v>850</v>
      </c>
      <c r="R405">
        <v>40</v>
      </c>
      <c r="S405">
        <v>729.1</v>
      </c>
    </row>
    <row r="406" spans="1:19" x14ac:dyDescent="0.3">
      <c r="A406" s="1" t="s">
        <v>758</v>
      </c>
      <c r="B406" s="4">
        <v>45484</v>
      </c>
      <c r="C406" s="1" t="s">
        <v>107</v>
      </c>
      <c r="D406" s="1" t="s">
        <v>48</v>
      </c>
      <c r="E406" s="1" t="s">
        <v>31</v>
      </c>
      <c r="F406" s="1" t="s">
        <v>32</v>
      </c>
      <c r="G406" s="1" t="s">
        <v>33</v>
      </c>
      <c r="H406" s="1" t="s">
        <v>56</v>
      </c>
      <c r="I406" s="1" t="s">
        <v>92</v>
      </c>
      <c r="J406" s="1" t="s">
        <v>93</v>
      </c>
      <c r="K406" s="1" t="s">
        <v>28</v>
      </c>
      <c r="L406">
        <v>2</v>
      </c>
      <c r="M406">
        <v>1599</v>
      </c>
      <c r="N406">
        <v>0</v>
      </c>
      <c r="O406">
        <v>3198</v>
      </c>
      <c r="P406">
        <v>900</v>
      </c>
      <c r="Q406">
        <v>1800</v>
      </c>
      <c r="R406">
        <v>0</v>
      </c>
      <c r="S406">
        <v>1398</v>
      </c>
    </row>
    <row r="407" spans="1:19" x14ac:dyDescent="0.3">
      <c r="A407" s="1" t="s">
        <v>759</v>
      </c>
      <c r="B407" s="4">
        <v>45486</v>
      </c>
      <c r="C407" s="1" t="s">
        <v>514</v>
      </c>
      <c r="D407" s="1" t="s">
        <v>40</v>
      </c>
      <c r="E407" s="1" t="s">
        <v>41</v>
      </c>
      <c r="F407" s="1" t="s">
        <v>32</v>
      </c>
      <c r="G407" s="1" t="s">
        <v>42</v>
      </c>
      <c r="H407" s="1" t="s">
        <v>56</v>
      </c>
      <c r="I407" s="1" t="s">
        <v>85</v>
      </c>
      <c r="J407" s="1" t="s">
        <v>86</v>
      </c>
      <c r="K407" s="1" t="s">
        <v>45</v>
      </c>
      <c r="L407">
        <v>2</v>
      </c>
      <c r="M407">
        <v>599</v>
      </c>
      <c r="N407">
        <v>0.2</v>
      </c>
      <c r="O407">
        <v>958.4</v>
      </c>
      <c r="P407">
        <v>240</v>
      </c>
      <c r="Q407">
        <v>480</v>
      </c>
      <c r="R407">
        <v>0</v>
      </c>
      <c r="S407">
        <v>478.4</v>
      </c>
    </row>
    <row r="408" spans="1:19" x14ac:dyDescent="0.3">
      <c r="A408" s="1" t="s">
        <v>760</v>
      </c>
      <c r="B408" s="4">
        <v>45486</v>
      </c>
      <c r="C408" s="1" t="s">
        <v>761</v>
      </c>
      <c r="D408" s="1" t="s">
        <v>21</v>
      </c>
      <c r="E408" s="1" t="s">
        <v>112</v>
      </c>
      <c r="F408" s="1" t="s">
        <v>113</v>
      </c>
      <c r="G408" s="1" t="s">
        <v>24</v>
      </c>
      <c r="H408" s="1" t="s">
        <v>25</v>
      </c>
      <c r="I408" s="1" t="s">
        <v>66</v>
      </c>
      <c r="J408" s="1" t="s">
        <v>67</v>
      </c>
      <c r="K408" s="1" t="s">
        <v>28</v>
      </c>
      <c r="L408">
        <v>1</v>
      </c>
      <c r="M408">
        <v>2499</v>
      </c>
      <c r="N408">
        <v>0.1</v>
      </c>
      <c r="O408">
        <v>2249.1</v>
      </c>
      <c r="P408">
        <v>1450</v>
      </c>
      <c r="Q408">
        <v>1450</v>
      </c>
      <c r="R408">
        <v>60</v>
      </c>
      <c r="S408">
        <v>739.1</v>
      </c>
    </row>
    <row r="409" spans="1:19" x14ac:dyDescent="0.3">
      <c r="A409" s="1" t="s">
        <v>762</v>
      </c>
      <c r="B409" s="4">
        <v>45486</v>
      </c>
      <c r="C409" s="1" t="s">
        <v>720</v>
      </c>
      <c r="D409" s="1" t="s">
        <v>48</v>
      </c>
      <c r="E409" s="1" t="s">
        <v>120</v>
      </c>
      <c r="F409" s="1" t="s">
        <v>121</v>
      </c>
      <c r="G409" s="1" t="s">
        <v>24</v>
      </c>
      <c r="H409" s="1" t="s">
        <v>56</v>
      </c>
      <c r="I409" s="1" t="s">
        <v>35</v>
      </c>
      <c r="J409" s="1" t="s">
        <v>36</v>
      </c>
      <c r="K409" s="1" t="s">
        <v>37</v>
      </c>
      <c r="L409">
        <v>1</v>
      </c>
      <c r="M409">
        <v>1299</v>
      </c>
      <c r="N409">
        <v>0.1</v>
      </c>
      <c r="O409">
        <v>1169.0999999999999</v>
      </c>
      <c r="P409">
        <v>700</v>
      </c>
      <c r="Q409">
        <v>700</v>
      </c>
      <c r="R409">
        <v>0</v>
      </c>
      <c r="S409">
        <v>469.1</v>
      </c>
    </row>
    <row r="410" spans="1:19" x14ac:dyDescent="0.3">
      <c r="A410" s="1" t="s">
        <v>763</v>
      </c>
      <c r="B410" s="4">
        <v>45486</v>
      </c>
      <c r="C410" s="1" t="s">
        <v>593</v>
      </c>
      <c r="D410" s="1" t="s">
        <v>40</v>
      </c>
      <c r="E410" s="1" t="s">
        <v>96</v>
      </c>
      <c r="F410" s="1" t="s">
        <v>97</v>
      </c>
      <c r="G410" s="1" t="s">
        <v>24</v>
      </c>
      <c r="H410" s="1" t="s">
        <v>89</v>
      </c>
      <c r="I410" s="1" t="s">
        <v>72</v>
      </c>
      <c r="J410" s="1" t="s">
        <v>73</v>
      </c>
      <c r="K410" s="1" t="s">
        <v>28</v>
      </c>
      <c r="L410">
        <v>1</v>
      </c>
      <c r="M410">
        <v>2199</v>
      </c>
      <c r="N410">
        <v>0.1</v>
      </c>
      <c r="O410">
        <v>1979.1</v>
      </c>
      <c r="P410">
        <v>1250</v>
      </c>
      <c r="Q410">
        <v>1250</v>
      </c>
      <c r="R410">
        <v>100</v>
      </c>
      <c r="S410">
        <v>629.1</v>
      </c>
    </row>
    <row r="411" spans="1:19" x14ac:dyDescent="0.3">
      <c r="A411" s="1" t="s">
        <v>764</v>
      </c>
      <c r="B411" s="4">
        <v>45486</v>
      </c>
      <c r="C411" s="1" t="s">
        <v>39</v>
      </c>
      <c r="D411" s="1" t="s">
        <v>21</v>
      </c>
      <c r="E411" s="1" t="s">
        <v>64</v>
      </c>
      <c r="F411" s="1" t="s">
        <v>65</v>
      </c>
      <c r="G411" s="1" t="s">
        <v>33</v>
      </c>
      <c r="H411" s="1" t="s">
        <v>89</v>
      </c>
      <c r="I411" s="1" t="s">
        <v>35</v>
      </c>
      <c r="J411" s="1" t="s">
        <v>36</v>
      </c>
      <c r="K411" s="1" t="s">
        <v>37</v>
      </c>
      <c r="L411">
        <v>2</v>
      </c>
      <c r="M411">
        <v>1299</v>
      </c>
      <c r="N411">
        <v>0.05</v>
      </c>
      <c r="O411">
        <v>2468.1</v>
      </c>
      <c r="P411">
        <v>700</v>
      </c>
      <c r="Q411">
        <v>1400</v>
      </c>
      <c r="R411">
        <v>60</v>
      </c>
      <c r="S411">
        <v>1008.1</v>
      </c>
    </row>
    <row r="412" spans="1:19" x14ac:dyDescent="0.3">
      <c r="A412" s="1" t="s">
        <v>765</v>
      </c>
      <c r="B412" s="4">
        <v>45488</v>
      </c>
      <c r="C412" s="1" t="s">
        <v>679</v>
      </c>
      <c r="D412" s="1" t="s">
        <v>40</v>
      </c>
      <c r="E412" s="1" t="s">
        <v>96</v>
      </c>
      <c r="F412" s="1" t="s">
        <v>97</v>
      </c>
      <c r="G412" s="1" t="s">
        <v>33</v>
      </c>
      <c r="H412" s="1" t="s">
        <v>71</v>
      </c>
      <c r="I412" s="1" t="s">
        <v>66</v>
      </c>
      <c r="J412" s="1" t="s">
        <v>67</v>
      </c>
      <c r="K412" s="1" t="s">
        <v>28</v>
      </c>
      <c r="L412">
        <v>3</v>
      </c>
      <c r="M412">
        <v>2499</v>
      </c>
      <c r="N412">
        <v>0.2</v>
      </c>
      <c r="O412">
        <v>5997.6</v>
      </c>
      <c r="P412">
        <v>1450</v>
      </c>
      <c r="Q412">
        <v>4350</v>
      </c>
      <c r="R412">
        <v>60</v>
      </c>
      <c r="S412">
        <v>1587.6</v>
      </c>
    </row>
    <row r="413" spans="1:19" x14ac:dyDescent="0.3">
      <c r="A413" s="1" t="s">
        <v>766</v>
      </c>
      <c r="B413" s="4">
        <v>45488</v>
      </c>
      <c r="C413" s="1" t="s">
        <v>749</v>
      </c>
      <c r="D413" s="1" t="s">
        <v>21</v>
      </c>
      <c r="E413" s="1" t="s">
        <v>70</v>
      </c>
      <c r="F413" s="1" t="s">
        <v>70</v>
      </c>
      <c r="G413" s="1" t="s">
        <v>42</v>
      </c>
      <c r="H413" s="1" t="s">
        <v>25</v>
      </c>
      <c r="I413" s="1" t="s">
        <v>51</v>
      </c>
      <c r="J413" s="1" t="s">
        <v>52</v>
      </c>
      <c r="K413" s="1" t="s">
        <v>37</v>
      </c>
      <c r="L413">
        <v>2</v>
      </c>
      <c r="M413">
        <v>499</v>
      </c>
      <c r="N413">
        <v>0</v>
      </c>
      <c r="O413">
        <v>998</v>
      </c>
      <c r="P413">
        <v>180</v>
      </c>
      <c r="Q413">
        <v>360</v>
      </c>
      <c r="R413">
        <v>80</v>
      </c>
      <c r="S413">
        <v>558</v>
      </c>
    </row>
    <row r="414" spans="1:19" x14ac:dyDescent="0.3">
      <c r="A414" s="1" t="s">
        <v>767</v>
      </c>
      <c r="B414" s="4">
        <v>45488</v>
      </c>
      <c r="C414" s="1" t="s">
        <v>768</v>
      </c>
      <c r="D414" s="1" t="s">
        <v>40</v>
      </c>
      <c r="E414" s="1" t="s">
        <v>49</v>
      </c>
      <c r="F414" s="1" t="s">
        <v>50</v>
      </c>
      <c r="G414" s="1" t="s">
        <v>42</v>
      </c>
      <c r="H414" s="1" t="s">
        <v>71</v>
      </c>
      <c r="I414" s="1" t="s">
        <v>66</v>
      </c>
      <c r="J414" s="1" t="s">
        <v>67</v>
      </c>
      <c r="K414" s="1" t="s">
        <v>28</v>
      </c>
      <c r="L414">
        <v>2</v>
      </c>
      <c r="M414">
        <v>2499</v>
      </c>
      <c r="N414">
        <v>0.2</v>
      </c>
      <c r="O414">
        <v>3998.4</v>
      </c>
      <c r="P414">
        <v>1450</v>
      </c>
      <c r="Q414">
        <v>2900</v>
      </c>
      <c r="R414">
        <v>0</v>
      </c>
      <c r="S414">
        <v>1098.4000000000001</v>
      </c>
    </row>
    <row r="415" spans="1:19" x14ac:dyDescent="0.3">
      <c r="A415" s="1" t="s">
        <v>769</v>
      </c>
      <c r="B415" s="4">
        <v>45489</v>
      </c>
      <c r="C415" s="1" t="s">
        <v>91</v>
      </c>
      <c r="D415" s="1" t="s">
        <v>48</v>
      </c>
      <c r="E415" s="1" t="s">
        <v>49</v>
      </c>
      <c r="F415" s="1" t="s">
        <v>50</v>
      </c>
      <c r="G415" s="1" t="s">
        <v>33</v>
      </c>
      <c r="H415" s="1" t="s">
        <v>71</v>
      </c>
      <c r="I415" s="1" t="s">
        <v>81</v>
      </c>
      <c r="J415" s="1" t="s">
        <v>82</v>
      </c>
      <c r="K415" s="1" t="s">
        <v>61</v>
      </c>
      <c r="L415">
        <v>1</v>
      </c>
      <c r="M415">
        <v>2999</v>
      </c>
      <c r="N415">
        <v>0.15</v>
      </c>
      <c r="O415">
        <v>2549.15</v>
      </c>
      <c r="P415">
        <v>1750</v>
      </c>
      <c r="Q415">
        <v>1750</v>
      </c>
      <c r="R415">
        <v>40</v>
      </c>
      <c r="S415">
        <v>759.15</v>
      </c>
    </row>
    <row r="416" spans="1:19" x14ac:dyDescent="0.3">
      <c r="A416" s="1" t="s">
        <v>770</v>
      </c>
      <c r="B416" s="4">
        <v>45489</v>
      </c>
      <c r="C416" s="1" t="s">
        <v>771</v>
      </c>
      <c r="D416" s="1" t="s">
        <v>40</v>
      </c>
      <c r="E416" s="1" t="s">
        <v>31</v>
      </c>
      <c r="F416" s="1" t="s">
        <v>32</v>
      </c>
      <c r="G416" s="1" t="s">
        <v>24</v>
      </c>
      <c r="H416" s="1" t="s">
        <v>25</v>
      </c>
      <c r="I416" s="1" t="s">
        <v>26</v>
      </c>
      <c r="J416" s="1" t="s">
        <v>27</v>
      </c>
      <c r="K416" s="1" t="s">
        <v>28</v>
      </c>
      <c r="L416">
        <v>1</v>
      </c>
      <c r="M416">
        <v>799</v>
      </c>
      <c r="N416">
        <v>0</v>
      </c>
      <c r="O416">
        <v>799</v>
      </c>
      <c r="P416">
        <v>420</v>
      </c>
      <c r="Q416">
        <v>420</v>
      </c>
      <c r="R416">
        <v>0</v>
      </c>
      <c r="S416">
        <v>379</v>
      </c>
    </row>
    <row r="417" spans="1:19" x14ac:dyDescent="0.3">
      <c r="A417" s="1" t="s">
        <v>772</v>
      </c>
      <c r="B417" s="4">
        <v>45490</v>
      </c>
      <c r="C417" s="1" t="s">
        <v>773</v>
      </c>
      <c r="D417" s="1" t="s">
        <v>21</v>
      </c>
      <c r="E417" s="1" t="s">
        <v>64</v>
      </c>
      <c r="F417" s="1" t="s">
        <v>65</v>
      </c>
      <c r="G417" s="1" t="s">
        <v>33</v>
      </c>
      <c r="H417" s="1" t="s">
        <v>89</v>
      </c>
      <c r="I417" s="1" t="s">
        <v>81</v>
      </c>
      <c r="J417" s="1" t="s">
        <v>82</v>
      </c>
      <c r="K417" s="1" t="s">
        <v>61</v>
      </c>
      <c r="L417">
        <v>2</v>
      </c>
      <c r="M417">
        <v>2999</v>
      </c>
      <c r="N417">
        <v>0.15</v>
      </c>
      <c r="O417">
        <v>5098.3</v>
      </c>
      <c r="P417">
        <v>1750</v>
      </c>
      <c r="Q417">
        <v>3500</v>
      </c>
      <c r="R417">
        <v>80</v>
      </c>
      <c r="S417">
        <v>1518.3</v>
      </c>
    </row>
    <row r="418" spans="1:19" x14ac:dyDescent="0.3">
      <c r="A418" s="1" t="s">
        <v>774</v>
      </c>
      <c r="B418" s="4">
        <v>45490</v>
      </c>
      <c r="C418" s="1" t="s">
        <v>775</v>
      </c>
      <c r="D418" s="1" t="s">
        <v>48</v>
      </c>
      <c r="E418" s="1" t="s">
        <v>120</v>
      </c>
      <c r="F418" s="1" t="s">
        <v>121</v>
      </c>
      <c r="G418" s="1" t="s">
        <v>24</v>
      </c>
      <c r="H418" s="1" t="s">
        <v>25</v>
      </c>
      <c r="I418" s="1" t="s">
        <v>66</v>
      </c>
      <c r="J418" s="1" t="s">
        <v>67</v>
      </c>
      <c r="K418" s="1" t="s">
        <v>28</v>
      </c>
      <c r="L418">
        <v>1</v>
      </c>
      <c r="M418">
        <v>2499</v>
      </c>
      <c r="N418">
        <v>0.15</v>
      </c>
      <c r="O418">
        <v>2124.15</v>
      </c>
      <c r="P418">
        <v>1450</v>
      </c>
      <c r="Q418">
        <v>1450</v>
      </c>
      <c r="R418">
        <v>0</v>
      </c>
      <c r="S418">
        <v>674.15</v>
      </c>
    </row>
    <row r="419" spans="1:19" x14ac:dyDescent="0.3">
      <c r="A419" s="1" t="s">
        <v>776</v>
      </c>
      <c r="B419" s="4">
        <v>45490</v>
      </c>
      <c r="C419" s="1" t="s">
        <v>777</v>
      </c>
      <c r="D419" s="1" t="s">
        <v>21</v>
      </c>
      <c r="E419" s="1" t="s">
        <v>124</v>
      </c>
      <c r="F419" s="1" t="s">
        <v>125</v>
      </c>
      <c r="G419" s="1" t="s">
        <v>24</v>
      </c>
      <c r="H419" s="1" t="s">
        <v>89</v>
      </c>
      <c r="I419" s="1" t="s">
        <v>134</v>
      </c>
      <c r="J419" s="1" t="s">
        <v>135</v>
      </c>
      <c r="K419" s="1" t="s">
        <v>136</v>
      </c>
      <c r="L419">
        <v>1</v>
      </c>
      <c r="M419">
        <v>299</v>
      </c>
      <c r="N419">
        <v>0.15</v>
      </c>
      <c r="O419">
        <v>254.15</v>
      </c>
      <c r="P419">
        <v>110</v>
      </c>
      <c r="Q419">
        <v>110</v>
      </c>
      <c r="R419">
        <v>60</v>
      </c>
      <c r="S419">
        <v>84.15</v>
      </c>
    </row>
    <row r="420" spans="1:19" x14ac:dyDescent="0.3">
      <c r="A420" s="1" t="s">
        <v>778</v>
      </c>
      <c r="B420" s="4">
        <v>45490</v>
      </c>
      <c r="C420" s="1" t="s">
        <v>417</v>
      </c>
      <c r="D420" s="1" t="s">
        <v>40</v>
      </c>
      <c r="E420" s="1" t="s">
        <v>64</v>
      </c>
      <c r="F420" s="1" t="s">
        <v>65</v>
      </c>
      <c r="G420" s="1" t="s">
        <v>24</v>
      </c>
      <c r="H420" s="1" t="s">
        <v>56</v>
      </c>
      <c r="I420" s="1" t="s">
        <v>81</v>
      </c>
      <c r="J420" s="1" t="s">
        <v>82</v>
      </c>
      <c r="K420" s="1" t="s">
        <v>61</v>
      </c>
      <c r="L420">
        <v>3</v>
      </c>
      <c r="M420">
        <v>2999</v>
      </c>
      <c r="N420">
        <v>0.2</v>
      </c>
      <c r="O420">
        <v>7197.6</v>
      </c>
      <c r="P420">
        <v>1750</v>
      </c>
      <c r="Q420">
        <v>5250</v>
      </c>
      <c r="R420">
        <v>80</v>
      </c>
      <c r="S420">
        <v>1867.6</v>
      </c>
    </row>
    <row r="421" spans="1:19" x14ac:dyDescent="0.3">
      <c r="A421" s="1" t="s">
        <v>779</v>
      </c>
      <c r="B421" s="4">
        <v>45491</v>
      </c>
      <c r="C421" s="1" t="s">
        <v>780</v>
      </c>
      <c r="D421" s="1" t="s">
        <v>21</v>
      </c>
      <c r="E421" s="1" t="s">
        <v>31</v>
      </c>
      <c r="F421" s="1" t="s">
        <v>32</v>
      </c>
      <c r="G421" s="1" t="s">
        <v>42</v>
      </c>
      <c r="H421" s="1" t="s">
        <v>56</v>
      </c>
      <c r="I421" s="1" t="s">
        <v>35</v>
      </c>
      <c r="J421" s="1" t="s">
        <v>36</v>
      </c>
      <c r="K421" s="1" t="s">
        <v>37</v>
      </c>
      <c r="L421">
        <v>1</v>
      </c>
      <c r="M421">
        <v>1299</v>
      </c>
      <c r="N421">
        <v>0</v>
      </c>
      <c r="O421">
        <v>1299</v>
      </c>
      <c r="P421">
        <v>700</v>
      </c>
      <c r="Q421">
        <v>700</v>
      </c>
      <c r="R421">
        <v>60</v>
      </c>
      <c r="S421">
        <v>539</v>
      </c>
    </row>
    <row r="422" spans="1:19" x14ac:dyDescent="0.3">
      <c r="A422" s="1" t="s">
        <v>781</v>
      </c>
      <c r="B422" s="4">
        <v>45491</v>
      </c>
      <c r="C422" s="1" t="s">
        <v>656</v>
      </c>
      <c r="D422" s="1" t="s">
        <v>48</v>
      </c>
      <c r="E422" s="1" t="s">
        <v>70</v>
      </c>
      <c r="F422" s="1" t="s">
        <v>70</v>
      </c>
      <c r="G422" s="1" t="s">
        <v>42</v>
      </c>
      <c r="H422" s="1" t="s">
        <v>71</v>
      </c>
      <c r="I422" s="1" t="s">
        <v>81</v>
      </c>
      <c r="J422" s="1" t="s">
        <v>82</v>
      </c>
      <c r="K422" s="1" t="s">
        <v>61</v>
      </c>
      <c r="L422">
        <v>3</v>
      </c>
      <c r="M422">
        <v>2999</v>
      </c>
      <c r="N422">
        <v>0.2</v>
      </c>
      <c r="O422">
        <v>7197.6</v>
      </c>
      <c r="P422">
        <v>1750</v>
      </c>
      <c r="Q422">
        <v>5250</v>
      </c>
      <c r="R422">
        <v>60</v>
      </c>
      <c r="S422">
        <v>1887.6</v>
      </c>
    </row>
    <row r="423" spans="1:19" x14ac:dyDescent="0.3">
      <c r="A423" s="1" t="s">
        <v>782</v>
      </c>
      <c r="B423" s="4">
        <v>45491</v>
      </c>
      <c r="C423" s="1" t="s">
        <v>506</v>
      </c>
      <c r="D423" s="1" t="s">
        <v>48</v>
      </c>
      <c r="E423" s="1" t="s">
        <v>49</v>
      </c>
      <c r="F423" s="1" t="s">
        <v>50</v>
      </c>
      <c r="G423" s="1" t="s">
        <v>33</v>
      </c>
      <c r="H423" s="1" t="s">
        <v>34</v>
      </c>
      <c r="I423" s="1" t="s">
        <v>26</v>
      </c>
      <c r="J423" s="1" t="s">
        <v>27</v>
      </c>
      <c r="K423" s="1" t="s">
        <v>28</v>
      </c>
      <c r="L423">
        <v>2</v>
      </c>
      <c r="M423">
        <v>799</v>
      </c>
      <c r="N423">
        <v>0</v>
      </c>
      <c r="O423">
        <v>1598</v>
      </c>
      <c r="P423">
        <v>420</v>
      </c>
      <c r="Q423">
        <v>840</v>
      </c>
      <c r="R423">
        <v>60</v>
      </c>
      <c r="S423">
        <v>698</v>
      </c>
    </row>
    <row r="424" spans="1:19" x14ac:dyDescent="0.3">
      <c r="A424" s="1" t="s">
        <v>783</v>
      </c>
      <c r="B424" s="4">
        <v>45491</v>
      </c>
      <c r="C424" s="1" t="s">
        <v>356</v>
      </c>
      <c r="D424" s="1" t="s">
        <v>48</v>
      </c>
      <c r="E424" s="1" t="s">
        <v>120</v>
      </c>
      <c r="F424" s="1" t="s">
        <v>121</v>
      </c>
      <c r="G424" s="1" t="s">
        <v>33</v>
      </c>
      <c r="H424" s="1" t="s">
        <v>89</v>
      </c>
      <c r="I424" s="1" t="s">
        <v>81</v>
      </c>
      <c r="J424" s="1" t="s">
        <v>82</v>
      </c>
      <c r="K424" s="1" t="s">
        <v>61</v>
      </c>
      <c r="L424">
        <v>2</v>
      </c>
      <c r="M424">
        <v>2999</v>
      </c>
      <c r="N424">
        <v>0</v>
      </c>
      <c r="O424">
        <v>5998</v>
      </c>
      <c r="P424">
        <v>1750</v>
      </c>
      <c r="Q424">
        <v>3500</v>
      </c>
      <c r="R424">
        <v>80</v>
      </c>
      <c r="S424">
        <v>2418</v>
      </c>
    </row>
    <row r="425" spans="1:19" x14ac:dyDescent="0.3">
      <c r="A425" s="1" t="s">
        <v>784</v>
      </c>
      <c r="B425" s="4">
        <v>45492</v>
      </c>
      <c r="C425" s="1" t="s">
        <v>363</v>
      </c>
      <c r="D425" s="1" t="s">
        <v>48</v>
      </c>
      <c r="E425" s="1" t="s">
        <v>54</v>
      </c>
      <c r="F425" s="1" t="s">
        <v>55</v>
      </c>
      <c r="G425" s="1" t="s">
        <v>42</v>
      </c>
      <c r="H425" s="1" t="s">
        <v>34</v>
      </c>
      <c r="I425" s="1" t="s">
        <v>26</v>
      </c>
      <c r="J425" s="1" t="s">
        <v>27</v>
      </c>
      <c r="K425" s="1" t="s">
        <v>28</v>
      </c>
      <c r="L425">
        <v>1</v>
      </c>
      <c r="M425">
        <v>799</v>
      </c>
      <c r="N425">
        <v>0.05</v>
      </c>
      <c r="O425">
        <v>759.05</v>
      </c>
      <c r="P425">
        <v>420</v>
      </c>
      <c r="Q425">
        <v>420</v>
      </c>
      <c r="R425">
        <v>0</v>
      </c>
      <c r="S425">
        <v>339.05</v>
      </c>
    </row>
    <row r="426" spans="1:19" x14ac:dyDescent="0.3">
      <c r="A426" s="1" t="s">
        <v>785</v>
      </c>
      <c r="B426" s="4">
        <v>45493</v>
      </c>
      <c r="C426" s="1" t="s">
        <v>470</v>
      </c>
      <c r="D426" s="1" t="s">
        <v>21</v>
      </c>
      <c r="E426" s="1" t="s">
        <v>31</v>
      </c>
      <c r="F426" s="1" t="s">
        <v>32</v>
      </c>
      <c r="G426" s="1" t="s">
        <v>42</v>
      </c>
      <c r="H426" s="1" t="s">
        <v>71</v>
      </c>
      <c r="I426" s="1" t="s">
        <v>66</v>
      </c>
      <c r="J426" s="1" t="s">
        <v>67</v>
      </c>
      <c r="K426" s="1" t="s">
        <v>28</v>
      </c>
      <c r="L426">
        <v>1</v>
      </c>
      <c r="M426">
        <v>2499</v>
      </c>
      <c r="N426">
        <v>0.2</v>
      </c>
      <c r="O426">
        <v>1999.2</v>
      </c>
      <c r="P426">
        <v>1450</v>
      </c>
      <c r="Q426">
        <v>1450</v>
      </c>
      <c r="R426">
        <v>100</v>
      </c>
      <c r="S426">
        <v>449.2</v>
      </c>
    </row>
    <row r="427" spans="1:19" x14ac:dyDescent="0.3">
      <c r="A427" s="1" t="s">
        <v>786</v>
      </c>
      <c r="B427" s="4">
        <v>45494</v>
      </c>
      <c r="C427" s="1" t="s">
        <v>787</v>
      </c>
      <c r="D427" s="1" t="s">
        <v>40</v>
      </c>
      <c r="E427" s="1" t="s">
        <v>31</v>
      </c>
      <c r="F427" s="1" t="s">
        <v>32</v>
      </c>
      <c r="G427" s="1" t="s">
        <v>42</v>
      </c>
      <c r="H427" s="1" t="s">
        <v>56</v>
      </c>
      <c r="I427" s="1" t="s">
        <v>43</v>
      </c>
      <c r="J427" s="1" t="s">
        <v>44</v>
      </c>
      <c r="K427" s="1" t="s">
        <v>45</v>
      </c>
      <c r="L427">
        <v>1</v>
      </c>
      <c r="M427">
        <v>1799</v>
      </c>
      <c r="N427">
        <v>0</v>
      </c>
      <c r="O427">
        <v>1799</v>
      </c>
      <c r="P427">
        <v>850</v>
      </c>
      <c r="Q427">
        <v>850</v>
      </c>
      <c r="R427">
        <v>80</v>
      </c>
      <c r="S427">
        <v>869</v>
      </c>
    </row>
    <row r="428" spans="1:19" x14ac:dyDescent="0.3">
      <c r="A428" s="1" t="s">
        <v>788</v>
      </c>
      <c r="B428" s="4">
        <v>45495</v>
      </c>
      <c r="C428" s="1" t="s">
        <v>466</v>
      </c>
      <c r="D428" s="1" t="s">
        <v>21</v>
      </c>
      <c r="E428" s="1" t="s">
        <v>49</v>
      </c>
      <c r="F428" s="1" t="s">
        <v>50</v>
      </c>
      <c r="G428" s="1" t="s">
        <v>24</v>
      </c>
      <c r="H428" s="1" t="s">
        <v>34</v>
      </c>
      <c r="I428" s="1" t="s">
        <v>81</v>
      </c>
      <c r="J428" s="1" t="s">
        <v>82</v>
      </c>
      <c r="K428" s="1" t="s">
        <v>61</v>
      </c>
      <c r="L428">
        <v>1</v>
      </c>
      <c r="M428">
        <v>2999</v>
      </c>
      <c r="N428">
        <v>0.1</v>
      </c>
      <c r="O428">
        <v>2699.1</v>
      </c>
      <c r="P428">
        <v>1750</v>
      </c>
      <c r="Q428">
        <v>1750</v>
      </c>
      <c r="R428">
        <v>0</v>
      </c>
      <c r="S428">
        <v>949.1</v>
      </c>
    </row>
    <row r="429" spans="1:19" x14ac:dyDescent="0.3">
      <c r="A429" s="1" t="s">
        <v>789</v>
      </c>
      <c r="B429" s="4">
        <v>45496</v>
      </c>
      <c r="C429" s="1" t="s">
        <v>212</v>
      </c>
      <c r="D429" s="1" t="s">
        <v>48</v>
      </c>
      <c r="E429" s="1" t="s">
        <v>120</v>
      </c>
      <c r="F429" s="1" t="s">
        <v>121</v>
      </c>
      <c r="G429" s="1" t="s">
        <v>24</v>
      </c>
      <c r="H429" s="1" t="s">
        <v>56</v>
      </c>
      <c r="I429" s="1" t="s">
        <v>66</v>
      </c>
      <c r="J429" s="1" t="s">
        <v>67</v>
      </c>
      <c r="K429" s="1" t="s">
        <v>28</v>
      </c>
      <c r="L429">
        <v>3</v>
      </c>
      <c r="M429">
        <v>2499</v>
      </c>
      <c r="N429">
        <v>0.1</v>
      </c>
      <c r="O429">
        <v>6747.3</v>
      </c>
      <c r="P429">
        <v>1450</v>
      </c>
      <c r="Q429">
        <v>4350</v>
      </c>
      <c r="R429">
        <v>80</v>
      </c>
      <c r="S429">
        <v>2317.3000000000002</v>
      </c>
    </row>
    <row r="430" spans="1:19" x14ac:dyDescent="0.3">
      <c r="A430" s="1" t="s">
        <v>790</v>
      </c>
      <c r="B430" s="4">
        <v>45496</v>
      </c>
      <c r="C430" s="1" t="s">
        <v>275</v>
      </c>
      <c r="D430" s="1" t="s">
        <v>40</v>
      </c>
      <c r="E430" s="1" t="s">
        <v>31</v>
      </c>
      <c r="F430" s="1" t="s">
        <v>32</v>
      </c>
      <c r="G430" s="1" t="s">
        <v>33</v>
      </c>
      <c r="H430" s="1" t="s">
        <v>56</v>
      </c>
      <c r="I430" s="1" t="s">
        <v>59</v>
      </c>
      <c r="J430" s="1" t="s">
        <v>60</v>
      </c>
      <c r="K430" s="1" t="s">
        <v>61</v>
      </c>
      <c r="L430">
        <v>4</v>
      </c>
      <c r="M430">
        <v>999</v>
      </c>
      <c r="N430">
        <v>0</v>
      </c>
      <c r="O430">
        <v>3996</v>
      </c>
      <c r="P430">
        <v>520</v>
      </c>
      <c r="Q430">
        <v>2080</v>
      </c>
      <c r="R430">
        <v>80</v>
      </c>
      <c r="S430">
        <v>1836</v>
      </c>
    </row>
    <row r="431" spans="1:19" x14ac:dyDescent="0.3">
      <c r="A431" s="1" t="s">
        <v>791</v>
      </c>
      <c r="B431" s="4">
        <v>45496</v>
      </c>
      <c r="C431" s="1" t="s">
        <v>792</v>
      </c>
      <c r="D431" s="1" t="s">
        <v>21</v>
      </c>
      <c r="E431" s="1" t="s">
        <v>70</v>
      </c>
      <c r="F431" s="1" t="s">
        <v>70</v>
      </c>
      <c r="G431" s="1" t="s">
        <v>42</v>
      </c>
      <c r="H431" s="1" t="s">
        <v>71</v>
      </c>
      <c r="I431" s="1" t="s">
        <v>66</v>
      </c>
      <c r="J431" s="1" t="s">
        <v>67</v>
      </c>
      <c r="K431" s="1" t="s">
        <v>28</v>
      </c>
      <c r="L431">
        <v>1</v>
      </c>
      <c r="M431">
        <v>2499</v>
      </c>
      <c r="N431">
        <v>0</v>
      </c>
      <c r="O431">
        <v>2499</v>
      </c>
      <c r="P431">
        <v>1450</v>
      </c>
      <c r="Q431">
        <v>1450</v>
      </c>
      <c r="R431">
        <v>80</v>
      </c>
      <c r="S431">
        <v>969</v>
      </c>
    </row>
    <row r="432" spans="1:19" x14ac:dyDescent="0.3">
      <c r="A432" s="1" t="s">
        <v>793</v>
      </c>
      <c r="B432" s="4">
        <v>45497</v>
      </c>
      <c r="C432" s="1" t="s">
        <v>794</v>
      </c>
      <c r="D432" s="1" t="s">
        <v>21</v>
      </c>
      <c r="E432" s="1" t="s">
        <v>96</v>
      </c>
      <c r="F432" s="1" t="s">
        <v>97</v>
      </c>
      <c r="G432" s="1" t="s">
        <v>33</v>
      </c>
      <c r="H432" s="1" t="s">
        <v>34</v>
      </c>
      <c r="I432" s="1" t="s">
        <v>81</v>
      </c>
      <c r="J432" s="1" t="s">
        <v>82</v>
      </c>
      <c r="K432" s="1" t="s">
        <v>61</v>
      </c>
      <c r="L432">
        <v>2</v>
      </c>
      <c r="M432">
        <v>2999</v>
      </c>
      <c r="N432">
        <v>0</v>
      </c>
      <c r="O432">
        <v>5998</v>
      </c>
      <c r="P432">
        <v>1750</v>
      </c>
      <c r="Q432">
        <v>3500</v>
      </c>
      <c r="R432">
        <v>40</v>
      </c>
      <c r="S432">
        <v>2458</v>
      </c>
    </row>
    <row r="433" spans="1:19" x14ac:dyDescent="0.3">
      <c r="A433" s="1" t="s">
        <v>795</v>
      </c>
      <c r="B433" s="4">
        <v>45497</v>
      </c>
      <c r="C433" s="1" t="s">
        <v>796</v>
      </c>
      <c r="D433" s="1" t="s">
        <v>48</v>
      </c>
      <c r="E433" s="1" t="s">
        <v>80</v>
      </c>
      <c r="F433" s="1" t="s">
        <v>55</v>
      </c>
      <c r="G433" s="1" t="s">
        <v>33</v>
      </c>
      <c r="H433" s="1" t="s">
        <v>56</v>
      </c>
      <c r="I433" s="1" t="s">
        <v>134</v>
      </c>
      <c r="J433" s="1" t="s">
        <v>135</v>
      </c>
      <c r="K433" s="1" t="s">
        <v>136</v>
      </c>
      <c r="L433">
        <v>1</v>
      </c>
      <c r="M433">
        <v>299</v>
      </c>
      <c r="N433">
        <v>0.2</v>
      </c>
      <c r="O433">
        <v>239.2</v>
      </c>
      <c r="P433">
        <v>110</v>
      </c>
      <c r="Q433">
        <v>110</v>
      </c>
      <c r="R433">
        <v>80</v>
      </c>
      <c r="S433">
        <v>49.2</v>
      </c>
    </row>
    <row r="434" spans="1:19" x14ac:dyDescent="0.3">
      <c r="A434" s="1" t="s">
        <v>797</v>
      </c>
      <c r="B434" s="4">
        <v>45498</v>
      </c>
      <c r="C434" s="1" t="s">
        <v>409</v>
      </c>
      <c r="D434" s="1" t="s">
        <v>40</v>
      </c>
      <c r="E434" s="1" t="s">
        <v>54</v>
      </c>
      <c r="F434" s="1" t="s">
        <v>55</v>
      </c>
      <c r="G434" s="1" t="s">
        <v>24</v>
      </c>
      <c r="H434" s="1" t="s">
        <v>56</v>
      </c>
      <c r="I434" s="1" t="s">
        <v>92</v>
      </c>
      <c r="J434" s="1" t="s">
        <v>93</v>
      </c>
      <c r="K434" s="1" t="s">
        <v>28</v>
      </c>
      <c r="L434">
        <v>1</v>
      </c>
      <c r="M434">
        <v>1599</v>
      </c>
      <c r="N434">
        <v>0</v>
      </c>
      <c r="O434">
        <v>1599</v>
      </c>
      <c r="P434">
        <v>900</v>
      </c>
      <c r="Q434">
        <v>900</v>
      </c>
      <c r="R434">
        <v>60</v>
      </c>
      <c r="S434">
        <v>639</v>
      </c>
    </row>
    <row r="435" spans="1:19" x14ac:dyDescent="0.3">
      <c r="A435" s="1" t="s">
        <v>798</v>
      </c>
      <c r="B435" s="4">
        <v>45498</v>
      </c>
      <c r="C435" s="1" t="s">
        <v>95</v>
      </c>
      <c r="D435" s="1" t="s">
        <v>48</v>
      </c>
      <c r="E435" s="1" t="s">
        <v>80</v>
      </c>
      <c r="F435" s="1" t="s">
        <v>55</v>
      </c>
      <c r="G435" s="1" t="s">
        <v>42</v>
      </c>
      <c r="H435" s="1" t="s">
        <v>89</v>
      </c>
      <c r="I435" s="1" t="s">
        <v>76</v>
      </c>
      <c r="J435" s="1" t="s">
        <v>77</v>
      </c>
      <c r="K435" s="1" t="s">
        <v>37</v>
      </c>
      <c r="L435">
        <v>4</v>
      </c>
      <c r="M435">
        <v>6999</v>
      </c>
      <c r="N435">
        <v>0</v>
      </c>
      <c r="O435">
        <v>27996</v>
      </c>
      <c r="P435">
        <v>4900</v>
      </c>
      <c r="Q435">
        <v>19600</v>
      </c>
      <c r="R435">
        <v>60</v>
      </c>
      <c r="S435">
        <v>8336</v>
      </c>
    </row>
    <row r="436" spans="1:19" x14ac:dyDescent="0.3">
      <c r="A436" s="1" t="s">
        <v>799</v>
      </c>
      <c r="B436" s="4">
        <v>45499</v>
      </c>
      <c r="C436" s="1" t="s">
        <v>688</v>
      </c>
      <c r="D436" s="1" t="s">
        <v>21</v>
      </c>
      <c r="E436" s="1" t="s">
        <v>70</v>
      </c>
      <c r="F436" s="1" t="s">
        <v>70</v>
      </c>
      <c r="G436" s="1" t="s">
        <v>33</v>
      </c>
      <c r="H436" s="1" t="s">
        <v>56</v>
      </c>
      <c r="I436" s="1" t="s">
        <v>92</v>
      </c>
      <c r="J436" s="1" t="s">
        <v>93</v>
      </c>
      <c r="K436" s="1" t="s">
        <v>28</v>
      </c>
      <c r="L436">
        <v>2</v>
      </c>
      <c r="M436">
        <v>1599</v>
      </c>
      <c r="N436">
        <v>0.15</v>
      </c>
      <c r="O436">
        <v>2718.3</v>
      </c>
      <c r="P436">
        <v>900</v>
      </c>
      <c r="Q436">
        <v>1800</v>
      </c>
      <c r="R436">
        <v>80</v>
      </c>
      <c r="S436">
        <v>838.3</v>
      </c>
    </row>
    <row r="437" spans="1:19" x14ac:dyDescent="0.3">
      <c r="A437" s="1" t="s">
        <v>800</v>
      </c>
      <c r="B437" s="4">
        <v>45500</v>
      </c>
      <c r="C437" s="1" t="s">
        <v>365</v>
      </c>
      <c r="D437" s="1" t="s">
        <v>48</v>
      </c>
      <c r="E437" s="1" t="s">
        <v>120</v>
      </c>
      <c r="F437" s="1" t="s">
        <v>121</v>
      </c>
      <c r="G437" s="1" t="s">
        <v>33</v>
      </c>
      <c r="H437" s="1" t="s">
        <v>25</v>
      </c>
      <c r="I437" s="1" t="s">
        <v>92</v>
      </c>
      <c r="J437" s="1" t="s">
        <v>93</v>
      </c>
      <c r="K437" s="1" t="s">
        <v>28</v>
      </c>
      <c r="L437">
        <v>1</v>
      </c>
      <c r="M437">
        <v>1599</v>
      </c>
      <c r="N437">
        <v>0</v>
      </c>
      <c r="O437">
        <v>1599</v>
      </c>
      <c r="P437">
        <v>900</v>
      </c>
      <c r="Q437">
        <v>900</v>
      </c>
      <c r="R437">
        <v>40</v>
      </c>
      <c r="S437">
        <v>659</v>
      </c>
    </row>
    <row r="438" spans="1:19" x14ac:dyDescent="0.3">
      <c r="A438" s="1" t="s">
        <v>801</v>
      </c>
      <c r="B438" s="4">
        <v>45500</v>
      </c>
      <c r="C438" s="1" t="s">
        <v>802</v>
      </c>
      <c r="D438" s="1" t="s">
        <v>21</v>
      </c>
      <c r="E438" s="1" t="s">
        <v>80</v>
      </c>
      <c r="F438" s="1" t="s">
        <v>55</v>
      </c>
      <c r="G438" s="1" t="s">
        <v>33</v>
      </c>
      <c r="H438" s="1" t="s">
        <v>56</v>
      </c>
      <c r="I438" s="1" t="s">
        <v>81</v>
      </c>
      <c r="J438" s="1" t="s">
        <v>82</v>
      </c>
      <c r="K438" s="1" t="s">
        <v>61</v>
      </c>
      <c r="L438">
        <v>2</v>
      </c>
      <c r="M438">
        <v>2999</v>
      </c>
      <c r="N438">
        <v>0.2</v>
      </c>
      <c r="O438">
        <v>4798.3999999999996</v>
      </c>
      <c r="P438">
        <v>1750</v>
      </c>
      <c r="Q438">
        <v>3500</v>
      </c>
      <c r="R438">
        <v>80</v>
      </c>
      <c r="S438">
        <v>1218.4000000000001</v>
      </c>
    </row>
    <row r="439" spans="1:19" x14ac:dyDescent="0.3">
      <c r="A439" s="1" t="s">
        <v>803</v>
      </c>
      <c r="B439" s="4">
        <v>45500</v>
      </c>
      <c r="C439" s="1" t="s">
        <v>460</v>
      </c>
      <c r="D439" s="1" t="s">
        <v>48</v>
      </c>
      <c r="E439" s="1" t="s">
        <v>70</v>
      </c>
      <c r="F439" s="1" t="s">
        <v>70</v>
      </c>
      <c r="G439" s="1" t="s">
        <v>24</v>
      </c>
      <c r="H439" s="1" t="s">
        <v>34</v>
      </c>
      <c r="I439" s="1" t="s">
        <v>59</v>
      </c>
      <c r="J439" s="1" t="s">
        <v>60</v>
      </c>
      <c r="K439" s="1" t="s">
        <v>61</v>
      </c>
      <c r="L439">
        <v>2</v>
      </c>
      <c r="M439">
        <v>999</v>
      </c>
      <c r="N439">
        <v>0.15</v>
      </c>
      <c r="O439">
        <v>1698.3</v>
      </c>
      <c r="P439">
        <v>520</v>
      </c>
      <c r="Q439">
        <v>1040</v>
      </c>
      <c r="R439">
        <v>80</v>
      </c>
      <c r="S439">
        <v>578.29999999999995</v>
      </c>
    </row>
    <row r="440" spans="1:19" x14ac:dyDescent="0.3">
      <c r="A440" s="1" t="s">
        <v>804</v>
      </c>
      <c r="B440" s="4">
        <v>45500</v>
      </c>
      <c r="C440" s="1" t="s">
        <v>386</v>
      </c>
      <c r="D440" s="1" t="s">
        <v>21</v>
      </c>
      <c r="E440" s="1" t="s">
        <v>96</v>
      </c>
      <c r="F440" s="1" t="s">
        <v>97</v>
      </c>
      <c r="G440" s="1" t="s">
        <v>33</v>
      </c>
      <c r="H440" s="1" t="s">
        <v>56</v>
      </c>
      <c r="I440" s="1" t="s">
        <v>81</v>
      </c>
      <c r="J440" s="1" t="s">
        <v>82</v>
      </c>
      <c r="K440" s="1" t="s">
        <v>61</v>
      </c>
      <c r="L440">
        <v>2</v>
      </c>
      <c r="M440">
        <v>2999</v>
      </c>
      <c r="N440">
        <v>0.05</v>
      </c>
      <c r="O440">
        <v>5698.1</v>
      </c>
      <c r="P440">
        <v>1750</v>
      </c>
      <c r="Q440">
        <v>3500</v>
      </c>
      <c r="R440">
        <v>60</v>
      </c>
      <c r="S440">
        <v>2138.1</v>
      </c>
    </row>
    <row r="441" spans="1:19" x14ac:dyDescent="0.3">
      <c r="A441" s="1" t="s">
        <v>805</v>
      </c>
      <c r="B441" s="4">
        <v>45501</v>
      </c>
      <c r="C441" s="1" t="s">
        <v>806</v>
      </c>
      <c r="D441" s="1" t="s">
        <v>21</v>
      </c>
      <c r="E441" s="1" t="s">
        <v>64</v>
      </c>
      <c r="F441" s="1" t="s">
        <v>65</v>
      </c>
      <c r="G441" s="1" t="s">
        <v>33</v>
      </c>
      <c r="H441" s="1" t="s">
        <v>56</v>
      </c>
      <c r="I441" s="1" t="s">
        <v>66</v>
      </c>
      <c r="J441" s="1" t="s">
        <v>67</v>
      </c>
      <c r="K441" s="1" t="s">
        <v>28</v>
      </c>
      <c r="L441">
        <v>1</v>
      </c>
      <c r="M441">
        <v>2499</v>
      </c>
      <c r="N441">
        <v>0.1</v>
      </c>
      <c r="O441">
        <v>2249.1</v>
      </c>
      <c r="P441">
        <v>1450</v>
      </c>
      <c r="Q441">
        <v>1450</v>
      </c>
      <c r="R441">
        <v>100</v>
      </c>
      <c r="S441">
        <v>699.1</v>
      </c>
    </row>
    <row r="442" spans="1:19" x14ac:dyDescent="0.3">
      <c r="A442" s="1" t="s">
        <v>807</v>
      </c>
      <c r="B442" s="4">
        <v>45502</v>
      </c>
      <c r="C442" s="1" t="s">
        <v>808</v>
      </c>
      <c r="D442" s="1" t="s">
        <v>48</v>
      </c>
      <c r="E442" s="1" t="s">
        <v>80</v>
      </c>
      <c r="F442" s="1" t="s">
        <v>55</v>
      </c>
      <c r="G442" s="1" t="s">
        <v>42</v>
      </c>
      <c r="H442" s="1" t="s">
        <v>71</v>
      </c>
      <c r="I442" s="1" t="s">
        <v>35</v>
      </c>
      <c r="J442" s="1" t="s">
        <v>36</v>
      </c>
      <c r="K442" s="1" t="s">
        <v>37</v>
      </c>
      <c r="L442">
        <v>3</v>
      </c>
      <c r="M442">
        <v>1299</v>
      </c>
      <c r="N442">
        <v>0</v>
      </c>
      <c r="O442">
        <v>3897</v>
      </c>
      <c r="P442">
        <v>700</v>
      </c>
      <c r="Q442">
        <v>2100</v>
      </c>
      <c r="R442">
        <v>100</v>
      </c>
      <c r="S442">
        <v>1697</v>
      </c>
    </row>
    <row r="443" spans="1:19" x14ac:dyDescent="0.3">
      <c r="A443" s="1" t="s">
        <v>809</v>
      </c>
      <c r="B443" s="4">
        <v>45502</v>
      </c>
      <c r="C443" s="1" t="s">
        <v>558</v>
      </c>
      <c r="D443" s="1" t="s">
        <v>21</v>
      </c>
      <c r="E443" s="1" t="s">
        <v>41</v>
      </c>
      <c r="F443" s="1" t="s">
        <v>32</v>
      </c>
      <c r="G443" s="1" t="s">
        <v>24</v>
      </c>
      <c r="H443" s="1" t="s">
        <v>71</v>
      </c>
      <c r="I443" s="1" t="s">
        <v>76</v>
      </c>
      <c r="J443" s="1" t="s">
        <v>77</v>
      </c>
      <c r="K443" s="1" t="s">
        <v>37</v>
      </c>
      <c r="L443">
        <v>3</v>
      </c>
      <c r="M443">
        <v>6999</v>
      </c>
      <c r="N443">
        <v>0.05</v>
      </c>
      <c r="O443">
        <v>19947.150000000001</v>
      </c>
      <c r="P443">
        <v>4900</v>
      </c>
      <c r="Q443">
        <v>14700</v>
      </c>
      <c r="R443">
        <v>100</v>
      </c>
      <c r="S443">
        <v>5147.1499999999996</v>
      </c>
    </row>
    <row r="444" spans="1:19" x14ac:dyDescent="0.3">
      <c r="A444" s="1" t="s">
        <v>810</v>
      </c>
      <c r="B444" s="4">
        <v>45503</v>
      </c>
      <c r="C444" s="1" t="s">
        <v>811</v>
      </c>
      <c r="D444" s="1" t="s">
        <v>48</v>
      </c>
      <c r="E444" s="1" t="s">
        <v>124</v>
      </c>
      <c r="F444" s="1" t="s">
        <v>125</v>
      </c>
      <c r="G444" s="1" t="s">
        <v>24</v>
      </c>
      <c r="H444" s="1" t="s">
        <v>25</v>
      </c>
      <c r="I444" s="1" t="s">
        <v>76</v>
      </c>
      <c r="J444" s="1" t="s">
        <v>77</v>
      </c>
      <c r="K444" s="1" t="s">
        <v>37</v>
      </c>
      <c r="L444">
        <v>1</v>
      </c>
      <c r="M444">
        <v>6999</v>
      </c>
      <c r="N444">
        <v>0.15</v>
      </c>
      <c r="O444">
        <v>5949.15</v>
      </c>
      <c r="P444">
        <v>4900</v>
      </c>
      <c r="Q444">
        <v>4900</v>
      </c>
      <c r="R444">
        <v>100</v>
      </c>
      <c r="S444">
        <v>949.15</v>
      </c>
    </row>
    <row r="445" spans="1:19" x14ac:dyDescent="0.3">
      <c r="A445" s="1" t="s">
        <v>812</v>
      </c>
      <c r="B445" s="4">
        <v>45506</v>
      </c>
      <c r="C445" s="1" t="s">
        <v>359</v>
      </c>
      <c r="D445" s="1" t="s">
        <v>21</v>
      </c>
      <c r="E445" s="1" t="s">
        <v>120</v>
      </c>
      <c r="F445" s="1" t="s">
        <v>121</v>
      </c>
      <c r="G445" s="1" t="s">
        <v>33</v>
      </c>
      <c r="H445" s="1" t="s">
        <v>89</v>
      </c>
      <c r="I445" s="1" t="s">
        <v>81</v>
      </c>
      <c r="J445" s="1" t="s">
        <v>82</v>
      </c>
      <c r="K445" s="1" t="s">
        <v>61</v>
      </c>
      <c r="L445">
        <v>3</v>
      </c>
      <c r="M445">
        <v>2999</v>
      </c>
      <c r="N445">
        <v>0.2</v>
      </c>
      <c r="O445">
        <v>7197.6</v>
      </c>
      <c r="P445">
        <v>1750</v>
      </c>
      <c r="Q445">
        <v>5250</v>
      </c>
      <c r="R445">
        <v>60</v>
      </c>
      <c r="S445">
        <v>1887.6</v>
      </c>
    </row>
    <row r="446" spans="1:19" x14ac:dyDescent="0.3">
      <c r="A446" s="1" t="s">
        <v>813</v>
      </c>
      <c r="B446" s="4">
        <v>45506</v>
      </c>
      <c r="C446" s="1" t="s">
        <v>547</v>
      </c>
      <c r="D446" s="1" t="s">
        <v>21</v>
      </c>
      <c r="E446" s="1" t="s">
        <v>120</v>
      </c>
      <c r="F446" s="1" t="s">
        <v>121</v>
      </c>
      <c r="G446" s="1" t="s">
        <v>24</v>
      </c>
      <c r="H446" s="1" t="s">
        <v>34</v>
      </c>
      <c r="I446" s="1" t="s">
        <v>72</v>
      </c>
      <c r="J446" s="1" t="s">
        <v>73</v>
      </c>
      <c r="K446" s="1" t="s">
        <v>28</v>
      </c>
      <c r="L446">
        <v>2</v>
      </c>
      <c r="M446">
        <v>2199</v>
      </c>
      <c r="N446">
        <v>0</v>
      </c>
      <c r="O446">
        <v>4398</v>
      </c>
      <c r="P446">
        <v>1250</v>
      </c>
      <c r="Q446">
        <v>2500</v>
      </c>
      <c r="R446">
        <v>100</v>
      </c>
      <c r="S446">
        <v>1798</v>
      </c>
    </row>
    <row r="447" spans="1:19" x14ac:dyDescent="0.3">
      <c r="A447" s="1" t="s">
        <v>814</v>
      </c>
      <c r="B447" s="4">
        <v>45507</v>
      </c>
      <c r="C447" s="1" t="s">
        <v>815</v>
      </c>
      <c r="D447" s="1" t="s">
        <v>21</v>
      </c>
      <c r="E447" s="1" t="s">
        <v>112</v>
      </c>
      <c r="F447" s="1" t="s">
        <v>113</v>
      </c>
      <c r="G447" s="1" t="s">
        <v>42</v>
      </c>
      <c r="H447" s="1" t="s">
        <v>89</v>
      </c>
      <c r="I447" s="1" t="s">
        <v>59</v>
      </c>
      <c r="J447" s="1" t="s">
        <v>60</v>
      </c>
      <c r="K447" s="1" t="s">
        <v>61</v>
      </c>
      <c r="L447">
        <v>2</v>
      </c>
      <c r="M447">
        <v>999</v>
      </c>
      <c r="N447">
        <v>0.05</v>
      </c>
      <c r="O447">
        <v>1898.1</v>
      </c>
      <c r="P447">
        <v>520</v>
      </c>
      <c r="Q447">
        <v>1040</v>
      </c>
      <c r="R447">
        <v>60</v>
      </c>
      <c r="S447">
        <v>798.1</v>
      </c>
    </row>
    <row r="448" spans="1:19" x14ac:dyDescent="0.3">
      <c r="A448" s="1" t="s">
        <v>816</v>
      </c>
      <c r="B448" s="4">
        <v>45507</v>
      </c>
      <c r="C448" s="1" t="s">
        <v>817</v>
      </c>
      <c r="D448" s="1" t="s">
        <v>21</v>
      </c>
      <c r="E448" s="1" t="s">
        <v>41</v>
      </c>
      <c r="F448" s="1" t="s">
        <v>32</v>
      </c>
      <c r="G448" s="1" t="s">
        <v>33</v>
      </c>
      <c r="H448" s="1" t="s">
        <v>25</v>
      </c>
      <c r="I448" s="1" t="s">
        <v>85</v>
      </c>
      <c r="J448" s="1" t="s">
        <v>86</v>
      </c>
      <c r="K448" s="1" t="s">
        <v>45</v>
      </c>
      <c r="L448">
        <v>1</v>
      </c>
      <c r="M448">
        <v>599</v>
      </c>
      <c r="N448">
        <v>0.2</v>
      </c>
      <c r="O448">
        <v>479.2</v>
      </c>
      <c r="P448">
        <v>240</v>
      </c>
      <c r="Q448">
        <v>240</v>
      </c>
      <c r="R448">
        <v>60</v>
      </c>
      <c r="S448">
        <v>179.2</v>
      </c>
    </row>
    <row r="449" spans="1:19" x14ac:dyDescent="0.3">
      <c r="A449" s="1" t="s">
        <v>818</v>
      </c>
      <c r="B449" s="4">
        <v>45508</v>
      </c>
      <c r="C449" s="1" t="s">
        <v>474</v>
      </c>
      <c r="D449" s="1" t="s">
        <v>40</v>
      </c>
      <c r="E449" s="1" t="s">
        <v>96</v>
      </c>
      <c r="F449" s="1" t="s">
        <v>97</v>
      </c>
      <c r="G449" s="1" t="s">
        <v>24</v>
      </c>
      <c r="H449" s="1" t="s">
        <v>56</v>
      </c>
      <c r="I449" s="1" t="s">
        <v>92</v>
      </c>
      <c r="J449" s="1" t="s">
        <v>93</v>
      </c>
      <c r="K449" s="1" t="s">
        <v>28</v>
      </c>
      <c r="L449">
        <v>1</v>
      </c>
      <c r="M449">
        <v>1599</v>
      </c>
      <c r="N449">
        <v>0.05</v>
      </c>
      <c r="O449">
        <v>1519.05</v>
      </c>
      <c r="P449">
        <v>900</v>
      </c>
      <c r="Q449">
        <v>900</v>
      </c>
      <c r="R449">
        <v>100</v>
      </c>
      <c r="S449">
        <v>519.04999999999995</v>
      </c>
    </row>
    <row r="450" spans="1:19" x14ac:dyDescent="0.3">
      <c r="A450" s="1" t="s">
        <v>819</v>
      </c>
      <c r="B450" s="4">
        <v>45508</v>
      </c>
      <c r="C450" s="1" t="s">
        <v>119</v>
      </c>
      <c r="D450" s="1" t="s">
        <v>21</v>
      </c>
      <c r="E450" s="1" t="s">
        <v>31</v>
      </c>
      <c r="F450" s="1" t="s">
        <v>32</v>
      </c>
      <c r="G450" s="1" t="s">
        <v>42</v>
      </c>
      <c r="H450" s="1" t="s">
        <v>34</v>
      </c>
      <c r="I450" s="1" t="s">
        <v>81</v>
      </c>
      <c r="J450" s="1" t="s">
        <v>82</v>
      </c>
      <c r="K450" s="1" t="s">
        <v>61</v>
      </c>
      <c r="L450">
        <v>2</v>
      </c>
      <c r="M450">
        <v>2999</v>
      </c>
      <c r="N450">
        <v>0.2</v>
      </c>
      <c r="O450">
        <v>4798.3999999999996</v>
      </c>
      <c r="P450">
        <v>1750</v>
      </c>
      <c r="Q450">
        <v>3500</v>
      </c>
      <c r="R450">
        <v>100</v>
      </c>
      <c r="S450">
        <v>1198.4000000000001</v>
      </c>
    </row>
    <row r="451" spans="1:19" x14ac:dyDescent="0.3">
      <c r="A451" s="1" t="s">
        <v>820</v>
      </c>
      <c r="B451" s="4">
        <v>45508</v>
      </c>
      <c r="C451" s="1" t="s">
        <v>204</v>
      </c>
      <c r="D451" s="1" t="s">
        <v>21</v>
      </c>
      <c r="E451" s="1" t="s">
        <v>41</v>
      </c>
      <c r="F451" s="1" t="s">
        <v>32</v>
      </c>
      <c r="G451" s="1" t="s">
        <v>24</v>
      </c>
      <c r="H451" s="1" t="s">
        <v>25</v>
      </c>
      <c r="I451" s="1" t="s">
        <v>92</v>
      </c>
      <c r="J451" s="1" t="s">
        <v>93</v>
      </c>
      <c r="K451" s="1" t="s">
        <v>28</v>
      </c>
      <c r="L451">
        <v>1</v>
      </c>
      <c r="M451">
        <v>1599</v>
      </c>
      <c r="N451">
        <v>0.15</v>
      </c>
      <c r="O451">
        <v>1359.15</v>
      </c>
      <c r="P451">
        <v>900</v>
      </c>
      <c r="Q451">
        <v>900</v>
      </c>
      <c r="R451">
        <v>60</v>
      </c>
      <c r="S451">
        <v>399.15</v>
      </c>
    </row>
    <row r="452" spans="1:19" x14ac:dyDescent="0.3">
      <c r="A452" s="1" t="s">
        <v>821</v>
      </c>
      <c r="B452" s="4">
        <v>45508</v>
      </c>
      <c r="C452" s="1" t="s">
        <v>822</v>
      </c>
      <c r="D452" s="1" t="s">
        <v>40</v>
      </c>
      <c r="E452" s="1" t="s">
        <v>70</v>
      </c>
      <c r="F452" s="1" t="s">
        <v>70</v>
      </c>
      <c r="G452" s="1" t="s">
        <v>24</v>
      </c>
      <c r="H452" s="1" t="s">
        <v>71</v>
      </c>
      <c r="I452" s="1" t="s">
        <v>59</v>
      </c>
      <c r="J452" s="1" t="s">
        <v>60</v>
      </c>
      <c r="K452" s="1" t="s">
        <v>61</v>
      </c>
      <c r="L452">
        <v>4</v>
      </c>
      <c r="M452">
        <v>999</v>
      </c>
      <c r="N452">
        <v>0.15</v>
      </c>
      <c r="O452">
        <v>3396.6</v>
      </c>
      <c r="P452">
        <v>520</v>
      </c>
      <c r="Q452">
        <v>2080</v>
      </c>
      <c r="R452">
        <v>40</v>
      </c>
      <c r="S452">
        <v>1276.5999999999999</v>
      </c>
    </row>
    <row r="453" spans="1:19" x14ac:dyDescent="0.3">
      <c r="A453" s="1" t="s">
        <v>823</v>
      </c>
      <c r="B453" s="4">
        <v>45509</v>
      </c>
      <c r="C453" s="1" t="s">
        <v>824</v>
      </c>
      <c r="D453" s="1" t="s">
        <v>40</v>
      </c>
      <c r="E453" s="1" t="s">
        <v>49</v>
      </c>
      <c r="F453" s="1" t="s">
        <v>50</v>
      </c>
      <c r="G453" s="1" t="s">
        <v>33</v>
      </c>
      <c r="H453" s="1" t="s">
        <v>56</v>
      </c>
      <c r="I453" s="1" t="s">
        <v>26</v>
      </c>
      <c r="J453" s="1" t="s">
        <v>27</v>
      </c>
      <c r="K453" s="1" t="s">
        <v>28</v>
      </c>
      <c r="L453">
        <v>2</v>
      </c>
      <c r="M453">
        <v>799</v>
      </c>
      <c r="N453">
        <v>0.1</v>
      </c>
      <c r="O453">
        <v>1438.2</v>
      </c>
      <c r="P453">
        <v>420</v>
      </c>
      <c r="Q453">
        <v>840</v>
      </c>
      <c r="R453">
        <v>80</v>
      </c>
      <c r="S453">
        <v>518.20000000000005</v>
      </c>
    </row>
    <row r="454" spans="1:19" x14ac:dyDescent="0.3">
      <c r="A454" s="1" t="s">
        <v>825</v>
      </c>
      <c r="B454" s="4">
        <v>45511</v>
      </c>
      <c r="C454" s="1" t="s">
        <v>599</v>
      </c>
      <c r="D454" s="1" t="s">
        <v>40</v>
      </c>
      <c r="E454" s="1" t="s">
        <v>96</v>
      </c>
      <c r="F454" s="1" t="s">
        <v>97</v>
      </c>
      <c r="G454" s="1" t="s">
        <v>42</v>
      </c>
      <c r="H454" s="1" t="s">
        <v>89</v>
      </c>
      <c r="I454" s="1" t="s">
        <v>51</v>
      </c>
      <c r="J454" s="1" t="s">
        <v>52</v>
      </c>
      <c r="K454" s="1" t="s">
        <v>37</v>
      </c>
      <c r="L454">
        <v>3</v>
      </c>
      <c r="M454">
        <v>499</v>
      </c>
      <c r="N454">
        <v>0.05</v>
      </c>
      <c r="O454">
        <v>1422.15</v>
      </c>
      <c r="P454">
        <v>180</v>
      </c>
      <c r="Q454">
        <v>540</v>
      </c>
      <c r="R454">
        <v>100</v>
      </c>
      <c r="S454">
        <v>782.15</v>
      </c>
    </row>
    <row r="455" spans="1:19" x14ac:dyDescent="0.3">
      <c r="A455" s="1" t="s">
        <v>826</v>
      </c>
      <c r="B455" s="4">
        <v>45511</v>
      </c>
      <c r="C455" s="1" t="s">
        <v>522</v>
      </c>
      <c r="D455" s="1" t="s">
        <v>40</v>
      </c>
      <c r="E455" s="1" t="s">
        <v>96</v>
      </c>
      <c r="F455" s="1" t="s">
        <v>97</v>
      </c>
      <c r="G455" s="1" t="s">
        <v>33</v>
      </c>
      <c r="H455" s="1" t="s">
        <v>25</v>
      </c>
      <c r="I455" s="1" t="s">
        <v>85</v>
      </c>
      <c r="J455" s="1" t="s">
        <v>86</v>
      </c>
      <c r="K455" s="1" t="s">
        <v>45</v>
      </c>
      <c r="L455">
        <v>3</v>
      </c>
      <c r="M455">
        <v>599</v>
      </c>
      <c r="N455">
        <v>0.1</v>
      </c>
      <c r="O455">
        <v>1617.3</v>
      </c>
      <c r="P455">
        <v>240</v>
      </c>
      <c r="Q455">
        <v>720</v>
      </c>
      <c r="R455">
        <v>60</v>
      </c>
      <c r="S455">
        <v>837.3</v>
      </c>
    </row>
    <row r="456" spans="1:19" x14ac:dyDescent="0.3">
      <c r="A456" s="1" t="s">
        <v>827</v>
      </c>
      <c r="B456" s="4">
        <v>45512</v>
      </c>
      <c r="C456" s="1" t="s">
        <v>828</v>
      </c>
      <c r="D456" s="1" t="s">
        <v>48</v>
      </c>
      <c r="E456" s="1" t="s">
        <v>120</v>
      </c>
      <c r="F456" s="1" t="s">
        <v>121</v>
      </c>
      <c r="G456" s="1" t="s">
        <v>24</v>
      </c>
      <c r="H456" s="1" t="s">
        <v>89</v>
      </c>
      <c r="I456" s="1" t="s">
        <v>76</v>
      </c>
      <c r="J456" s="1" t="s">
        <v>77</v>
      </c>
      <c r="K456" s="1" t="s">
        <v>37</v>
      </c>
      <c r="L456">
        <v>2</v>
      </c>
      <c r="M456">
        <v>6999</v>
      </c>
      <c r="N456">
        <v>0.2</v>
      </c>
      <c r="O456">
        <v>11198.4</v>
      </c>
      <c r="P456">
        <v>4900</v>
      </c>
      <c r="Q456">
        <v>9800</v>
      </c>
      <c r="R456">
        <v>40</v>
      </c>
      <c r="S456">
        <v>1358.4</v>
      </c>
    </row>
    <row r="457" spans="1:19" x14ac:dyDescent="0.3">
      <c r="A457" s="1" t="s">
        <v>829</v>
      </c>
      <c r="B457" s="4">
        <v>45512</v>
      </c>
      <c r="C457" s="1" t="s">
        <v>365</v>
      </c>
      <c r="D457" s="1" t="s">
        <v>40</v>
      </c>
      <c r="E457" s="1" t="s">
        <v>120</v>
      </c>
      <c r="F457" s="1" t="s">
        <v>121</v>
      </c>
      <c r="G457" s="1" t="s">
        <v>33</v>
      </c>
      <c r="H457" s="1" t="s">
        <v>56</v>
      </c>
      <c r="I457" s="1" t="s">
        <v>92</v>
      </c>
      <c r="J457" s="1" t="s">
        <v>93</v>
      </c>
      <c r="K457" s="1" t="s">
        <v>28</v>
      </c>
      <c r="L457">
        <v>2</v>
      </c>
      <c r="M457">
        <v>1599</v>
      </c>
      <c r="N457">
        <v>0.2</v>
      </c>
      <c r="O457">
        <v>2558.4</v>
      </c>
      <c r="P457">
        <v>900</v>
      </c>
      <c r="Q457">
        <v>1800</v>
      </c>
      <c r="R457">
        <v>100</v>
      </c>
      <c r="S457">
        <v>658.4</v>
      </c>
    </row>
    <row r="458" spans="1:19" x14ac:dyDescent="0.3">
      <c r="A458" s="1" t="s">
        <v>830</v>
      </c>
      <c r="B458" s="4">
        <v>45512</v>
      </c>
      <c r="C458" s="1" t="s">
        <v>514</v>
      </c>
      <c r="D458" s="1" t="s">
        <v>48</v>
      </c>
      <c r="E458" s="1" t="s">
        <v>22</v>
      </c>
      <c r="F458" s="1" t="s">
        <v>23</v>
      </c>
      <c r="G458" s="1" t="s">
        <v>24</v>
      </c>
      <c r="H458" s="1" t="s">
        <v>34</v>
      </c>
      <c r="I458" s="1" t="s">
        <v>26</v>
      </c>
      <c r="J458" s="1" t="s">
        <v>27</v>
      </c>
      <c r="K458" s="1" t="s">
        <v>28</v>
      </c>
      <c r="L458">
        <v>4</v>
      </c>
      <c r="M458">
        <v>799</v>
      </c>
      <c r="N458">
        <v>0.1</v>
      </c>
      <c r="O458">
        <v>2876.4</v>
      </c>
      <c r="P458">
        <v>420</v>
      </c>
      <c r="Q458">
        <v>1680</v>
      </c>
      <c r="R458">
        <v>100</v>
      </c>
      <c r="S458">
        <v>1096.4000000000001</v>
      </c>
    </row>
    <row r="459" spans="1:19" x14ac:dyDescent="0.3">
      <c r="A459" s="1" t="s">
        <v>831</v>
      </c>
      <c r="B459" s="4">
        <v>45512</v>
      </c>
      <c r="C459" s="1" t="s">
        <v>749</v>
      </c>
      <c r="D459" s="1" t="s">
        <v>40</v>
      </c>
      <c r="E459" s="1" t="s">
        <v>124</v>
      </c>
      <c r="F459" s="1" t="s">
        <v>125</v>
      </c>
      <c r="G459" s="1" t="s">
        <v>24</v>
      </c>
      <c r="H459" s="1" t="s">
        <v>89</v>
      </c>
      <c r="I459" s="1" t="s">
        <v>92</v>
      </c>
      <c r="J459" s="1" t="s">
        <v>93</v>
      </c>
      <c r="K459" s="1" t="s">
        <v>28</v>
      </c>
      <c r="L459">
        <v>2</v>
      </c>
      <c r="M459">
        <v>1599</v>
      </c>
      <c r="N459">
        <v>0</v>
      </c>
      <c r="O459">
        <v>3198</v>
      </c>
      <c r="P459">
        <v>900</v>
      </c>
      <c r="Q459">
        <v>1800</v>
      </c>
      <c r="R459">
        <v>100</v>
      </c>
      <c r="S459">
        <v>1298</v>
      </c>
    </row>
    <row r="460" spans="1:19" x14ac:dyDescent="0.3">
      <c r="A460" s="1" t="s">
        <v>832</v>
      </c>
      <c r="B460" s="4">
        <v>45513</v>
      </c>
      <c r="C460" s="1" t="s">
        <v>536</v>
      </c>
      <c r="D460" s="1" t="s">
        <v>48</v>
      </c>
      <c r="E460" s="1" t="s">
        <v>70</v>
      </c>
      <c r="F460" s="1" t="s">
        <v>70</v>
      </c>
      <c r="G460" s="1" t="s">
        <v>42</v>
      </c>
      <c r="H460" s="1" t="s">
        <v>71</v>
      </c>
      <c r="I460" s="1" t="s">
        <v>134</v>
      </c>
      <c r="J460" s="1" t="s">
        <v>135</v>
      </c>
      <c r="K460" s="1" t="s">
        <v>136</v>
      </c>
      <c r="L460">
        <v>2</v>
      </c>
      <c r="M460">
        <v>299</v>
      </c>
      <c r="N460">
        <v>0.1</v>
      </c>
      <c r="O460">
        <v>538.20000000000005</v>
      </c>
      <c r="P460">
        <v>110</v>
      </c>
      <c r="Q460">
        <v>220</v>
      </c>
      <c r="R460">
        <v>60</v>
      </c>
      <c r="S460">
        <v>258.2</v>
      </c>
    </row>
    <row r="461" spans="1:19" x14ac:dyDescent="0.3">
      <c r="A461" s="1" t="s">
        <v>833</v>
      </c>
      <c r="B461" s="4">
        <v>45513</v>
      </c>
      <c r="C461" s="1" t="s">
        <v>460</v>
      </c>
      <c r="D461" s="1" t="s">
        <v>21</v>
      </c>
      <c r="E461" s="1" t="s">
        <v>54</v>
      </c>
      <c r="F461" s="1" t="s">
        <v>55</v>
      </c>
      <c r="G461" s="1" t="s">
        <v>42</v>
      </c>
      <c r="H461" s="1" t="s">
        <v>71</v>
      </c>
      <c r="I461" s="1" t="s">
        <v>81</v>
      </c>
      <c r="J461" s="1" t="s">
        <v>82</v>
      </c>
      <c r="K461" s="1" t="s">
        <v>61</v>
      </c>
      <c r="L461">
        <v>1</v>
      </c>
      <c r="M461">
        <v>2999</v>
      </c>
      <c r="N461">
        <v>0</v>
      </c>
      <c r="O461">
        <v>2999</v>
      </c>
      <c r="P461">
        <v>1750</v>
      </c>
      <c r="Q461">
        <v>1750</v>
      </c>
      <c r="R461">
        <v>100</v>
      </c>
      <c r="S461">
        <v>1149</v>
      </c>
    </row>
    <row r="462" spans="1:19" x14ac:dyDescent="0.3">
      <c r="A462" s="1" t="s">
        <v>834</v>
      </c>
      <c r="B462" s="4">
        <v>45515</v>
      </c>
      <c r="C462" s="1" t="s">
        <v>246</v>
      </c>
      <c r="D462" s="1" t="s">
        <v>40</v>
      </c>
      <c r="E462" s="1" t="s">
        <v>22</v>
      </c>
      <c r="F462" s="1" t="s">
        <v>23</v>
      </c>
      <c r="G462" s="1" t="s">
        <v>33</v>
      </c>
      <c r="H462" s="1" t="s">
        <v>71</v>
      </c>
      <c r="I462" s="1" t="s">
        <v>59</v>
      </c>
      <c r="J462" s="1" t="s">
        <v>60</v>
      </c>
      <c r="K462" s="1" t="s">
        <v>61</v>
      </c>
      <c r="L462">
        <v>1</v>
      </c>
      <c r="M462">
        <v>999</v>
      </c>
      <c r="N462">
        <v>0.2</v>
      </c>
      <c r="O462">
        <v>799.2</v>
      </c>
      <c r="P462">
        <v>520</v>
      </c>
      <c r="Q462">
        <v>520</v>
      </c>
      <c r="R462">
        <v>40</v>
      </c>
      <c r="S462">
        <v>239.2</v>
      </c>
    </row>
    <row r="463" spans="1:19" x14ac:dyDescent="0.3">
      <c r="A463" s="1" t="s">
        <v>835</v>
      </c>
      <c r="B463" s="4">
        <v>45515</v>
      </c>
      <c r="C463" s="1" t="s">
        <v>665</v>
      </c>
      <c r="D463" s="1" t="s">
        <v>40</v>
      </c>
      <c r="E463" s="1" t="s">
        <v>112</v>
      </c>
      <c r="F463" s="1" t="s">
        <v>113</v>
      </c>
      <c r="G463" s="1" t="s">
        <v>42</v>
      </c>
      <c r="H463" s="1" t="s">
        <v>89</v>
      </c>
      <c r="I463" s="1" t="s">
        <v>43</v>
      </c>
      <c r="J463" s="1" t="s">
        <v>44</v>
      </c>
      <c r="K463" s="1" t="s">
        <v>45</v>
      </c>
      <c r="L463">
        <v>1</v>
      </c>
      <c r="M463">
        <v>1799</v>
      </c>
      <c r="N463">
        <v>0.15</v>
      </c>
      <c r="O463">
        <v>1529.15</v>
      </c>
      <c r="P463">
        <v>850</v>
      </c>
      <c r="Q463">
        <v>850</v>
      </c>
      <c r="R463">
        <v>100</v>
      </c>
      <c r="S463">
        <v>579.15</v>
      </c>
    </row>
    <row r="464" spans="1:19" x14ac:dyDescent="0.3">
      <c r="A464" s="1" t="s">
        <v>836</v>
      </c>
      <c r="B464" s="4">
        <v>45516</v>
      </c>
      <c r="C464" s="1" t="s">
        <v>837</v>
      </c>
      <c r="D464" s="1" t="s">
        <v>48</v>
      </c>
      <c r="E464" s="1" t="s">
        <v>41</v>
      </c>
      <c r="F464" s="1" t="s">
        <v>32</v>
      </c>
      <c r="G464" s="1" t="s">
        <v>24</v>
      </c>
      <c r="H464" s="1" t="s">
        <v>25</v>
      </c>
      <c r="I464" s="1" t="s">
        <v>76</v>
      </c>
      <c r="J464" s="1" t="s">
        <v>77</v>
      </c>
      <c r="K464" s="1" t="s">
        <v>37</v>
      </c>
      <c r="L464">
        <v>1</v>
      </c>
      <c r="M464">
        <v>6999</v>
      </c>
      <c r="N464">
        <v>0.05</v>
      </c>
      <c r="O464">
        <v>6649.05</v>
      </c>
      <c r="P464">
        <v>4900</v>
      </c>
      <c r="Q464">
        <v>4900</v>
      </c>
      <c r="R464">
        <v>40</v>
      </c>
      <c r="S464">
        <v>1709.05</v>
      </c>
    </row>
    <row r="465" spans="1:19" x14ac:dyDescent="0.3">
      <c r="A465" s="1" t="s">
        <v>838</v>
      </c>
      <c r="B465" s="4">
        <v>45516</v>
      </c>
      <c r="C465" s="1" t="s">
        <v>578</v>
      </c>
      <c r="D465" s="1" t="s">
        <v>48</v>
      </c>
      <c r="E465" s="1" t="s">
        <v>64</v>
      </c>
      <c r="F465" s="1" t="s">
        <v>65</v>
      </c>
      <c r="G465" s="1" t="s">
        <v>42</v>
      </c>
      <c r="H465" s="1" t="s">
        <v>25</v>
      </c>
      <c r="I465" s="1" t="s">
        <v>92</v>
      </c>
      <c r="J465" s="1" t="s">
        <v>93</v>
      </c>
      <c r="K465" s="1" t="s">
        <v>28</v>
      </c>
      <c r="L465">
        <v>3</v>
      </c>
      <c r="M465">
        <v>1599</v>
      </c>
      <c r="N465">
        <v>0.2</v>
      </c>
      <c r="O465">
        <v>3837.6</v>
      </c>
      <c r="P465">
        <v>900</v>
      </c>
      <c r="Q465">
        <v>2700</v>
      </c>
      <c r="R465">
        <v>100</v>
      </c>
      <c r="S465">
        <v>1037.5999999999999</v>
      </c>
    </row>
    <row r="466" spans="1:19" x14ac:dyDescent="0.3">
      <c r="A466" s="1" t="s">
        <v>839</v>
      </c>
      <c r="B466" s="4">
        <v>45517</v>
      </c>
      <c r="C466" s="1" t="s">
        <v>39</v>
      </c>
      <c r="D466" s="1" t="s">
        <v>40</v>
      </c>
      <c r="E466" s="1" t="s">
        <v>96</v>
      </c>
      <c r="F466" s="1" t="s">
        <v>97</v>
      </c>
      <c r="G466" s="1" t="s">
        <v>33</v>
      </c>
      <c r="H466" s="1" t="s">
        <v>89</v>
      </c>
      <c r="I466" s="1" t="s">
        <v>66</v>
      </c>
      <c r="J466" s="1" t="s">
        <v>67</v>
      </c>
      <c r="K466" s="1" t="s">
        <v>28</v>
      </c>
      <c r="L466">
        <v>3</v>
      </c>
      <c r="M466">
        <v>2499</v>
      </c>
      <c r="N466">
        <v>0.2</v>
      </c>
      <c r="O466">
        <v>5997.6</v>
      </c>
      <c r="P466">
        <v>1450</v>
      </c>
      <c r="Q466">
        <v>4350</v>
      </c>
      <c r="R466">
        <v>40</v>
      </c>
      <c r="S466">
        <v>1607.6</v>
      </c>
    </row>
    <row r="467" spans="1:19" x14ac:dyDescent="0.3">
      <c r="A467" s="1" t="s">
        <v>840</v>
      </c>
      <c r="B467" s="4">
        <v>45517</v>
      </c>
      <c r="C467" s="1" t="s">
        <v>660</v>
      </c>
      <c r="D467" s="1" t="s">
        <v>40</v>
      </c>
      <c r="E467" s="1" t="s">
        <v>49</v>
      </c>
      <c r="F467" s="1" t="s">
        <v>50</v>
      </c>
      <c r="G467" s="1" t="s">
        <v>42</v>
      </c>
      <c r="H467" s="1" t="s">
        <v>71</v>
      </c>
      <c r="I467" s="1" t="s">
        <v>59</v>
      </c>
      <c r="J467" s="1" t="s">
        <v>60</v>
      </c>
      <c r="K467" s="1" t="s">
        <v>61</v>
      </c>
      <c r="L467">
        <v>5</v>
      </c>
      <c r="M467">
        <v>999</v>
      </c>
      <c r="N467">
        <v>0</v>
      </c>
      <c r="O467">
        <v>4995</v>
      </c>
      <c r="P467">
        <v>520</v>
      </c>
      <c r="Q467">
        <v>2600</v>
      </c>
      <c r="R467">
        <v>0</v>
      </c>
      <c r="S467">
        <v>2395</v>
      </c>
    </row>
    <row r="468" spans="1:19" x14ac:dyDescent="0.3">
      <c r="A468" s="1" t="s">
        <v>841</v>
      </c>
      <c r="B468" s="4">
        <v>45518</v>
      </c>
      <c r="C468" s="1" t="s">
        <v>148</v>
      </c>
      <c r="D468" s="1" t="s">
        <v>48</v>
      </c>
      <c r="E468" s="1" t="s">
        <v>41</v>
      </c>
      <c r="F468" s="1" t="s">
        <v>32</v>
      </c>
      <c r="G468" s="1" t="s">
        <v>24</v>
      </c>
      <c r="H468" s="1" t="s">
        <v>56</v>
      </c>
      <c r="I468" s="1" t="s">
        <v>81</v>
      </c>
      <c r="J468" s="1" t="s">
        <v>82</v>
      </c>
      <c r="K468" s="1" t="s">
        <v>61</v>
      </c>
      <c r="L468">
        <v>3</v>
      </c>
      <c r="M468">
        <v>2999</v>
      </c>
      <c r="N468">
        <v>0</v>
      </c>
      <c r="O468">
        <v>8997</v>
      </c>
      <c r="P468">
        <v>1750</v>
      </c>
      <c r="Q468">
        <v>5250</v>
      </c>
      <c r="R468">
        <v>100</v>
      </c>
      <c r="S468">
        <v>3647</v>
      </c>
    </row>
    <row r="469" spans="1:19" x14ac:dyDescent="0.3">
      <c r="A469" s="1" t="s">
        <v>842</v>
      </c>
      <c r="B469" s="4">
        <v>45518</v>
      </c>
      <c r="C469" s="1" t="s">
        <v>230</v>
      </c>
      <c r="D469" s="1" t="s">
        <v>48</v>
      </c>
      <c r="E469" s="1" t="s">
        <v>124</v>
      </c>
      <c r="F469" s="1" t="s">
        <v>125</v>
      </c>
      <c r="G469" s="1" t="s">
        <v>24</v>
      </c>
      <c r="H469" s="1" t="s">
        <v>71</v>
      </c>
      <c r="I469" s="1" t="s">
        <v>59</v>
      </c>
      <c r="J469" s="1" t="s">
        <v>60</v>
      </c>
      <c r="K469" s="1" t="s">
        <v>61</v>
      </c>
      <c r="L469">
        <v>2</v>
      </c>
      <c r="M469">
        <v>999</v>
      </c>
      <c r="N469">
        <v>0.05</v>
      </c>
      <c r="O469">
        <v>1898.1</v>
      </c>
      <c r="P469">
        <v>520</v>
      </c>
      <c r="Q469">
        <v>1040</v>
      </c>
      <c r="R469">
        <v>100</v>
      </c>
      <c r="S469">
        <v>758.1</v>
      </c>
    </row>
    <row r="470" spans="1:19" x14ac:dyDescent="0.3">
      <c r="A470" s="1" t="s">
        <v>843</v>
      </c>
      <c r="B470" s="4">
        <v>45519</v>
      </c>
      <c r="C470" s="1" t="s">
        <v>698</v>
      </c>
      <c r="D470" s="1" t="s">
        <v>40</v>
      </c>
      <c r="E470" s="1" t="s">
        <v>64</v>
      </c>
      <c r="F470" s="1" t="s">
        <v>65</v>
      </c>
      <c r="G470" s="1" t="s">
        <v>24</v>
      </c>
      <c r="H470" s="1" t="s">
        <v>71</v>
      </c>
      <c r="I470" s="1" t="s">
        <v>134</v>
      </c>
      <c r="J470" s="1" t="s">
        <v>135</v>
      </c>
      <c r="K470" s="1" t="s">
        <v>136</v>
      </c>
      <c r="L470">
        <v>1</v>
      </c>
      <c r="M470">
        <v>299</v>
      </c>
      <c r="N470">
        <v>0.15</v>
      </c>
      <c r="O470">
        <v>254.15</v>
      </c>
      <c r="P470">
        <v>110</v>
      </c>
      <c r="Q470">
        <v>110</v>
      </c>
      <c r="R470">
        <v>80</v>
      </c>
      <c r="S470">
        <v>64.150000000000006</v>
      </c>
    </row>
    <row r="471" spans="1:19" x14ac:dyDescent="0.3">
      <c r="A471" s="1" t="s">
        <v>844</v>
      </c>
      <c r="B471" s="4">
        <v>45519</v>
      </c>
      <c r="C471" s="1" t="s">
        <v>447</v>
      </c>
      <c r="D471" s="1" t="s">
        <v>40</v>
      </c>
      <c r="E471" s="1" t="s">
        <v>112</v>
      </c>
      <c r="F471" s="1" t="s">
        <v>113</v>
      </c>
      <c r="G471" s="1" t="s">
        <v>33</v>
      </c>
      <c r="H471" s="1" t="s">
        <v>25</v>
      </c>
      <c r="I471" s="1" t="s">
        <v>81</v>
      </c>
      <c r="J471" s="1" t="s">
        <v>82</v>
      </c>
      <c r="K471" s="1" t="s">
        <v>61</v>
      </c>
      <c r="L471">
        <v>1</v>
      </c>
      <c r="M471">
        <v>2999</v>
      </c>
      <c r="N471">
        <v>0</v>
      </c>
      <c r="O471">
        <v>2999</v>
      </c>
      <c r="P471">
        <v>1750</v>
      </c>
      <c r="Q471">
        <v>1750</v>
      </c>
      <c r="R471">
        <v>100</v>
      </c>
      <c r="S471">
        <v>1149</v>
      </c>
    </row>
    <row r="472" spans="1:19" x14ac:dyDescent="0.3">
      <c r="A472" s="1" t="s">
        <v>845</v>
      </c>
      <c r="B472" s="4">
        <v>45519</v>
      </c>
      <c r="C472" s="1" t="s">
        <v>846</v>
      </c>
      <c r="D472" s="1" t="s">
        <v>21</v>
      </c>
      <c r="E472" s="1" t="s">
        <v>124</v>
      </c>
      <c r="F472" s="1" t="s">
        <v>125</v>
      </c>
      <c r="G472" s="1" t="s">
        <v>24</v>
      </c>
      <c r="H472" s="1" t="s">
        <v>89</v>
      </c>
      <c r="I472" s="1" t="s">
        <v>72</v>
      </c>
      <c r="J472" s="1" t="s">
        <v>73</v>
      </c>
      <c r="K472" s="1" t="s">
        <v>28</v>
      </c>
      <c r="L472">
        <v>1</v>
      </c>
      <c r="M472">
        <v>2199</v>
      </c>
      <c r="N472">
        <v>0</v>
      </c>
      <c r="O472">
        <v>2199</v>
      </c>
      <c r="P472">
        <v>1250</v>
      </c>
      <c r="Q472">
        <v>1250</v>
      </c>
      <c r="R472">
        <v>100</v>
      </c>
      <c r="S472">
        <v>849</v>
      </c>
    </row>
    <row r="473" spans="1:19" x14ac:dyDescent="0.3">
      <c r="A473" s="1" t="s">
        <v>847</v>
      </c>
      <c r="B473" s="4">
        <v>45520</v>
      </c>
      <c r="C473" s="1" t="s">
        <v>589</v>
      </c>
      <c r="D473" s="1" t="s">
        <v>21</v>
      </c>
      <c r="E473" s="1" t="s">
        <v>124</v>
      </c>
      <c r="F473" s="1" t="s">
        <v>125</v>
      </c>
      <c r="G473" s="1" t="s">
        <v>24</v>
      </c>
      <c r="H473" s="1" t="s">
        <v>89</v>
      </c>
      <c r="I473" s="1" t="s">
        <v>59</v>
      </c>
      <c r="J473" s="1" t="s">
        <v>60</v>
      </c>
      <c r="K473" s="1" t="s">
        <v>61</v>
      </c>
      <c r="L473">
        <v>3</v>
      </c>
      <c r="M473">
        <v>999</v>
      </c>
      <c r="N473">
        <v>0.2</v>
      </c>
      <c r="O473">
        <v>2397.6</v>
      </c>
      <c r="P473">
        <v>520</v>
      </c>
      <c r="Q473">
        <v>1560</v>
      </c>
      <c r="R473">
        <v>0</v>
      </c>
      <c r="S473">
        <v>837.6</v>
      </c>
    </row>
    <row r="474" spans="1:19" x14ac:dyDescent="0.3">
      <c r="A474" s="1" t="s">
        <v>848</v>
      </c>
      <c r="B474" s="4">
        <v>45520</v>
      </c>
      <c r="C474" s="1" t="s">
        <v>502</v>
      </c>
      <c r="D474" s="1" t="s">
        <v>21</v>
      </c>
      <c r="E474" s="1" t="s">
        <v>80</v>
      </c>
      <c r="F474" s="1" t="s">
        <v>55</v>
      </c>
      <c r="G474" s="1" t="s">
        <v>24</v>
      </c>
      <c r="H474" s="1" t="s">
        <v>34</v>
      </c>
      <c r="I474" s="1" t="s">
        <v>85</v>
      </c>
      <c r="J474" s="1" t="s">
        <v>86</v>
      </c>
      <c r="K474" s="1" t="s">
        <v>45</v>
      </c>
      <c r="L474">
        <v>2</v>
      </c>
      <c r="M474">
        <v>599</v>
      </c>
      <c r="N474">
        <v>0.1</v>
      </c>
      <c r="O474">
        <v>1078.2</v>
      </c>
      <c r="P474">
        <v>240</v>
      </c>
      <c r="Q474">
        <v>480</v>
      </c>
      <c r="R474">
        <v>40</v>
      </c>
      <c r="S474">
        <v>558.20000000000005</v>
      </c>
    </row>
    <row r="475" spans="1:19" x14ac:dyDescent="0.3">
      <c r="A475" s="1" t="s">
        <v>849</v>
      </c>
      <c r="B475" s="4">
        <v>45521</v>
      </c>
      <c r="C475" s="1" t="s">
        <v>850</v>
      </c>
      <c r="D475" s="1" t="s">
        <v>21</v>
      </c>
      <c r="E475" s="1" t="s">
        <v>80</v>
      </c>
      <c r="F475" s="1" t="s">
        <v>55</v>
      </c>
      <c r="G475" s="1" t="s">
        <v>24</v>
      </c>
      <c r="H475" s="1" t="s">
        <v>56</v>
      </c>
      <c r="I475" s="1" t="s">
        <v>66</v>
      </c>
      <c r="J475" s="1" t="s">
        <v>67</v>
      </c>
      <c r="K475" s="1" t="s">
        <v>28</v>
      </c>
      <c r="L475">
        <v>1</v>
      </c>
      <c r="M475">
        <v>2499</v>
      </c>
      <c r="N475">
        <v>0.15</v>
      </c>
      <c r="O475">
        <v>2124.15</v>
      </c>
      <c r="P475">
        <v>1450</v>
      </c>
      <c r="Q475">
        <v>1450</v>
      </c>
      <c r="R475">
        <v>60</v>
      </c>
      <c r="S475">
        <v>614.15</v>
      </c>
    </row>
    <row r="476" spans="1:19" x14ac:dyDescent="0.3">
      <c r="A476" s="1" t="s">
        <v>851</v>
      </c>
      <c r="B476" s="4">
        <v>45522</v>
      </c>
      <c r="C476" s="1" t="s">
        <v>522</v>
      </c>
      <c r="D476" s="1" t="s">
        <v>40</v>
      </c>
      <c r="E476" s="1" t="s">
        <v>49</v>
      </c>
      <c r="F476" s="1" t="s">
        <v>50</v>
      </c>
      <c r="G476" s="1" t="s">
        <v>42</v>
      </c>
      <c r="H476" s="1" t="s">
        <v>25</v>
      </c>
      <c r="I476" s="1" t="s">
        <v>66</v>
      </c>
      <c r="J476" s="1" t="s">
        <v>67</v>
      </c>
      <c r="K476" s="1" t="s">
        <v>28</v>
      </c>
      <c r="L476">
        <v>1</v>
      </c>
      <c r="M476">
        <v>2499</v>
      </c>
      <c r="N476">
        <v>0.15</v>
      </c>
      <c r="O476">
        <v>2124.15</v>
      </c>
      <c r="P476">
        <v>1450</v>
      </c>
      <c r="Q476">
        <v>1450</v>
      </c>
      <c r="R476">
        <v>100</v>
      </c>
      <c r="S476">
        <v>574.15</v>
      </c>
    </row>
    <row r="477" spans="1:19" x14ac:dyDescent="0.3">
      <c r="A477" s="1" t="s">
        <v>852</v>
      </c>
      <c r="B477" s="4">
        <v>45522</v>
      </c>
      <c r="C477" s="1" t="s">
        <v>853</v>
      </c>
      <c r="D477" s="1" t="s">
        <v>21</v>
      </c>
      <c r="E477" s="1" t="s">
        <v>96</v>
      </c>
      <c r="F477" s="1" t="s">
        <v>97</v>
      </c>
      <c r="G477" s="1" t="s">
        <v>24</v>
      </c>
      <c r="H477" s="1" t="s">
        <v>56</v>
      </c>
      <c r="I477" s="1" t="s">
        <v>72</v>
      </c>
      <c r="J477" s="1" t="s">
        <v>73</v>
      </c>
      <c r="K477" s="1" t="s">
        <v>28</v>
      </c>
      <c r="L477">
        <v>3</v>
      </c>
      <c r="M477">
        <v>2199</v>
      </c>
      <c r="N477">
        <v>0</v>
      </c>
      <c r="O477">
        <v>6597</v>
      </c>
      <c r="P477">
        <v>1250</v>
      </c>
      <c r="Q477">
        <v>3750</v>
      </c>
      <c r="R477">
        <v>80</v>
      </c>
      <c r="S477">
        <v>2767</v>
      </c>
    </row>
    <row r="478" spans="1:19" x14ac:dyDescent="0.3">
      <c r="A478" s="1" t="s">
        <v>854</v>
      </c>
      <c r="B478" s="4">
        <v>45523</v>
      </c>
      <c r="C478" s="1" t="s">
        <v>855</v>
      </c>
      <c r="D478" s="1" t="s">
        <v>48</v>
      </c>
      <c r="E478" s="1" t="s">
        <v>120</v>
      </c>
      <c r="F478" s="1" t="s">
        <v>121</v>
      </c>
      <c r="G478" s="1" t="s">
        <v>42</v>
      </c>
      <c r="H478" s="1" t="s">
        <v>71</v>
      </c>
      <c r="I478" s="1" t="s">
        <v>92</v>
      </c>
      <c r="J478" s="1" t="s">
        <v>93</v>
      </c>
      <c r="K478" s="1" t="s">
        <v>28</v>
      </c>
      <c r="L478">
        <v>1</v>
      </c>
      <c r="M478">
        <v>1599</v>
      </c>
      <c r="N478">
        <v>0.2</v>
      </c>
      <c r="O478">
        <v>1279.2</v>
      </c>
      <c r="P478">
        <v>900</v>
      </c>
      <c r="Q478">
        <v>900</v>
      </c>
      <c r="R478">
        <v>60</v>
      </c>
      <c r="S478">
        <v>319.2</v>
      </c>
    </row>
    <row r="479" spans="1:19" x14ac:dyDescent="0.3">
      <c r="A479" s="1" t="s">
        <v>856</v>
      </c>
      <c r="B479" s="4">
        <v>45523</v>
      </c>
      <c r="C479" s="1" t="s">
        <v>857</v>
      </c>
      <c r="D479" s="1" t="s">
        <v>21</v>
      </c>
      <c r="E479" s="1" t="s">
        <v>80</v>
      </c>
      <c r="F479" s="1" t="s">
        <v>55</v>
      </c>
      <c r="G479" s="1" t="s">
        <v>24</v>
      </c>
      <c r="H479" s="1" t="s">
        <v>71</v>
      </c>
      <c r="I479" s="1" t="s">
        <v>85</v>
      </c>
      <c r="J479" s="1" t="s">
        <v>86</v>
      </c>
      <c r="K479" s="1" t="s">
        <v>45</v>
      </c>
      <c r="L479">
        <v>1</v>
      </c>
      <c r="M479">
        <v>599</v>
      </c>
      <c r="N479">
        <v>0.1</v>
      </c>
      <c r="O479">
        <v>539.1</v>
      </c>
      <c r="P479">
        <v>240</v>
      </c>
      <c r="Q479">
        <v>240</v>
      </c>
      <c r="R479">
        <v>40</v>
      </c>
      <c r="S479">
        <v>259.10000000000002</v>
      </c>
    </row>
    <row r="480" spans="1:19" x14ac:dyDescent="0.3">
      <c r="A480" s="1" t="s">
        <v>858</v>
      </c>
      <c r="B480" s="4">
        <v>45524</v>
      </c>
      <c r="C480" s="1" t="s">
        <v>736</v>
      </c>
      <c r="D480" s="1" t="s">
        <v>40</v>
      </c>
      <c r="E480" s="1" t="s">
        <v>54</v>
      </c>
      <c r="F480" s="1" t="s">
        <v>55</v>
      </c>
      <c r="G480" s="1" t="s">
        <v>24</v>
      </c>
      <c r="H480" s="1" t="s">
        <v>56</v>
      </c>
      <c r="I480" s="1" t="s">
        <v>59</v>
      </c>
      <c r="J480" s="1" t="s">
        <v>60</v>
      </c>
      <c r="K480" s="1" t="s">
        <v>61</v>
      </c>
      <c r="L480">
        <v>3</v>
      </c>
      <c r="M480">
        <v>999</v>
      </c>
      <c r="N480">
        <v>0.15</v>
      </c>
      <c r="O480">
        <v>2547.4499999999998</v>
      </c>
      <c r="P480">
        <v>520</v>
      </c>
      <c r="Q480">
        <v>1560</v>
      </c>
      <c r="R480">
        <v>100</v>
      </c>
      <c r="S480">
        <v>887.45</v>
      </c>
    </row>
    <row r="481" spans="1:19" x14ac:dyDescent="0.3">
      <c r="A481" s="1" t="s">
        <v>859</v>
      </c>
      <c r="B481" s="4">
        <v>45524</v>
      </c>
      <c r="C481" s="1" t="s">
        <v>780</v>
      </c>
      <c r="D481" s="1" t="s">
        <v>48</v>
      </c>
      <c r="E481" s="1" t="s">
        <v>41</v>
      </c>
      <c r="F481" s="1" t="s">
        <v>32</v>
      </c>
      <c r="G481" s="1" t="s">
        <v>33</v>
      </c>
      <c r="H481" s="1" t="s">
        <v>25</v>
      </c>
      <c r="I481" s="1" t="s">
        <v>72</v>
      </c>
      <c r="J481" s="1" t="s">
        <v>73</v>
      </c>
      <c r="K481" s="1" t="s">
        <v>28</v>
      </c>
      <c r="L481">
        <v>2</v>
      </c>
      <c r="M481">
        <v>2199</v>
      </c>
      <c r="N481">
        <v>0.15</v>
      </c>
      <c r="O481">
        <v>3738.3</v>
      </c>
      <c r="P481">
        <v>1250</v>
      </c>
      <c r="Q481">
        <v>2500</v>
      </c>
      <c r="R481">
        <v>0</v>
      </c>
      <c r="S481">
        <v>1238.3</v>
      </c>
    </row>
    <row r="482" spans="1:19" x14ac:dyDescent="0.3">
      <c r="A482" s="1" t="s">
        <v>860</v>
      </c>
      <c r="B482" s="4">
        <v>45525</v>
      </c>
      <c r="C482" s="1" t="s">
        <v>558</v>
      </c>
      <c r="D482" s="1" t="s">
        <v>48</v>
      </c>
      <c r="E482" s="1" t="s">
        <v>80</v>
      </c>
      <c r="F482" s="1" t="s">
        <v>55</v>
      </c>
      <c r="G482" s="1" t="s">
        <v>33</v>
      </c>
      <c r="H482" s="1" t="s">
        <v>34</v>
      </c>
      <c r="I482" s="1" t="s">
        <v>85</v>
      </c>
      <c r="J482" s="1" t="s">
        <v>86</v>
      </c>
      <c r="K482" s="1" t="s">
        <v>45</v>
      </c>
      <c r="L482">
        <v>2</v>
      </c>
      <c r="M482">
        <v>599</v>
      </c>
      <c r="N482">
        <v>0</v>
      </c>
      <c r="O482">
        <v>1198</v>
      </c>
      <c r="P482">
        <v>240</v>
      </c>
      <c r="Q482">
        <v>480</v>
      </c>
      <c r="R482">
        <v>0</v>
      </c>
      <c r="S482">
        <v>718</v>
      </c>
    </row>
    <row r="483" spans="1:19" x14ac:dyDescent="0.3">
      <c r="A483" s="1" t="s">
        <v>861</v>
      </c>
      <c r="B483" s="4">
        <v>45526</v>
      </c>
      <c r="C483" s="1" t="s">
        <v>862</v>
      </c>
      <c r="D483" s="1" t="s">
        <v>21</v>
      </c>
      <c r="E483" s="1" t="s">
        <v>49</v>
      </c>
      <c r="F483" s="1" t="s">
        <v>50</v>
      </c>
      <c r="G483" s="1" t="s">
        <v>42</v>
      </c>
      <c r="H483" s="1" t="s">
        <v>89</v>
      </c>
      <c r="I483" s="1" t="s">
        <v>66</v>
      </c>
      <c r="J483" s="1" t="s">
        <v>67</v>
      </c>
      <c r="K483" s="1" t="s">
        <v>28</v>
      </c>
      <c r="L483">
        <v>1</v>
      </c>
      <c r="M483">
        <v>2499</v>
      </c>
      <c r="N483">
        <v>0</v>
      </c>
      <c r="O483">
        <v>2499</v>
      </c>
      <c r="P483">
        <v>1450</v>
      </c>
      <c r="Q483">
        <v>1450</v>
      </c>
      <c r="R483">
        <v>60</v>
      </c>
      <c r="S483">
        <v>989</v>
      </c>
    </row>
    <row r="484" spans="1:19" x14ac:dyDescent="0.3">
      <c r="A484" s="1" t="s">
        <v>863</v>
      </c>
      <c r="B484" s="4">
        <v>45527</v>
      </c>
      <c r="C484" s="1" t="s">
        <v>864</v>
      </c>
      <c r="D484" s="1" t="s">
        <v>48</v>
      </c>
      <c r="E484" s="1" t="s">
        <v>120</v>
      </c>
      <c r="F484" s="1" t="s">
        <v>121</v>
      </c>
      <c r="G484" s="1" t="s">
        <v>24</v>
      </c>
      <c r="H484" s="1" t="s">
        <v>56</v>
      </c>
      <c r="I484" s="1" t="s">
        <v>59</v>
      </c>
      <c r="J484" s="1" t="s">
        <v>60</v>
      </c>
      <c r="K484" s="1" t="s">
        <v>61</v>
      </c>
      <c r="L484">
        <v>1</v>
      </c>
      <c r="M484">
        <v>999</v>
      </c>
      <c r="N484">
        <v>0.2</v>
      </c>
      <c r="O484">
        <v>799.2</v>
      </c>
      <c r="P484">
        <v>520</v>
      </c>
      <c r="Q484">
        <v>520</v>
      </c>
      <c r="R484">
        <v>80</v>
      </c>
      <c r="S484">
        <v>199.2</v>
      </c>
    </row>
    <row r="485" spans="1:19" x14ac:dyDescent="0.3">
      <c r="A485" s="1" t="s">
        <v>865</v>
      </c>
      <c r="B485" s="4">
        <v>45527</v>
      </c>
      <c r="C485" s="1" t="s">
        <v>453</v>
      </c>
      <c r="D485" s="1" t="s">
        <v>40</v>
      </c>
      <c r="E485" s="1" t="s">
        <v>64</v>
      </c>
      <c r="F485" s="1" t="s">
        <v>65</v>
      </c>
      <c r="G485" s="1" t="s">
        <v>42</v>
      </c>
      <c r="H485" s="1" t="s">
        <v>71</v>
      </c>
      <c r="I485" s="1" t="s">
        <v>51</v>
      </c>
      <c r="J485" s="1" t="s">
        <v>52</v>
      </c>
      <c r="K485" s="1" t="s">
        <v>37</v>
      </c>
      <c r="L485">
        <v>4</v>
      </c>
      <c r="M485">
        <v>499</v>
      </c>
      <c r="N485">
        <v>0.2</v>
      </c>
      <c r="O485">
        <v>1596.8</v>
      </c>
      <c r="P485">
        <v>180</v>
      </c>
      <c r="Q485">
        <v>720</v>
      </c>
      <c r="R485">
        <v>100</v>
      </c>
      <c r="S485">
        <v>776.8</v>
      </c>
    </row>
    <row r="486" spans="1:19" x14ac:dyDescent="0.3">
      <c r="A486" s="1" t="s">
        <v>866</v>
      </c>
      <c r="B486" s="4">
        <v>45528</v>
      </c>
      <c r="C486" s="1" t="s">
        <v>620</v>
      </c>
      <c r="D486" s="1" t="s">
        <v>48</v>
      </c>
      <c r="E486" s="1" t="s">
        <v>41</v>
      </c>
      <c r="F486" s="1" t="s">
        <v>32</v>
      </c>
      <c r="G486" s="1" t="s">
        <v>24</v>
      </c>
      <c r="H486" s="1" t="s">
        <v>56</v>
      </c>
      <c r="I486" s="1" t="s">
        <v>85</v>
      </c>
      <c r="J486" s="1" t="s">
        <v>86</v>
      </c>
      <c r="K486" s="1" t="s">
        <v>45</v>
      </c>
      <c r="L486">
        <v>1</v>
      </c>
      <c r="M486">
        <v>599</v>
      </c>
      <c r="N486">
        <v>0</v>
      </c>
      <c r="O486">
        <v>599</v>
      </c>
      <c r="P486">
        <v>240</v>
      </c>
      <c r="Q486">
        <v>240</v>
      </c>
      <c r="R486">
        <v>100</v>
      </c>
      <c r="S486">
        <v>259</v>
      </c>
    </row>
    <row r="487" spans="1:19" x14ac:dyDescent="0.3">
      <c r="A487" s="1" t="s">
        <v>867</v>
      </c>
      <c r="B487" s="4">
        <v>45528</v>
      </c>
      <c r="C487" s="1" t="s">
        <v>275</v>
      </c>
      <c r="D487" s="1" t="s">
        <v>48</v>
      </c>
      <c r="E487" s="1" t="s">
        <v>124</v>
      </c>
      <c r="F487" s="1" t="s">
        <v>125</v>
      </c>
      <c r="G487" s="1" t="s">
        <v>24</v>
      </c>
      <c r="H487" s="1" t="s">
        <v>25</v>
      </c>
      <c r="I487" s="1" t="s">
        <v>59</v>
      </c>
      <c r="J487" s="1" t="s">
        <v>60</v>
      </c>
      <c r="K487" s="1" t="s">
        <v>61</v>
      </c>
      <c r="L487">
        <v>2</v>
      </c>
      <c r="M487">
        <v>999</v>
      </c>
      <c r="N487">
        <v>0.2</v>
      </c>
      <c r="O487">
        <v>1598.4</v>
      </c>
      <c r="P487">
        <v>520</v>
      </c>
      <c r="Q487">
        <v>1040</v>
      </c>
      <c r="R487">
        <v>0</v>
      </c>
      <c r="S487">
        <v>558.4</v>
      </c>
    </row>
    <row r="488" spans="1:19" x14ac:dyDescent="0.3">
      <c r="A488" s="1" t="s">
        <v>868</v>
      </c>
      <c r="B488" s="4">
        <v>45528</v>
      </c>
      <c r="C488" s="1" t="s">
        <v>192</v>
      </c>
      <c r="D488" s="1" t="s">
        <v>40</v>
      </c>
      <c r="E488" s="1" t="s">
        <v>96</v>
      </c>
      <c r="F488" s="1" t="s">
        <v>97</v>
      </c>
      <c r="G488" s="1" t="s">
        <v>33</v>
      </c>
      <c r="H488" s="1" t="s">
        <v>25</v>
      </c>
      <c r="I488" s="1" t="s">
        <v>76</v>
      </c>
      <c r="J488" s="1" t="s">
        <v>77</v>
      </c>
      <c r="K488" s="1" t="s">
        <v>37</v>
      </c>
      <c r="L488">
        <v>4</v>
      </c>
      <c r="M488">
        <v>6999</v>
      </c>
      <c r="N488">
        <v>0</v>
      </c>
      <c r="O488">
        <v>27996</v>
      </c>
      <c r="P488">
        <v>4900</v>
      </c>
      <c r="Q488">
        <v>19600</v>
      </c>
      <c r="R488">
        <v>0</v>
      </c>
      <c r="S488">
        <v>8396</v>
      </c>
    </row>
    <row r="489" spans="1:19" x14ac:dyDescent="0.3">
      <c r="A489" s="1" t="s">
        <v>869</v>
      </c>
      <c r="B489" s="4">
        <v>45529</v>
      </c>
      <c r="C489" s="1" t="s">
        <v>300</v>
      </c>
      <c r="D489" s="1" t="s">
        <v>21</v>
      </c>
      <c r="E489" s="1" t="s">
        <v>41</v>
      </c>
      <c r="F489" s="1" t="s">
        <v>32</v>
      </c>
      <c r="G489" s="1" t="s">
        <v>33</v>
      </c>
      <c r="H489" s="1" t="s">
        <v>89</v>
      </c>
      <c r="I489" s="1" t="s">
        <v>43</v>
      </c>
      <c r="J489" s="1" t="s">
        <v>44</v>
      </c>
      <c r="K489" s="1" t="s">
        <v>45</v>
      </c>
      <c r="L489">
        <v>2</v>
      </c>
      <c r="M489">
        <v>1799</v>
      </c>
      <c r="N489">
        <v>0.1</v>
      </c>
      <c r="O489">
        <v>3238.2</v>
      </c>
      <c r="P489">
        <v>850</v>
      </c>
      <c r="Q489">
        <v>1700</v>
      </c>
      <c r="R489">
        <v>60</v>
      </c>
      <c r="S489">
        <v>1478.2</v>
      </c>
    </row>
    <row r="490" spans="1:19" x14ac:dyDescent="0.3">
      <c r="A490" s="1" t="s">
        <v>870</v>
      </c>
      <c r="B490" s="4">
        <v>45529</v>
      </c>
      <c r="C490" s="1" t="s">
        <v>871</v>
      </c>
      <c r="D490" s="1" t="s">
        <v>40</v>
      </c>
      <c r="E490" s="1" t="s">
        <v>112</v>
      </c>
      <c r="F490" s="1" t="s">
        <v>113</v>
      </c>
      <c r="G490" s="1" t="s">
        <v>42</v>
      </c>
      <c r="H490" s="1" t="s">
        <v>34</v>
      </c>
      <c r="I490" s="1" t="s">
        <v>85</v>
      </c>
      <c r="J490" s="1" t="s">
        <v>86</v>
      </c>
      <c r="K490" s="1" t="s">
        <v>45</v>
      </c>
      <c r="L490">
        <v>3</v>
      </c>
      <c r="M490">
        <v>599</v>
      </c>
      <c r="N490">
        <v>0</v>
      </c>
      <c r="O490">
        <v>1797</v>
      </c>
      <c r="P490">
        <v>240</v>
      </c>
      <c r="Q490">
        <v>720</v>
      </c>
      <c r="R490">
        <v>40</v>
      </c>
      <c r="S490">
        <v>1037</v>
      </c>
    </row>
    <row r="491" spans="1:19" x14ac:dyDescent="0.3">
      <c r="A491" s="1" t="s">
        <v>872</v>
      </c>
      <c r="B491" s="4">
        <v>45529</v>
      </c>
      <c r="C491" s="1" t="s">
        <v>853</v>
      </c>
      <c r="D491" s="1" t="s">
        <v>40</v>
      </c>
      <c r="E491" s="1" t="s">
        <v>124</v>
      </c>
      <c r="F491" s="1" t="s">
        <v>125</v>
      </c>
      <c r="G491" s="1" t="s">
        <v>24</v>
      </c>
      <c r="H491" s="1" t="s">
        <v>71</v>
      </c>
      <c r="I491" s="1" t="s">
        <v>51</v>
      </c>
      <c r="J491" s="1" t="s">
        <v>52</v>
      </c>
      <c r="K491" s="1" t="s">
        <v>37</v>
      </c>
      <c r="L491">
        <v>1</v>
      </c>
      <c r="M491">
        <v>499</v>
      </c>
      <c r="N491">
        <v>0.15</v>
      </c>
      <c r="O491">
        <v>424.15</v>
      </c>
      <c r="P491">
        <v>180</v>
      </c>
      <c r="Q491">
        <v>180</v>
      </c>
      <c r="R491">
        <v>60</v>
      </c>
      <c r="S491">
        <v>184.15</v>
      </c>
    </row>
    <row r="492" spans="1:19" x14ac:dyDescent="0.3">
      <c r="A492" s="1" t="s">
        <v>873</v>
      </c>
      <c r="B492" s="4">
        <v>45529</v>
      </c>
      <c r="C492" s="1" t="s">
        <v>200</v>
      </c>
      <c r="D492" s="1" t="s">
        <v>21</v>
      </c>
      <c r="E492" s="1" t="s">
        <v>64</v>
      </c>
      <c r="F492" s="1" t="s">
        <v>65</v>
      </c>
      <c r="G492" s="1" t="s">
        <v>42</v>
      </c>
      <c r="H492" s="1" t="s">
        <v>34</v>
      </c>
      <c r="I492" s="1" t="s">
        <v>72</v>
      </c>
      <c r="J492" s="1" t="s">
        <v>73</v>
      </c>
      <c r="K492" s="1" t="s">
        <v>28</v>
      </c>
      <c r="L492">
        <v>2</v>
      </c>
      <c r="M492">
        <v>2199</v>
      </c>
      <c r="N492">
        <v>0.05</v>
      </c>
      <c r="O492">
        <v>4178.1000000000004</v>
      </c>
      <c r="P492">
        <v>1250</v>
      </c>
      <c r="Q492">
        <v>2500</v>
      </c>
      <c r="R492">
        <v>40</v>
      </c>
      <c r="S492">
        <v>1638.1</v>
      </c>
    </row>
    <row r="493" spans="1:19" x14ac:dyDescent="0.3">
      <c r="A493" s="1" t="s">
        <v>874</v>
      </c>
      <c r="B493" s="4">
        <v>45530</v>
      </c>
      <c r="C493" s="1" t="s">
        <v>875</v>
      </c>
      <c r="D493" s="1" t="s">
        <v>48</v>
      </c>
      <c r="E493" s="1" t="s">
        <v>124</v>
      </c>
      <c r="F493" s="1" t="s">
        <v>125</v>
      </c>
      <c r="G493" s="1" t="s">
        <v>33</v>
      </c>
      <c r="H493" s="1" t="s">
        <v>71</v>
      </c>
      <c r="I493" s="1" t="s">
        <v>85</v>
      </c>
      <c r="J493" s="1" t="s">
        <v>86</v>
      </c>
      <c r="K493" s="1" t="s">
        <v>45</v>
      </c>
      <c r="L493">
        <v>1</v>
      </c>
      <c r="M493">
        <v>599</v>
      </c>
      <c r="N493">
        <v>0.2</v>
      </c>
      <c r="O493">
        <v>479.2</v>
      </c>
      <c r="P493">
        <v>240</v>
      </c>
      <c r="Q493">
        <v>240</v>
      </c>
      <c r="R493">
        <v>0</v>
      </c>
      <c r="S493">
        <v>239.2</v>
      </c>
    </row>
    <row r="494" spans="1:19" x14ac:dyDescent="0.3">
      <c r="A494" s="1" t="s">
        <v>876</v>
      </c>
      <c r="B494" s="4">
        <v>45530</v>
      </c>
      <c r="C494" s="1" t="s">
        <v>777</v>
      </c>
      <c r="D494" s="1" t="s">
        <v>21</v>
      </c>
      <c r="E494" s="1" t="s">
        <v>124</v>
      </c>
      <c r="F494" s="1" t="s">
        <v>125</v>
      </c>
      <c r="G494" s="1" t="s">
        <v>33</v>
      </c>
      <c r="H494" s="1" t="s">
        <v>71</v>
      </c>
      <c r="I494" s="1" t="s">
        <v>66</v>
      </c>
      <c r="J494" s="1" t="s">
        <v>67</v>
      </c>
      <c r="K494" s="1" t="s">
        <v>28</v>
      </c>
      <c r="L494">
        <v>1</v>
      </c>
      <c r="M494">
        <v>2499</v>
      </c>
      <c r="N494">
        <v>0.1</v>
      </c>
      <c r="O494">
        <v>2249.1</v>
      </c>
      <c r="P494">
        <v>1450</v>
      </c>
      <c r="Q494">
        <v>1450</v>
      </c>
      <c r="R494">
        <v>40</v>
      </c>
      <c r="S494">
        <v>759.1</v>
      </c>
    </row>
    <row r="495" spans="1:19" x14ac:dyDescent="0.3">
      <c r="A495" s="1" t="s">
        <v>877</v>
      </c>
      <c r="B495" s="4">
        <v>45532</v>
      </c>
      <c r="C495" s="1" t="s">
        <v>878</v>
      </c>
      <c r="D495" s="1" t="s">
        <v>40</v>
      </c>
      <c r="E495" s="1" t="s">
        <v>49</v>
      </c>
      <c r="F495" s="1" t="s">
        <v>50</v>
      </c>
      <c r="G495" s="1" t="s">
        <v>24</v>
      </c>
      <c r="H495" s="1" t="s">
        <v>71</v>
      </c>
      <c r="I495" s="1" t="s">
        <v>72</v>
      </c>
      <c r="J495" s="1" t="s">
        <v>73</v>
      </c>
      <c r="K495" s="1" t="s">
        <v>28</v>
      </c>
      <c r="L495">
        <v>1</v>
      </c>
      <c r="M495">
        <v>2199</v>
      </c>
      <c r="N495">
        <v>0.05</v>
      </c>
      <c r="O495">
        <v>2089.0500000000002</v>
      </c>
      <c r="P495">
        <v>1250</v>
      </c>
      <c r="Q495">
        <v>1250</v>
      </c>
      <c r="R495">
        <v>40</v>
      </c>
      <c r="S495">
        <v>799.05</v>
      </c>
    </row>
    <row r="496" spans="1:19" x14ac:dyDescent="0.3">
      <c r="A496" s="1" t="s">
        <v>879</v>
      </c>
      <c r="B496" s="4">
        <v>45533</v>
      </c>
      <c r="C496" s="1" t="s">
        <v>312</v>
      </c>
      <c r="D496" s="1" t="s">
        <v>48</v>
      </c>
      <c r="E496" s="1" t="s">
        <v>22</v>
      </c>
      <c r="F496" s="1" t="s">
        <v>23</v>
      </c>
      <c r="G496" s="1" t="s">
        <v>42</v>
      </c>
      <c r="H496" s="1" t="s">
        <v>56</v>
      </c>
      <c r="I496" s="1" t="s">
        <v>85</v>
      </c>
      <c r="J496" s="1" t="s">
        <v>86</v>
      </c>
      <c r="K496" s="1" t="s">
        <v>45</v>
      </c>
      <c r="L496">
        <v>1</v>
      </c>
      <c r="M496">
        <v>599</v>
      </c>
      <c r="N496">
        <v>0.2</v>
      </c>
      <c r="O496">
        <v>479.2</v>
      </c>
      <c r="P496">
        <v>240</v>
      </c>
      <c r="Q496">
        <v>240</v>
      </c>
      <c r="R496">
        <v>80</v>
      </c>
      <c r="S496">
        <v>159.19999999999999</v>
      </c>
    </row>
    <row r="497" spans="1:19" x14ac:dyDescent="0.3">
      <c r="A497" s="1" t="s">
        <v>880</v>
      </c>
      <c r="B497" s="4">
        <v>45533</v>
      </c>
      <c r="C497" s="1" t="s">
        <v>178</v>
      </c>
      <c r="D497" s="1" t="s">
        <v>48</v>
      </c>
      <c r="E497" s="1" t="s">
        <v>120</v>
      </c>
      <c r="F497" s="1" t="s">
        <v>121</v>
      </c>
      <c r="G497" s="1" t="s">
        <v>24</v>
      </c>
      <c r="H497" s="1" t="s">
        <v>89</v>
      </c>
      <c r="I497" s="1" t="s">
        <v>43</v>
      </c>
      <c r="J497" s="1" t="s">
        <v>44</v>
      </c>
      <c r="K497" s="1" t="s">
        <v>45</v>
      </c>
      <c r="L497">
        <v>1</v>
      </c>
      <c r="M497">
        <v>1799</v>
      </c>
      <c r="N497">
        <v>0.1</v>
      </c>
      <c r="O497">
        <v>1619.1</v>
      </c>
      <c r="P497">
        <v>850</v>
      </c>
      <c r="Q497">
        <v>850</v>
      </c>
      <c r="R497">
        <v>0</v>
      </c>
      <c r="S497">
        <v>769.1</v>
      </c>
    </row>
    <row r="498" spans="1:19" x14ac:dyDescent="0.3">
      <c r="A498" s="1" t="s">
        <v>881</v>
      </c>
      <c r="B498" s="4">
        <v>45533</v>
      </c>
      <c r="C498" s="1" t="s">
        <v>882</v>
      </c>
      <c r="D498" s="1" t="s">
        <v>21</v>
      </c>
      <c r="E498" s="1" t="s">
        <v>54</v>
      </c>
      <c r="F498" s="1" t="s">
        <v>55</v>
      </c>
      <c r="G498" s="1" t="s">
        <v>33</v>
      </c>
      <c r="H498" s="1" t="s">
        <v>34</v>
      </c>
      <c r="I498" s="1" t="s">
        <v>59</v>
      </c>
      <c r="J498" s="1" t="s">
        <v>60</v>
      </c>
      <c r="K498" s="1" t="s">
        <v>61</v>
      </c>
      <c r="L498">
        <v>1</v>
      </c>
      <c r="M498">
        <v>999</v>
      </c>
      <c r="N498">
        <v>0</v>
      </c>
      <c r="O498">
        <v>999</v>
      </c>
      <c r="P498">
        <v>520</v>
      </c>
      <c r="Q498">
        <v>520</v>
      </c>
      <c r="R498">
        <v>40</v>
      </c>
      <c r="S498">
        <v>439</v>
      </c>
    </row>
    <row r="499" spans="1:19" x14ac:dyDescent="0.3">
      <c r="A499" s="1" t="s">
        <v>883</v>
      </c>
      <c r="B499" s="4">
        <v>45534</v>
      </c>
      <c r="C499" s="1" t="s">
        <v>711</v>
      </c>
      <c r="D499" s="1" t="s">
        <v>40</v>
      </c>
      <c r="E499" s="1" t="s">
        <v>112</v>
      </c>
      <c r="F499" s="1" t="s">
        <v>113</v>
      </c>
      <c r="G499" s="1" t="s">
        <v>24</v>
      </c>
      <c r="H499" s="1" t="s">
        <v>71</v>
      </c>
      <c r="I499" s="1" t="s">
        <v>66</v>
      </c>
      <c r="J499" s="1" t="s">
        <v>67</v>
      </c>
      <c r="K499" s="1" t="s">
        <v>28</v>
      </c>
      <c r="L499">
        <v>4</v>
      </c>
      <c r="M499">
        <v>2499</v>
      </c>
      <c r="N499">
        <v>0</v>
      </c>
      <c r="O499">
        <v>9996</v>
      </c>
      <c r="P499">
        <v>1450</v>
      </c>
      <c r="Q499">
        <v>5800</v>
      </c>
      <c r="R499">
        <v>80</v>
      </c>
      <c r="S499">
        <v>4116</v>
      </c>
    </row>
    <row r="500" spans="1:19" x14ac:dyDescent="0.3">
      <c r="A500" s="1" t="s">
        <v>884</v>
      </c>
      <c r="B500" s="4">
        <v>45534</v>
      </c>
      <c r="C500" s="1" t="s">
        <v>528</v>
      </c>
      <c r="D500" s="1" t="s">
        <v>21</v>
      </c>
      <c r="E500" s="1" t="s">
        <v>49</v>
      </c>
      <c r="F500" s="1" t="s">
        <v>50</v>
      </c>
      <c r="G500" s="1" t="s">
        <v>33</v>
      </c>
      <c r="H500" s="1" t="s">
        <v>25</v>
      </c>
      <c r="I500" s="1" t="s">
        <v>35</v>
      </c>
      <c r="J500" s="1" t="s">
        <v>36</v>
      </c>
      <c r="K500" s="1" t="s">
        <v>37</v>
      </c>
      <c r="L500">
        <v>3</v>
      </c>
      <c r="M500">
        <v>1299</v>
      </c>
      <c r="N500">
        <v>0.2</v>
      </c>
      <c r="O500">
        <v>3117.6</v>
      </c>
      <c r="P500">
        <v>700</v>
      </c>
      <c r="Q500">
        <v>2100</v>
      </c>
      <c r="R500">
        <v>100</v>
      </c>
      <c r="S500">
        <v>917.6</v>
      </c>
    </row>
    <row r="501" spans="1:19" x14ac:dyDescent="0.3">
      <c r="A501" s="1" t="s">
        <v>885</v>
      </c>
      <c r="B501" s="4">
        <v>45535</v>
      </c>
      <c r="C501" s="1" t="s">
        <v>453</v>
      </c>
      <c r="D501" s="1" t="s">
        <v>40</v>
      </c>
      <c r="E501" s="1" t="s">
        <v>70</v>
      </c>
      <c r="F501" s="1" t="s">
        <v>70</v>
      </c>
      <c r="G501" s="1" t="s">
        <v>24</v>
      </c>
      <c r="H501" s="1" t="s">
        <v>56</v>
      </c>
      <c r="I501" s="1" t="s">
        <v>35</v>
      </c>
      <c r="J501" s="1" t="s">
        <v>36</v>
      </c>
      <c r="K501" s="1" t="s">
        <v>37</v>
      </c>
      <c r="L501">
        <v>1</v>
      </c>
      <c r="M501">
        <v>1299</v>
      </c>
      <c r="N501">
        <v>0</v>
      </c>
      <c r="O501">
        <v>1299</v>
      </c>
      <c r="P501">
        <v>700</v>
      </c>
      <c r="Q501">
        <v>700</v>
      </c>
      <c r="R501">
        <v>60</v>
      </c>
      <c r="S501">
        <v>539</v>
      </c>
    </row>
    <row r="502" spans="1:19" x14ac:dyDescent="0.3">
      <c r="A502" s="1" t="s">
        <v>886</v>
      </c>
      <c r="B502" s="4">
        <v>45535</v>
      </c>
      <c r="C502" s="1" t="s">
        <v>749</v>
      </c>
      <c r="D502" s="1" t="s">
        <v>21</v>
      </c>
      <c r="E502" s="1" t="s">
        <v>70</v>
      </c>
      <c r="F502" s="1" t="s">
        <v>70</v>
      </c>
      <c r="G502" s="1" t="s">
        <v>24</v>
      </c>
      <c r="H502" s="1" t="s">
        <v>25</v>
      </c>
      <c r="I502" s="1" t="s">
        <v>72</v>
      </c>
      <c r="J502" s="1" t="s">
        <v>73</v>
      </c>
      <c r="K502" s="1" t="s">
        <v>28</v>
      </c>
      <c r="L502">
        <v>2</v>
      </c>
      <c r="M502">
        <v>2199</v>
      </c>
      <c r="N502">
        <v>0.1</v>
      </c>
      <c r="O502">
        <v>3958.2</v>
      </c>
      <c r="P502">
        <v>1250</v>
      </c>
      <c r="Q502">
        <v>2500</v>
      </c>
      <c r="R502">
        <v>60</v>
      </c>
      <c r="S502">
        <v>1398.2</v>
      </c>
    </row>
    <row r="503" spans="1:19" x14ac:dyDescent="0.3">
      <c r="A503" s="1" t="s">
        <v>887</v>
      </c>
      <c r="B503" s="4">
        <v>45536</v>
      </c>
      <c r="C503" s="1" t="s">
        <v>888</v>
      </c>
      <c r="D503" s="1" t="s">
        <v>21</v>
      </c>
      <c r="E503" s="1" t="s">
        <v>64</v>
      </c>
      <c r="F503" s="1" t="s">
        <v>65</v>
      </c>
      <c r="G503" s="1" t="s">
        <v>42</v>
      </c>
      <c r="H503" s="1" t="s">
        <v>25</v>
      </c>
      <c r="I503" s="1" t="s">
        <v>43</v>
      </c>
      <c r="J503" s="1" t="s">
        <v>44</v>
      </c>
      <c r="K503" s="1" t="s">
        <v>45</v>
      </c>
      <c r="L503">
        <v>1</v>
      </c>
      <c r="M503">
        <v>1799</v>
      </c>
      <c r="N503">
        <v>0.15</v>
      </c>
      <c r="O503">
        <v>1529.15</v>
      </c>
      <c r="P503">
        <v>850</v>
      </c>
      <c r="Q503">
        <v>850</v>
      </c>
      <c r="R503">
        <v>60</v>
      </c>
      <c r="S503">
        <v>619.15</v>
      </c>
    </row>
    <row r="504" spans="1:19" x14ac:dyDescent="0.3">
      <c r="A504" s="1" t="s">
        <v>889</v>
      </c>
      <c r="B504" s="4">
        <v>45536</v>
      </c>
      <c r="C504" s="1" t="s">
        <v>187</v>
      </c>
      <c r="D504" s="1" t="s">
        <v>48</v>
      </c>
      <c r="E504" s="1" t="s">
        <v>70</v>
      </c>
      <c r="F504" s="1" t="s">
        <v>70</v>
      </c>
      <c r="G504" s="1" t="s">
        <v>33</v>
      </c>
      <c r="H504" s="1" t="s">
        <v>25</v>
      </c>
      <c r="I504" s="1" t="s">
        <v>51</v>
      </c>
      <c r="J504" s="1" t="s">
        <v>52</v>
      </c>
      <c r="K504" s="1" t="s">
        <v>37</v>
      </c>
      <c r="L504">
        <v>5</v>
      </c>
      <c r="M504">
        <v>499</v>
      </c>
      <c r="N504">
        <v>0.15</v>
      </c>
      <c r="O504">
        <v>2120.75</v>
      </c>
      <c r="P504">
        <v>180</v>
      </c>
      <c r="Q504">
        <v>900</v>
      </c>
      <c r="R504">
        <v>0</v>
      </c>
      <c r="S504">
        <v>1220.75</v>
      </c>
    </row>
    <row r="505" spans="1:19" x14ac:dyDescent="0.3">
      <c r="A505" s="1" t="s">
        <v>890</v>
      </c>
      <c r="B505" s="4">
        <v>45537</v>
      </c>
      <c r="C505" s="1" t="s">
        <v>891</v>
      </c>
      <c r="D505" s="1" t="s">
        <v>21</v>
      </c>
      <c r="E505" s="1" t="s">
        <v>112</v>
      </c>
      <c r="F505" s="1" t="s">
        <v>113</v>
      </c>
      <c r="G505" s="1" t="s">
        <v>33</v>
      </c>
      <c r="H505" s="1" t="s">
        <v>56</v>
      </c>
      <c r="I505" s="1" t="s">
        <v>59</v>
      </c>
      <c r="J505" s="1" t="s">
        <v>60</v>
      </c>
      <c r="K505" s="1" t="s">
        <v>61</v>
      </c>
      <c r="L505">
        <v>1</v>
      </c>
      <c r="M505">
        <v>999</v>
      </c>
      <c r="N505">
        <v>0</v>
      </c>
      <c r="O505">
        <v>999</v>
      </c>
      <c r="P505">
        <v>520</v>
      </c>
      <c r="Q505">
        <v>520</v>
      </c>
      <c r="R505">
        <v>40</v>
      </c>
      <c r="S505">
        <v>439</v>
      </c>
    </row>
    <row r="506" spans="1:19" x14ac:dyDescent="0.3">
      <c r="A506" s="1" t="s">
        <v>892</v>
      </c>
      <c r="B506" s="4">
        <v>45537</v>
      </c>
      <c r="C506" s="1" t="s">
        <v>857</v>
      </c>
      <c r="D506" s="1" t="s">
        <v>40</v>
      </c>
      <c r="E506" s="1" t="s">
        <v>120</v>
      </c>
      <c r="F506" s="1" t="s">
        <v>121</v>
      </c>
      <c r="G506" s="1" t="s">
        <v>24</v>
      </c>
      <c r="H506" s="1" t="s">
        <v>34</v>
      </c>
      <c r="I506" s="1" t="s">
        <v>76</v>
      </c>
      <c r="J506" s="1" t="s">
        <v>77</v>
      </c>
      <c r="K506" s="1" t="s">
        <v>37</v>
      </c>
      <c r="L506">
        <v>4</v>
      </c>
      <c r="M506">
        <v>6999</v>
      </c>
      <c r="N506">
        <v>0.05</v>
      </c>
      <c r="O506">
        <v>26596.2</v>
      </c>
      <c r="P506">
        <v>4900</v>
      </c>
      <c r="Q506">
        <v>19600</v>
      </c>
      <c r="R506">
        <v>40</v>
      </c>
      <c r="S506">
        <v>6956.2</v>
      </c>
    </row>
    <row r="507" spans="1:19" x14ac:dyDescent="0.3">
      <c r="A507" s="1" t="s">
        <v>893</v>
      </c>
      <c r="B507" s="4">
        <v>45538</v>
      </c>
      <c r="C507" s="1" t="s">
        <v>894</v>
      </c>
      <c r="D507" s="1" t="s">
        <v>40</v>
      </c>
      <c r="E507" s="1" t="s">
        <v>64</v>
      </c>
      <c r="F507" s="1" t="s">
        <v>65</v>
      </c>
      <c r="G507" s="1" t="s">
        <v>42</v>
      </c>
      <c r="H507" s="1" t="s">
        <v>71</v>
      </c>
      <c r="I507" s="1" t="s">
        <v>72</v>
      </c>
      <c r="J507" s="1" t="s">
        <v>73</v>
      </c>
      <c r="K507" s="1" t="s">
        <v>28</v>
      </c>
      <c r="L507">
        <v>2</v>
      </c>
      <c r="M507">
        <v>2199</v>
      </c>
      <c r="N507">
        <v>0.2</v>
      </c>
      <c r="O507">
        <v>3518.4</v>
      </c>
      <c r="P507">
        <v>1250</v>
      </c>
      <c r="Q507">
        <v>2500</v>
      </c>
      <c r="R507">
        <v>80</v>
      </c>
      <c r="S507">
        <v>938.4</v>
      </c>
    </row>
    <row r="508" spans="1:19" x14ac:dyDescent="0.3">
      <c r="A508" s="1" t="s">
        <v>895</v>
      </c>
      <c r="B508" s="4">
        <v>45538</v>
      </c>
      <c r="C508" s="1" t="s">
        <v>696</v>
      </c>
      <c r="D508" s="1" t="s">
        <v>48</v>
      </c>
      <c r="E508" s="1" t="s">
        <v>64</v>
      </c>
      <c r="F508" s="1" t="s">
        <v>65</v>
      </c>
      <c r="G508" s="1" t="s">
        <v>33</v>
      </c>
      <c r="H508" s="1" t="s">
        <v>34</v>
      </c>
      <c r="I508" s="1" t="s">
        <v>51</v>
      </c>
      <c r="J508" s="1" t="s">
        <v>52</v>
      </c>
      <c r="K508" s="1" t="s">
        <v>37</v>
      </c>
      <c r="L508">
        <v>1</v>
      </c>
      <c r="M508">
        <v>499</v>
      </c>
      <c r="N508">
        <v>0.2</v>
      </c>
      <c r="O508">
        <v>399.2</v>
      </c>
      <c r="P508">
        <v>180</v>
      </c>
      <c r="Q508">
        <v>180</v>
      </c>
      <c r="R508">
        <v>40</v>
      </c>
      <c r="S508">
        <v>179.2</v>
      </c>
    </row>
    <row r="509" spans="1:19" x14ac:dyDescent="0.3">
      <c r="A509" s="1" t="s">
        <v>896</v>
      </c>
      <c r="B509" s="4">
        <v>45539</v>
      </c>
      <c r="C509" s="1" t="s">
        <v>583</v>
      </c>
      <c r="D509" s="1" t="s">
        <v>40</v>
      </c>
      <c r="E509" s="1" t="s">
        <v>112</v>
      </c>
      <c r="F509" s="1" t="s">
        <v>113</v>
      </c>
      <c r="G509" s="1" t="s">
        <v>24</v>
      </c>
      <c r="H509" s="1" t="s">
        <v>25</v>
      </c>
      <c r="I509" s="1" t="s">
        <v>85</v>
      </c>
      <c r="J509" s="1" t="s">
        <v>86</v>
      </c>
      <c r="K509" s="1" t="s">
        <v>45</v>
      </c>
      <c r="L509">
        <v>4</v>
      </c>
      <c r="M509">
        <v>599</v>
      </c>
      <c r="N509">
        <v>0.15</v>
      </c>
      <c r="O509">
        <v>2036.6</v>
      </c>
      <c r="P509">
        <v>240</v>
      </c>
      <c r="Q509">
        <v>960</v>
      </c>
      <c r="R509">
        <v>60</v>
      </c>
      <c r="S509">
        <v>1016.6</v>
      </c>
    </row>
    <row r="510" spans="1:19" x14ac:dyDescent="0.3">
      <c r="A510" s="1" t="s">
        <v>897</v>
      </c>
      <c r="B510" s="4">
        <v>45540</v>
      </c>
      <c r="C510" s="1" t="s">
        <v>367</v>
      </c>
      <c r="D510" s="1" t="s">
        <v>48</v>
      </c>
      <c r="E510" s="1" t="s">
        <v>80</v>
      </c>
      <c r="F510" s="1" t="s">
        <v>55</v>
      </c>
      <c r="G510" s="1" t="s">
        <v>42</v>
      </c>
      <c r="H510" s="1" t="s">
        <v>34</v>
      </c>
      <c r="I510" s="1" t="s">
        <v>51</v>
      </c>
      <c r="J510" s="1" t="s">
        <v>52</v>
      </c>
      <c r="K510" s="1" t="s">
        <v>37</v>
      </c>
      <c r="L510">
        <v>3</v>
      </c>
      <c r="M510">
        <v>499</v>
      </c>
      <c r="N510">
        <v>0</v>
      </c>
      <c r="O510">
        <v>1497</v>
      </c>
      <c r="P510">
        <v>180</v>
      </c>
      <c r="Q510">
        <v>540</v>
      </c>
      <c r="R510">
        <v>40</v>
      </c>
      <c r="S510">
        <v>917</v>
      </c>
    </row>
    <row r="511" spans="1:19" x14ac:dyDescent="0.3">
      <c r="A511" s="1" t="s">
        <v>898</v>
      </c>
      <c r="B511" s="4">
        <v>45540</v>
      </c>
      <c r="C511" s="1" t="s">
        <v>367</v>
      </c>
      <c r="D511" s="1" t="s">
        <v>48</v>
      </c>
      <c r="E511" s="1" t="s">
        <v>41</v>
      </c>
      <c r="F511" s="1" t="s">
        <v>32</v>
      </c>
      <c r="G511" s="1" t="s">
        <v>42</v>
      </c>
      <c r="H511" s="1" t="s">
        <v>89</v>
      </c>
      <c r="I511" s="1" t="s">
        <v>51</v>
      </c>
      <c r="J511" s="1" t="s">
        <v>52</v>
      </c>
      <c r="K511" s="1" t="s">
        <v>37</v>
      </c>
      <c r="L511">
        <v>2</v>
      </c>
      <c r="M511">
        <v>499</v>
      </c>
      <c r="N511">
        <v>0.2</v>
      </c>
      <c r="O511">
        <v>798.4</v>
      </c>
      <c r="P511">
        <v>180</v>
      </c>
      <c r="Q511">
        <v>360</v>
      </c>
      <c r="R511">
        <v>40</v>
      </c>
      <c r="S511">
        <v>398.4</v>
      </c>
    </row>
    <row r="512" spans="1:19" x14ac:dyDescent="0.3">
      <c r="A512" s="1" t="s">
        <v>899</v>
      </c>
      <c r="B512" s="4">
        <v>45541</v>
      </c>
      <c r="C512" s="1" t="s">
        <v>900</v>
      </c>
      <c r="D512" s="1" t="s">
        <v>48</v>
      </c>
      <c r="E512" s="1" t="s">
        <v>64</v>
      </c>
      <c r="F512" s="1" t="s">
        <v>65</v>
      </c>
      <c r="G512" s="1" t="s">
        <v>42</v>
      </c>
      <c r="H512" s="1" t="s">
        <v>56</v>
      </c>
      <c r="I512" s="1" t="s">
        <v>81</v>
      </c>
      <c r="J512" s="1" t="s">
        <v>82</v>
      </c>
      <c r="K512" s="1" t="s">
        <v>61</v>
      </c>
      <c r="L512">
        <v>1</v>
      </c>
      <c r="M512">
        <v>2999</v>
      </c>
      <c r="N512">
        <v>0.05</v>
      </c>
      <c r="O512">
        <v>2849.05</v>
      </c>
      <c r="P512">
        <v>1750</v>
      </c>
      <c r="Q512">
        <v>1750</v>
      </c>
      <c r="R512">
        <v>40</v>
      </c>
      <c r="S512">
        <v>1059.05</v>
      </c>
    </row>
    <row r="513" spans="1:19" x14ac:dyDescent="0.3">
      <c r="A513" s="1" t="s">
        <v>901</v>
      </c>
      <c r="B513" s="4">
        <v>45541</v>
      </c>
      <c r="C513" s="1" t="s">
        <v>902</v>
      </c>
      <c r="D513" s="1" t="s">
        <v>40</v>
      </c>
      <c r="E513" s="1" t="s">
        <v>80</v>
      </c>
      <c r="F513" s="1" t="s">
        <v>55</v>
      </c>
      <c r="G513" s="1" t="s">
        <v>42</v>
      </c>
      <c r="H513" s="1" t="s">
        <v>89</v>
      </c>
      <c r="I513" s="1" t="s">
        <v>26</v>
      </c>
      <c r="J513" s="1" t="s">
        <v>27</v>
      </c>
      <c r="K513" s="1" t="s">
        <v>28</v>
      </c>
      <c r="L513">
        <v>2</v>
      </c>
      <c r="M513">
        <v>799</v>
      </c>
      <c r="N513">
        <v>0.05</v>
      </c>
      <c r="O513">
        <v>1518.1</v>
      </c>
      <c r="P513">
        <v>420</v>
      </c>
      <c r="Q513">
        <v>840</v>
      </c>
      <c r="R513">
        <v>100</v>
      </c>
      <c r="S513">
        <v>578.1</v>
      </c>
    </row>
    <row r="514" spans="1:19" x14ac:dyDescent="0.3">
      <c r="A514" s="1" t="s">
        <v>903</v>
      </c>
      <c r="B514" s="4">
        <v>45542</v>
      </c>
      <c r="C514" s="1" t="s">
        <v>904</v>
      </c>
      <c r="D514" s="1" t="s">
        <v>40</v>
      </c>
      <c r="E514" s="1" t="s">
        <v>120</v>
      </c>
      <c r="F514" s="1" t="s">
        <v>121</v>
      </c>
      <c r="G514" s="1" t="s">
        <v>42</v>
      </c>
      <c r="H514" s="1" t="s">
        <v>89</v>
      </c>
      <c r="I514" s="1" t="s">
        <v>72</v>
      </c>
      <c r="J514" s="1" t="s">
        <v>73</v>
      </c>
      <c r="K514" s="1" t="s">
        <v>28</v>
      </c>
      <c r="L514">
        <v>1</v>
      </c>
      <c r="M514">
        <v>2199</v>
      </c>
      <c r="N514">
        <v>0.1</v>
      </c>
      <c r="O514">
        <v>1979.1</v>
      </c>
      <c r="P514">
        <v>1250</v>
      </c>
      <c r="Q514">
        <v>1250</v>
      </c>
      <c r="R514">
        <v>40</v>
      </c>
      <c r="S514">
        <v>689.1</v>
      </c>
    </row>
    <row r="515" spans="1:19" x14ac:dyDescent="0.3">
      <c r="A515" s="1" t="s">
        <v>905</v>
      </c>
      <c r="B515" s="4">
        <v>45542</v>
      </c>
      <c r="C515" s="1" t="s">
        <v>338</v>
      </c>
      <c r="D515" s="1" t="s">
        <v>21</v>
      </c>
      <c r="E515" s="1" t="s">
        <v>31</v>
      </c>
      <c r="F515" s="1" t="s">
        <v>32</v>
      </c>
      <c r="G515" s="1" t="s">
        <v>33</v>
      </c>
      <c r="H515" s="1" t="s">
        <v>71</v>
      </c>
      <c r="I515" s="1" t="s">
        <v>59</v>
      </c>
      <c r="J515" s="1" t="s">
        <v>60</v>
      </c>
      <c r="K515" s="1" t="s">
        <v>61</v>
      </c>
      <c r="L515">
        <v>2</v>
      </c>
      <c r="M515">
        <v>999</v>
      </c>
      <c r="N515">
        <v>0.2</v>
      </c>
      <c r="O515">
        <v>1598.4</v>
      </c>
      <c r="P515">
        <v>520</v>
      </c>
      <c r="Q515">
        <v>1040</v>
      </c>
      <c r="R515">
        <v>40</v>
      </c>
      <c r="S515">
        <v>518.4</v>
      </c>
    </row>
    <row r="516" spans="1:19" x14ac:dyDescent="0.3">
      <c r="A516" s="1" t="s">
        <v>906</v>
      </c>
      <c r="B516" s="4">
        <v>45543</v>
      </c>
      <c r="C516" s="1" t="s">
        <v>907</v>
      </c>
      <c r="D516" s="1" t="s">
        <v>48</v>
      </c>
      <c r="E516" s="1" t="s">
        <v>120</v>
      </c>
      <c r="F516" s="1" t="s">
        <v>121</v>
      </c>
      <c r="G516" s="1" t="s">
        <v>24</v>
      </c>
      <c r="H516" s="1" t="s">
        <v>25</v>
      </c>
      <c r="I516" s="1" t="s">
        <v>85</v>
      </c>
      <c r="J516" s="1" t="s">
        <v>86</v>
      </c>
      <c r="K516" s="1" t="s">
        <v>45</v>
      </c>
      <c r="L516">
        <v>2</v>
      </c>
      <c r="M516">
        <v>599</v>
      </c>
      <c r="N516">
        <v>0.2</v>
      </c>
      <c r="O516">
        <v>958.4</v>
      </c>
      <c r="P516">
        <v>240</v>
      </c>
      <c r="Q516">
        <v>480</v>
      </c>
      <c r="R516">
        <v>0</v>
      </c>
      <c r="S516">
        <v>478.4</v>
      </c>
    </row>
    <row r="517" spans="1:19" x14ac:dyDescent="0.3">
      <c r="A517" s="1" t="s">
        <v>908</v>
      </c>
      <c r="B517" s="4">
        <v>45544</v>
      </c>
      <c r="C517" s="1" t="s">
        <v>654</v>
      </c>
      <c r="D517" s="1" t="s">
        <v>40</v>
      </c>
      <c r="E517" s="1" t="s">
        <v>41</v>
      </c>
      <c r="F517" s="1" t="s">
        <v>32</v>
      </c>
      <c r="G517" s="1" t="s">
        <v>42</v>
      </c>
      <c r="H517" s="1" t="s">
        <v>34</v>
      </c>
      <c r="I517" s="1" t="s">
        <v>51</v>
      </c>
      <c r="J517" s="1" t="s">
        <v>52</v>
      </c>
      <c r="K517" s="1" t="s">
        <v>37</v>
      </c>
      <c r="L517">
        <v>1</v>
      </c>
      <c r="M517">
        <v>499</v>
      </c>
      <c r="N517">
        <v>0.1</v>
      </c>
      <c r="O517">
        <v>449.1</v>
      </c>
      <c r="P517">
        <v>180</v>
      </c>
      <c r="Q517">
        <v>180</v>
      </c>
      <c r="R517">
        <v>60</v>
      </c>
      <c r="S517">
        <v>209.1</v>
      </c>
    </row>
    <row r="518" spans="1:19" x14ac:dyDescent="0.3">
      <c r="A518" s="1" t="s">
        <v>909</v>
      </c>
      <c r="B518" s="4">
        <v>45545</v>
      </c>
      <c r="C518" s="1" t="s">
        <v>504</v>
      </c>
      <c r="D518" s="1" t="s">
        <v>21</v>
      </c>
      <c r="E518" s="1" t="s">
        <v>41</v>
      </c>
      <c r="F518" s="1" t="s">
        <v>32</v>
      </c>
      <c r="G518" s="1" t="s">
        <v>33</v>
      </c>
      <c r="H518" s="1" t="s">
        <v>25</v>
      </c>
      <c r="I518" s="1" t="s">
        <v>76</v>
      </c>
      <c r="J518" s="1" t="s">
        <v>77</v>
      </c>
      <c r="K518" s="1" t="s">
        <v>37</v>
      </c>
      <c r="L518">
        <v>1</v>
      </c>
      <c r="M518">
        <v>6999</v>
      </c>
      <c r="N518">
        <v>0.15</v>
      </c>
      <c r="O518">
        <v>5949.15</v>
      </c>
      <c r="P518">
        <v>4900</v>
      </c>
      <c r="Q518">
        <v>4900</v>
      </c>
      <c r="R518">
        <v>80</v>
      </c>
      <c r="S518">
        <v>969.15</v>
      </c>
    </row>
    <row r="519" spans="1:19" x14ac:dyDescent="0.3">
      <c r="A519" s="1" t="s">
        <v>910</v>
      </c>
      <c r="B519" s="4">
        <v>45545</v>
      </c>
      <c r="C519" s="1" t="s">
        <v>329</v>
      </c>
      <c r="D519" s="1" t="s">
        <v>21</v>
      </c>
      <c r="E519" s="1" t="s">
        <v>49</v>
      </c>
      <c r="F519" s="1" t="s">
        <v>50</v>
      </c>
      <c r="G519" s="1" t="s">
        <v>24</v>
      </c>
      <c r="H519" s="1" t="s">
        <v>25</v>
      </c>
      <c r="I519" s="1" t="s">
        <v>51</v>
      </c>
      <c r="J519" s="1" t="s">
        <v>52</v>
      </c>
      <c r="K519" s="1" t="s">
        <v>37</v>
      </c>
      <c r="L519">
        <v>3</v>
      </c>
      <c r="M519">
        <v>499</v>
      </c>
      <c r="N519">
        <v>0.15</v>
      </c>
      <c r="O519">
        <v>1272.45</v>
      </c>
      <c r="P519">
        <v>180</v>
      </c>
      <c r="Q519">
        <v>540</v>
      </c>
      <c r="R519">
        <v>40</v>
      </c>
      <c r="S519">
        <v>692.45</v>
      </c>
    </row>
    <row r="520" spans="1:19" x14ac:dyDescent="0.3">
      <c r="A520" s="1" t="s">
        <v>911</v>
      </c>
      <c r="B520" s="4">
        <v>45546</v>
      </c>
      <c r="C520" s="1" t="s">
        <v>140</v>
      </c>
      <c r="D520" s="1" t="s">
        <v>40</v>
      </c>
      <c r="E520" s="1" t="s">
        <v>80</v>
      </c>
      <c r="F520" s="1" t="s">
        <v>55</v>
      </c>
      <c r="G520" s="1" t="s">
        <v>33</v>
      </c>
      <c r="H520" s="1" t="s">
        <v>71</v>
      </c>
      <c r="I520" s="1" t="s">
        <v>35</v>
      </c>
      <c r="J520" s="1" t="s">
        <v>36</v>
      </c>
      <c r="K520" s="1" t="s">
        <v>37</v>
      </c>
      <c r="L520">
        <v>1</v>
      </c>
      <c r="M520">
        <v>1299</v>
      </c>
      <c r="N520">
        <v>0.2</v>
      </c>
      <c r="O520">
        <v>1039.2</v>
      </c>
      <c r="P520">
        <v>700</v>
      </c>
      <c r="Q520">
        <v>700</v>
      </c>
      <c r="R520">
        <v>60</v>
      </c>
      <c r="S520">
        <v>279.2</v>
      </c>
    </row>
    <row r="521" spans="1:19" x14ac:dyDescent="0.3">
      <c r="A521" s="1" t="s">
        <v>912</v>
      </c>
      <c r="B521" s="4">
        <v>45547</v>
      </c>
      <c r="C521" s="1" t="s">
        <v>123</v>
      </c>
      <c r="D521" s="1" t="s">
        <v>21</v>
      </c>
      <c r="E521" s="1" t="s">
        <v>112</v>
      </c>
      <c r="F521" s="1" t="s">
        <v>113</v>
      </c>
      <c r="G521" s="1" t="s">
        <v>42</v>
      </c>
      <c r="H521" s="1" t="s">
        <v>34</v>
      </c>
      <c r="I521" s="1" t="s">
        <v>92</v>
      </c>
      <c r="J521" s="1" t="s">
        <v>93</v>
      </c>
      <c r="K521" s="1" t="s">
        <v>28</v>
      </c>
      <c r="L521">
        <v>2</v>
      </c>
      <c r="M521">
        <v>1599</v>
      </c>
      <c r="N521">
        <v>0.2</v>
      </c>
      <c r="O521">
        <v>2558.4</v>
      </c>
      <c r="P521">
        <v>900</v>
      </c>
      <c r="Q521">
        <v>1800</v>
      </c>
      <c r="R521">
        <v>80</v>
      </c>
      <c r="S521">
        <v>678.4</v>
      </c>
    </row>
    <row r="522" spans="1:19" x14ac:dyDescent="0.3">
      <c r="A522" s="1" t="s">
        <v>913</v>
      </c>
      <c r="B522" s="4">
        <v>45547</v>
      </c>
      <c r="C522" s="1" t="s">
        <v>914</v>
      </c>
      <c r="D522" s="1" t="s">
        <v>21</v>
      </c>
      <c r="E522" s="1" t="s">
        <v>41</v>
      </c>
      <c r="F522" s="1" t="s">
        <v>32</v>
      </c>
      <c r="G522" s="1" t="s">
        <v>42</v>
      </c>
      <c r="H522" s="1" t="s">
        <v>34</v>
      </c>
      <c r="I522" s="1" t="s">
        <v>35</v>
      </c>
      <c r="J522" s="1" t="s">
        <v>36</v>
      </c>
      <c r="K522" s="1" t="s">
        <v>37</v>
      </c>
      <c r="L522">
        <v>3</v>
      </c>
      <c r="M522">
        <v>1299</v>
      </c>
      <c r="N522">
        <v>0.05</v>
      </c>
      <c r="O522">
        <v>3702.15</v>
      </c>
      <c r="P522">
        <v>700</v>
      </c>
      <c r="Q522">
        <v>2100</v>
      </c>
      <c r="R522">
        <v>40</v>
      </c>
      <c r="S522">
        <v>1562.15</v>
      </c>
    </row>
    <row r="523" spans="1:19" x14ac:dyDescent="0.3">
      <c r="A523" s="1" t="s">
        <v>915</v>
      </c>
      <c r="B523" s="4">
        <v>45547</v>
      </c>
      <c r="C523" s="1" t="s">
        <v>580</v>
      </c>
      <c r="D523" s="1" t="s">
        <v>40</v>
      </c>
      <c r="E523" s="1" t="s">
        <v>54</v>
      </c>
      <c r="F523" s="1" t="s">
        <v>55</v>
      </c>
      <c r="G523" s="1" t="s">
        <v>42</v>
      </c>
      <c r="H523" s="1" t="s">
        <v>56</v>
      </c>
      <c r="I523" s="1" t="s">
        <v>66</v>
      </c>
      <c r="J523" s="1" t="s">
        <v>67</v>
      </c>
      <c r="K523" s="1" t="s">
        <v>28</v>
      </c>
      <c r="L523">
        <v>2</v>
      </c>
      <c r="M523">
        <v>2499</v>
      </c>
      <c r="N523">
        <v>0</v>
      </c>
      <c r="O523">
        <v>4998</v>
      </c>
      <c r="P523">
        <v>1450</v>
      </c>
      <c r="Q523">
        <v>2900</v>
      </c>
      <c r="R523">
        <v>0</v>
      </c>
      <c r="S523">
        <v>2098</v>
      </c>
    </row>
    <row r="524" spans="1:19" x14ac:dyDescent="0.3">
      <c r="A524" s="1" t="s">
        <v>916</v>
      </c>
      <c r="B524" s="4">
        <v>45548</v>
      </c>
      <c r="C524" s="1" t="s">
        <v>676</v>
      </c>
      <c r="D524" s="1" t="s">
        <v>40</v>
      </c>
      <c r="E524" s="1" t="s">
        <v>41</v>
      </c>
      <c r="F524" s="1" t="s">
        <v>32</v>
      </c>
      <c r="G524" s="1" t="s">
        <v>42</v>
      </c>
      <c r="H524" s="1" t="s">
        <v>34</v>
      </c>
      <c r="I524" s="1" t="s">
        <v>43</v>
      </c>
      <c r="J524" s="1" t="s">
        <v>44</v>
      </c>
      <c r="K524" s="1" t="s">
        <v>45</v>
      </c>
      <c r="L524">
        <v>1</v>
      </c>
      <c r="M524">
        <v>1799</v>
      </c>
      <c r="N524">
        <v>0.1</v>
      </c>
      <c r="O524">
        <v>1619.1</v>
      </c>
      <c r="P524">
        <v>850</v>
      </c>
      <c r="Q524">
        <v>850</v>
      </c>
      <c r="R524">
        <v>40</v>
      </c>
      <c r="S524">
        <v>729.1</v>
      </c>
    </row>
    <row r="525" spans="1:19" x14ac:dyDescent="0.3">
      <c r="A525" s="1" t="s">
        <v>917</v>
      </c>
      <c r="B525" s="4">
        <v>45548</v>
      </c>
      <c r="C525" s="1" t="s">
        <v>918</v>
      </c>
      <c r="D525" s="1" t="s">
        <v>48</v>
      </c>
      <c r="E525" s="1" t="s">
        <v>22</v>
      </c>
      <c r="F525" s="1" t="s">
        <v>23</v>
      </c>
      <c r="G525" s="1" t="s">
        <v>33</v>
      </c>
      <c r="H525" s="1" t="s">
        <v>56</v>
      </c>
      <c r="I525" s="1" t="s">
        <v>26</v>
      </c>
      <c r="J525" s="1" t="s">
        <v>27</v>
      </c>
      <c r="K525" s="1" t="s">
        <v>28</v>
      </c>
      <c r="L525">
        <v>2</v>
      </c>
      <c r="M525">
        <v>799</v>
      </c>
      <c r="N525">
        <v>0.1</v>
      </c>
      <c r="O525">
        <v>1438.2</v>
      </c>
      <c r="P525">
        <v>420</v>
      </c>
      <c r="Q525">
        <v>840</v>
      </c>
      <c r="R525">
        <v>100</v>
      </c>
      <c r="S525">
        <v>498.2</v>
      </c>
    </row>
    <row r="526" spans="1:19" x14ac:dyDescent="0.3">
      <c r="A526" s="1" t="s">
        <v>919</v>
      </c>
      <c r="B526" s="4">
        <v>45549</v>
      </c>
      <c r="C526" s="1" t="s">
        <v>565</v>
      </c>
      <c r="D526" s="1" t="s">
        <v>48</v>
      </c>
      <c r="E526" s="1" t="s">
        <v>70</v>
      </c>
      <c r="F526" s="1" t="s">
        <v>70</v>
      </c>
      <c r="G526" s="1" t="s">
        <v>33</v>
      </c>
      <c r="H526" s="1" t="s">
        <v>25</v>
      </c>
      <c r="I526" s="1" t="s">
        <v>43</v>
      </c>
      <c r="J526" s="1" t="s">
        <v>44</v>
      </c>
      <c r="K526" s="1" t="s">
        <v>45</v>
      </c>
      <c r="L526">
        <v>2</v>
      </c>
      <c r="M526">
        <v>1799</v>
      </c>
      <c r="N526">
        <v>0.05</v>
      </c>
      <c r="O526">
        <v>3418.1</v>
      </c>
      <c r="P526">
        <v>850</v>
      </c>
      <c r="Q526">
        <v>1700</v>
      </c>
      <c r="R526">
        <v>40</v>
      </c>
      <c r="S526">
        <v>1678.1</v>
      </c>
    </row>
    <row r="527" spans="1:19" x14ac:dyDescent="0.3">
      <c r="A527" s="1" t="s">
        <v>920</v>
      </c>
      <c r="B527" s="4">
        <v>45549</v>
      </c>
      <c r="C527" s="1" t="s">
        <v>486</v>
      </c>
      <c r="D527" s="1" t="s">
        <v>21</v>
      </c>
      <c r="E527" s="1" t="s">
        <v>80</v>
      </c>
      <c r="F527" s="1" t="s">
        <v>55</v>
      </c>
      <c r="G527" s="1" t="s">
        <v>33</v>
      </c>
      <c r="H527" s="1" t="s">
        <v>89</v>
      </c>
      <c r="I527" s="1" t="s">
        <v>43</v>
      </c>
      <c r="J527" s="1" t="s">
        <v>44</v>
      </c>
      <c r="K527" s="1" t="s">
        <v>45</v>
      </c>
      <c r="L527">
        <v>4</v>
      </c>
      <c r="M527">
        <v>1799</v>
      </c>
      <c r="N527">
        <v>0</v>
      </c>
      <c r="O527">
        <v>7196</v>
      </c>
      <c r="P527">
        <v>850</v>
      </c>
      <c r="Q527">
        <v>3400</v>
      </c>
      <c r="R527">
        <v>100</v>
      </c>
      <c r="S527">
        <v>3696</v>
      </c>
    </row>
    <row r="528" spans="1:19" x14ac:dyDescent="0.3">
      <c r="A528" s="1" t="s">
        <v>921</v>
      </c>
      <c r="B528" s="4">
        <v>45550</v>
      </c>
      <c r="C528" s="1" t="s">
        <v>576</v>
      </c>
      <c r="D528" s="1" t="s">
        <v>48</v>
      </c>
      <c r="E528" s="1" t="s">
        <v>124</v>
      </c>
      <c r="F528" s="1" t="s">
        <v>125</v>
      </c>
      <c r="G528" s="1" t="s">
        <v>24</v>
      </c>
      <c r="H528" s="1" t="s">
        <v>56</v>
      </c>
      <c r="I528" s="1" t="s">
        <v>72</v>
      </c>
      <c r="J528" s="1" t="s">
        <v>73</v>
      </c>
      <c r="K528" s="1" t="s">
        <v>28</v>
      </c>
      <c r="L528">
        <v>3</v>
      </c>
      <c r="M528">
        <v>2199</v>
      </c>
      <c r="N528">
        <v>0.15</v>
      </c>
      <c r="O528">
        <v>5607.45</v>
      </c>
      <c r="P528">
        <v>1250</v>
      </c>
      <c r="Q528">
        <v>3750</v>
      </c>
      <c r="R528">
        <v>40</v>
      </c>
      <c r="S528">
        <v>1817.45</v>
      </c>
    </row>
    <row r="529" spans="1:19" x14ac:dyDescent="0.3">
      <c r="A529" s="1" t="s">
        <v>922</v>
      </c>
      <c r="B529" s="4">
        <v>45550</v>
      </c>
      <c r="C529" s="1" t="s">
        <v>379</v>
      </c>
      <c r="D529" s="1" t="s">
        <v>40</v>
      </c>
      <c r="E529" s="1" t="s">
        <v>49</v>
      </c>
      <c r="F529" s="1" t="s">
        <v>50</v>
      </c>
      <c r="G529" s="1" t="s">
        <v>33</v>
      </c>
      <c r="H529" s="1" t="s">
        <v>89</v>
      </c>
      <c r="I529" s="1" t="s">
        <v>43</v>
      </c>
      <c r="J529" s="1" t="s">
        <v>44</v>
      </c>
      <c r="K529" s="1" t="s">
        <v>45</v>
      </c>
      <c r="L529">
        <v>2</v>
      </c>
      <c r="M529">
        <v>1799</v>
      </c>
      <c r="N529">
        <v>0.05</v>
      </c>
      <c r="O529">
        <v>3418.1</v>
      </c>
      <c r="P529">
        <v>850</v>
      </c>
      <c r="Q529">
        <v>1700</v>
      </c>
      <c r="R529">
        <v>40</v>
      </c>
      <c r="S529">
        <v>1678.1</v>
      </c>
    </row>
    <row r="530" spans="1:19" x14ac:dyDescent="0.3">
      <c r="A530" s="1" t="s">
        <v>923</v>
      </c>
      <c r="B530" s="4">
        <v>45550</v>
      </c>
      <c r="C530" s="1" t="s">
        <v>688</v>
      </c>
      <c r="D530" s="1" t="s">
        <v>48</v>
      </c>
      <c r="E530" s="1" t="s">
        <v>31</v>
      </c>
      <c r="F530" s="1" t="s">
        <v>32</v>
      </c>
      <c r="G530" s="1" t="s">
        <v>33</v>
      </c>
      <c r="H530" s="1" t="s">
        <v>25</v>
      </c>
      <c r="I530" s="1" t="s">
        <v>72</v>
      </c>
      <c r="J530" s="1" t="s">
        <v>73</v>
      </c>
      <c r="K530" s="1" t="s">
        <v>28</v>
      </c>
      <c r="L530">
        <v>1</v>
      </c>
      <c r="M530">
        <v>2199</v>
      </c>
      <c r="N530">
        <v>0.15</v>
      </c>
      <c r="O530">
        <v>1869.15</v>
      </c>
      <c r="P530">
        <v>1250</v>
      </c>
      <c r="Q530">
        <v>1250</v>
      </c>
      <c r="R530">
        <v>80</v>
      </c>
      <c r="S530">
        <v>539.15</v>
      </c>
    </row>
    <row r="531" spans="1:19" x14ac:dyDescent="0.3">
      <c r="A531" s="1" t="s">
        <v>924</v>
      </c>
      <c r="B531" s="4">
        <v>45551</v>
      </c>
      <c r="C531" s="1" t="s">
        <v>925</v>
      </c>
      <c r="D531" s="1" t="s">
        <v>48</v>
      </c>
      <c r="E531" s="1" t="s">
        <v>96</v>
      </c>
      <c r="F531" s="1" t="s">
        <v>97</v>
      </c>
      <c r="G531" s="1" t="s">
        <v>42</v>
      </c>
      <c r="H531" s="1" t="s">
        <v>56</v>
      </c>
      <c r="I531" s="1" t="s">
        <v>35</v>
      </c>
      <c r="J531" s="1" t="s">
        <v>36</v>
      </c>
      <c r="K531" s="1" t="s">
        <v>37</v>
      </c>
      <c r="L531">
        <v>2</v>
      </c>
      <c r="M531">
        <v>1299</v>
      </c>
      <c r="N531">
        <v>0.2</v>
      </c>
      <c r="O531">
        <v>2078.4</v>
      </c>
      <c r="P531">
        <v>700</v>
      </c>
      <c r="Q531">
        <v>1400</v>
      </c>
      <c r="R531">
        <v>80</v>
      </c>
      <c r="S531">
        <v>598.4</v>
      </c>
    </row>
    <row r="532" spans="1:19" x14ac:dyDescent="0.3">
      <c r="A532" s="1" t="s">
        <v>926</v>
      </c>
      <c r="B532" s="4">
        <v>45551</v>
      </c>
      <c r="C532" s="1" t="s">
        <v>927</v>
      </c>
      <c r="D532" s="1" t="s">
        <v>21</v>
      </c>
      <c r="E532" s="1" t="s">
        <v>124</v>
      </c>
      <c r="F532" s="1" t="s">
        <v>125</v>
      </c>
      <c r="G532" s="1" t="s">
        <v>24</v>
      </c>
      <c r="H532" s="1" t="s">
        <v>34</v>
      </c>
      <c r="I532" s="1" t="s">
        <v>35</v>
      </c>
      <c r="J532" s="1" t="s">
        <v>36</v>
      </c>
      <c r="K532" s="1" t="s">
        <v>37</v>
      </c>
      <c r="L532">
        <v>3</v>
      </c>
      <c r="M532">
        <v>1299</v>
      </c>
      <c r="N532">
        <v>0.1</v>
      </c>
      <c r="O532">
        <v>3507.3</v>
      </c>
      <c r="P532">
        <v>700</v>
      </c>
      <c r="Q532">
        <v>2100</v>
      </c>
      <c r="R532">
        <v>100</v>
      </c>
      <c r="S532">
        <v>1307.3</v>
      </c>
    </row>
    <row r="533" spans="1:19" x14ac:dyDescent="0.3">
      <c r="A533" s="1" t="s">
        <v>928</v>
      </c>
      <c r="B533" s="4">
        <v>45551</v>
      </c>
      <c r="C533" s="1" t="s">
        <v>290</v>
      </c>
      <c r="D533" s="1" t="s">
        <v>48</v>
      </c>
      <c r="E533" s="1" t="s">
        <v>41</v>
      </c>
      <c r="F533" s="1" t="s">
        <v>32</v>
      </c>
      <c r="G533" s="1" t="s">
        <v>42</v>
      </c>
      <c r="H533" s="1" t="s">
        <v>34</v>
      </c>
      <c r="I533" s="1" t="s">
        <v>85</v>
      </c>
      <c r="J533" s="1" t="s">
        <v>86</v>
      </c>
      <c r="K533" s="1" t="s">
        <v>45</v>
      </c>
      <c r="L533">
        <v>1</v>
      </c>
      <c r="M533">
        <v>599</v>
      </c>
      <c r="N533">
        <v>0.2</v>
      </c>
      <c r="O533">
        <v>479.2</v>
      </c>
      <c r="P533">
        <v>240</v>
      </c>
      <c r="Q533">
        <v>240</v>
      </c>
      <c r="R533">
        <v>60</v>
      </c>
      <c r="S533">
        <v>179.2</v>
      </c>
    </row>
    <row r="534" spans="1:19" x14ac:dyDescent="0.3">
      <c r="A534" s="1" t="s">
        <v>929</v>
      </c>
      <c r="B534" s="4">
        <v>45552</v>
      </c>
      <c r="C534" s="1" t="s">
        <v>930</v>
      </c>
      <c r="D534" s="1" t="s">
        <v>40</v>
      </c>
      <c r="E534" s="1" t="s">
        <v>120</v>
      </c>
      <c r="F534" s="1" t="s">
        <v>121</v>
      </c>
      <c r="G534" s="1" t="s">
        <v>24</v>
      </c>
      <c r="H534" s="1" t="s">
        <v>71</v>
      </c>
      <c r="I534" s="1" t="s">
        <v>76</v>
      </c>
      <c r="J534" s="1" t="s">
        <v>77</v>
      </c>
      <c r="K534" s="1" t="s">
        <v>37</v>
      </c>
      <c r="L534">
        <v>1</v>
      </c>
      <c r="M534">
        <v>6999</v>
      </c>
      <c r="N534">
        <v>0.2</v>
      </c>
      <c r="O534">
        <v>5599.2</v>
      </c>
      <c r="P534">
        <v>4900</v>
      </c>
      <c r="Q534">
        <v>4900</v>
      </c>
      <c r="R534">
        <v>40</v>
      </c>
      <c r="S534">
        <v>659.2</v>
      </c>
    </row>
    <row r="535" spans="1:19" x14ac:dyDescent="0.3">
      <c r="A535" s="1" t="s">
        <v>931</v>
      </c>
      <c r="B535" s="4">
        <v>45553</v>
      </c>
      <c r="C535" s="1" t="s">
        <v>218</v>
      </c>
      <c r="D535" s="1" t="s">
        <v>21</v>
      </c>
      <c r="E535" s="1" t="s">
        <v>54</v>
      </c>
      <c r="F535" s="1" t="s">
        <v>55</v>
      </c>
      <c r="G535" s="1" t="s">
        <v>42</v>
      </c>
      <c r="H535" s="1" t="s">
        <v>25</v>
      </c>
      <c r="I535" s="1" t="s">
        <v>66</v>
      </c>
      <c r="J535" s="1" t="s">
        <v>67</v>
      </c>
      <c r="K535" s="1" t="s">
        <v>28</v>
      </c>
      <c r="L535">
        <v>1</v>
      </c>
      <c r="M535">
        <v>2499</v>
      </c>
      <c r="N535">
        <v>0.1</v>
      </c>
      <c r="O535">
        <v>2249.1</v>
      </c>
      <c r="P535">
        <v>1450</v>
      </c>
      <c r="Q535">
        <v>1450</v>
      </c>
      <c r="R535">
        <v>40</v>
      </c>
      <c r="S535">
        <v>759.1</v>
      </c>
    </row>
    <row r="536" spans="1:19" x14ac:dyDescent="0.3">
      <c r="A536" s="1" t="s">
        <v>932</v>
      </c>
      <c r="B536" s="4">
        <v>45553</v>
      </c>
      <c r="C536" s="1" t="s">
        <v>192</v>
      </c>
      <c r="D536" s="1" t="s">
        <v>21</v>
      </c>
      <c r="E536" s="1" t="s">
        <v>22</v>
      </c>
      <c r="F536" s="1" t="s">
        <v>23</v>
      </c>
      <c r="G536" s="1" t="s">
        <v>24</v>
      </c>
      <c r="H536" s="1" t="s">
        <v>25</v>
      </c>
      <c r="I536" s="1" t="s">
        <v>92</v>
      </c>
      <c r="J536" s="1" t="s">
        <v>93</v>
      </c>
      <c r="K536" s="1" t="s">
        <v>28</v>
      </c>
      <c r="L536">
        <v>1</v>
      </c>
      <c r="M536">
        <v>1599</v>
      </c>
      <c r="N536">
        <v>0</v>
      </c>
      <c r="O536">
        <v>1599</v>
      </c>
      <c r="P536">
        <v>900</v>
      </c>
      <c r="Q536">
        <v>900</v>
      </c>
      <c r="R536">
        <v>100</v>
      </c>
      <c r="S536">
        <v>599</v>
      </c>
    </row>
    <row r="537" spans="1:19" x14ac:dyDescent="0.3">
      <c r="A537" s="1" t="s">
        <v>933</v>
      </c>
      <c r="B537" s="4">
        <v>45554</v>
      </c>
      <c r="C537" s="1" t="s">
        <v>578</v>
      </c>
      <c r="D537" s="1" t="s">
        <v>40</v>
      </c>
      <c r="E537" s="1" t="s">
        <v>64</v>
      </c>
      <c r="F537" s="1" t="s">
        <v>65</v>
      </c>
      <c r="G537" s="1" t="s">
        <v>42</v>
      </c>
      <c r="H537" s="1" t="s">
        <v>25</v>
      </c>
      <c r="I537" s="1" t="s">
        <v>76</v>
      </c>
      <c r="J537" s="1" t="s">
        <v>77</v>
      </c>
      <c r="K537" s="1" t="s">
        <v>37</v>
      </c>
      <c r="L537">
        <v>1</v>
      </c>
      <c r="M537">
        <v>6999</v>
      </c>
      <c r="N537">
        <v>0.05</v>
      </c>
      <c r="O537">
        <v>6649.05</v>
      </c>
      <c r="P537">
        <v>4900</v>
      </c>
      <c r="Q537">
        <v>4900</v>
      </c>
      <c r="R537">
        <v>60</v>
      </c>
      <c r="S537">
        <v>1689.05</v>
      </c>
    </row>
    <row r="538" spans="1:19" x14ac:dyDescent="0.3">
      <c r="A538" s="1" t="s">
        <v>934</v>
      </c>
      <c r="B538" s="4">
        <v>45555</v>
      </c>
      <c r="C538" s="1" t="s">
        <v>257</v>
      </c>
      <c r="D538" s="1" t="s">
        <v>40</v>
      </c>
      <c r="E538" s="1" t="s">
        <v>31</v>
      </c>
      <c r="F538" s="1" t="s">
        <v>32</v>
      </c>
      <c r="G538" s="1" t="s">
        <v>24</v>
      </c>
      <c r="H538" s="1" t="s">
        <v>25</v>
      </c>
      <c r="I538" s="1" t="s">
        <v>51</v>
      </c>
      <c r="J538" s="1" t="s">
        <v>52</v>
      </c>
      <c r="K538" s="1" t="s">
        <v>37</v>
      </c>
      <c r="L538">
        <v>1</v>
      </c>
      <c r="M538">
        <v>499</v>
      </c>
      <c r="N538">
        <v>0.2</v>
      </c>
      <c r="O538">
        <v>399.2</v>
      </c>
      <c r="P538">
        <v>180</v>
      </c>
      <c r="Q538">
        <v>180</v>
      </c>
      <c r="R538">
        <v>0</v>
      </c>
      <c r="S538">
        <v>219.2</v>
      </c>
    </row>
    <row r="539" spans="1:19" x14ac:dyDescent="0.3">
      <c r="A539" s="1" t="s">
        <v>935</v>
      </c>
      <c r="B539" s="4">
        <v>45557</v>
      </c>
      <c r="C539" s="1" t="s">
        <v>936</v>
      </c>
      <c r="D539" s="1" t="s">
        <v>48</v>
      </c>
      <c r="E539" s="1" t="s">
        <v>49</v>
      </c>
      <c r="F539" s="1" t="s">
        <v>50</v>
      </c>
      <c r="G539" s="1" t="s">
        <v>42</v>
      </c>
      <c r="H539" s="1" t="s">
        <v>89</v>
      </c>
      <c r="I539" s="1" t="s">
        <v>134</v>
      </c>
      <c r="J539" s="1" t="s">
        <v>135</v>
      </c>
      <c r="K539" s="1" t="s">
        <v>136</v>
      </c>
      <c r="L539">
        <v>3</v>
      </c>
      <c r="M539">
        <v>299</v>
      </c>
      <c r="N539">
        <v>0.15</v>
      </c>
      <c r="O539">
        <v>762.45</v>
      </c>
      <c r="P539">
        <v>110</v>
      </c>
      <c r="Q539">
        <v>330</v>
      </c>
      <c r="R539">
        <v>60</v>
      </c>
      <c r="S539">
        <v>372.45</v>
      </c>
    </row>
    <row r="540" spans="1:19" x14ac:dyDescent="0.3">
      <c r="A540" s="1" t="s">
        <v>937</v>
      </c>
      <c r="B540" s="4">
        <v>45558</v>
      </c>
      <c r="C540" s="1" t="s">
        <v>409</v>
      </c>
      <c r="D540" s="1" t="s">
        <v>48</v>
      </c>
      <c r="E540" s="1" t="s">
        <v>41</v>
      </c>
      <c r="F540" s="1" t="s">
        <v>32</v>
      </c>
      <c r="G540" s="1" t="s">
        <v>24</v>
      </c>
      <c r="H540" s="1" t="s">
        <v>25</v>
      </c>
      <c r="I540" s="1" t="s">
        <v>76</v>
      </c>
      <c r="J540" s="1" t="s">
        <v>77</v>
      </c>
      <c r="K540" s="1" t="s">
        <v>37</v>
      </c>
      <c r="L540">
        <v>1</v>
      </c>
      <c r="M540">
        <v>6999</v>
      </c>
      <c r="N540">
        <v>0</v>
      </c>
      <c r="O540">
        <v>6999</v>
      </c>
      <c r="P540">
        <v>4900</v>
      </c>
      <c r="Q540">
        <v>4900</v>
      </c>
      <c r="R540">
        <v>40</v>
      </c>
      <c r="S540">
        <v>2059</v>
      </c>
    </row>
    <row r="541" spans="1:19" x14ac:dyDescent="0.3">
      <c r="A541" s="1" t="s">
        <v>938</v>
      </c>
      <c r="B541" s="4">
        <v>45559</v>
      </c>
      <c r="C541" s="1" t="s">
        <v>206</v>
      </c>
      <c r="D541" s="1" t="s">
        <v>48</v>
      </c>
      <c r="E541" s="1" t="s">
        <v>112</v>
      </c>
      <c r="F541" s="1" t="s">
        <v>113</v>
      </c>
      <c r="G541" s="1" t="s">
        <v>24</v>
      </c>
      <c r="H541" s="1" t="s">
        <v>25</v>
      </c>
      <c r="I541" s="1" t="s">
        <v>26</v>
      </c>
      <c r="J541" s="1" t="s">
        <v>27</v>
      </c>
      <c r="K541" s="1" t="s">
        <v>28</v>
      </c>
      <c r="L541">
        <v>3</v>
      </c>
      <c r="M541">
        <v>799</v>
      </c>
      <c r="N541">
        <v>0.05</v>
      </c>
      <c r="O541">
        <v>2277.15</v>
      </c>
      <c r="P541">
        <v>420</v>
      </c>
      <c r="Q541">
        <v>1260</v>
      </c>
      <c r="R541">
        <v>60</v>
      </c>
      <c r="S541">
        <v>957.15</v>
      </c>
    </row>
    <row r="542" spans="1:19" x14ac:dyDescent="0.3">
      <c r="A542" s="1" t="s">
        <v>939</v>
      </c>
      <c r="B542" s="4">
        <v>45559</v>
      </c>
      <c r="C542" s="1" t="s">
        <v>437</v>
      </c>
      <c r="D542" s="1" t="s">
        <v>40</v>
      </c>
      <c r="E542" s="1" t="s">
        <v>54</v>
      </c>
      <c r="F542" s="1" t="s">
        <v>55</v>
      </c>
      <c r="G542" s="1" t="s">
        <v>33</v>
      </c>
      <c r="H542" s="1" t="s">
        <v>25</v>
      </c>
      <c r="I542" s="1" t="s">
        <v>85</v>
      </c>
      <c r="J542" s="1" t="s">
        <v>86</v>
      </c>
      <c r="K542" s="1" t="s">
        <v>45</v>
      </c>
      <c r="L542">
        <v>1</v>
      </c>
      <c r="M542">
        <v>599</v>
      </c>
      <c r="N542">
        <v>0.15</v>
      </c>
      <c r="O542">
        <v>509.15</v>
      </c>
      <c r="P542">
        <v>240</v>
      </c>
      <c r="Q542">
        <v>240</v>
      </c>
      <c r="R542">
        <v>100</v>
      </c>
      <c r="S542">
        <v>169.15</v>
      </c>
    </row>
    <row r="543" spans="1:19" x14ac:dyDescent="0.3">
      <c r="A543" s="1" t="s">
        <v>940</v>
      </c>
      <c r="B543" s="4">
        <v>45560</v>
      </c>
      <c r="C543" s="1" t="s">
        <v>794</v>
      </c>
      <c r="D543" s="1" t="s">
        <v>48</v>
      </c>
      <c r="E543" s="1" t="s">
        <v>31</v>
      </c>
      <c r="F543" s="1" t="s">
        <v>32</v>
      </c>
      <c r="G543" s="1" t="s">
        <v>33</v>
      </c>
      <c r="H543" s="1" t="s">
        <v>25</v>
      </c>
      <c r="I543" s="1" t="s">
        <v>51</v>
      </c>
      <c r="J543" s="1" t="s">
        <v>52</v>
      </c>
      <c r="K543" s="1" t="s">
        <v>37</v>
      </c>
      <c r="L543">
        <v>2</v>
      </c>
      <c r="M543">
        <v>499</v>
      </c>
      <c r="N543">
        <v>0</v>
      </c>
      <c r="O543">
        <v>998</v>
      </c>
      <c r="P543">
        <v>180</v>
      </c>
      <c r="Q543">
        <v>360</v>
      </c>
      <c r="R543">
        <v>60</v>
      </c>
      <c r="S543">
        <v>578</v>
      </c>
    </row>
    <row r="544" spans="1:19" x14ac:dyDescent="0.3">
      <c r="A544" s="1" t="s">
        <v>941</v>
      </c>
      <c r="B544" s="4">
        <v>45561</v>
      </c>
      <c r="C544" s="1" t="s">
        <v>942</v>
      </c>
      <c r="D544" s="1" t="s">
        <v>21</v>
      </c>
      <c r="E544" s="1" t="s">
        <v>41</v>
      </c>
      <c r="F544" s="1" t="s">
        <v>32</v>
      </c>
      <c r="G544" s="1" t="s">
        <v>24</v>
      </c>
      <c r="H544" s="1" t="s">
        <v>25</v>
      </c>
      <c r="I544" s="1" t="s">
        <v>134</v>
      </c>
      <c r="J544" s="1" t="s">
        <v>135</v>
      </c>
      <c r="K544" s="1" t="s">
        <v>136</v>
      </c>
      <c r="L544">
        <v>2</v>
      </c>
      <c r="M544">
        <v>299</v>
      </c>
      <c r="N544">
        <v>0</v>
      </c>
      <c r="O544">
        <v>598</v>
      </c>
      <c r="P544">
        <v>110</v>
      </c>
      <c r="Q544">
        <v>220</v>
      </c>
      <c r="R544">
        <v>80</v>
      </c>
      <c r="S544">
        <v>298</v>
      </c>
    </row>
    <row r="545" spans="1:19" x14ac:dyDescent="0.3">
      <c r="A545" s="1" t="s">
        <v>943</v>
      </c>
      <c r="B545" s="4">
        <v>45561</v>
      </c>
      <c r="C545" s="1" t="s">
        <v>936</v>
      </c>
      <c r="D545" s="1" t="s">
        <v>48</v>
      </c>
      <c r="E545" s="1" t="s">
        <v>54</v>
      </c>
      <c r="F545" s="1" t="s">
        <v>55</v>
      </c>
      <c r="G545" s="1" t="s">
        <v>24</v>
      </c>
      <c r="H545" s="1" t="s">
        <v>25</v>
      </c>
      <c r="I545" s="1" t="s">
        <v>72</v>
      </c>
      <c r="J545" s="1" t="s">
        <v>73</v>
      </c>
      <c r="K545" s="1" t="s">
        <v>28</v>
      </c>
      <c r="L545">
        <v>4</v>
      </c>
      <c r="M545">
        <v>2199</v>
      </c>
      <c r="N545">
        <v>0</v>
      </c>
      <c r="O545">
        <v>8796</v>
      </c>
      <c r="P545">
        <v>1250</v>
      </c>
      <c r="Q545">
        <v>5000</v>
      </c>
      <c r="R545">
        <v>0</v>
      </c>
      <c r="S545">
        <v>3796</v>
      </c>
    </row>
    <row r="546" spans="1:19" x14ac:dyDescent="0.3">
      <c r="A546" s="1" t="s">
        <v>944</v>
      </c>
      <c r="B546" s="4">
        <v>45562</v>
      </c>
      <c r="C546" s="1" t="s">
        <v>894</v>
      </c>
      <c r="D546" s="1" t="s">
        <v>21</v>
      </c>
      <c r="E546" s="1" t="s">
        <v>120</v>
      </c>
      <c r="F546" s="1" t="s">
        <v>121</v>
      </c>
      <c r="G546" s="1" t="s">
        <v>33</v>
      </c>
      <c r="H546" s="1" t="s">
        <v>34</v>
      </c>
      <c r="I546" s="1" t="s">
        <v>81</v>
      </c>
      <c r="J546" s="1" t="s">
        <v>82</v>
      </c>
      <c r="K546" s="1" t="s">
        <v>61</v>
      </c>
      <c r="L546">
        <v>1</v>
      </c>
      <c r="M546">
        <v>2999</v>
      </c>
      <c r="N546">
        <v>0.2</v>
      </c>
      <c r="O546">
        <v>2399.1999999999998</v>
      </c>
      <c r="P546">
        <v>1750</v>
      </c>
      <c r="Q546">
        <v>1750</v>
      </c>
      <c r="R546">
        <v>40</v>
      </c>
      <c r="S546">
        <v>609.20000000000005</v>
      </c>
    </row>
    <row r="547" spans="1:19" x14ac:dyDescent="0.3">
      <c r="A547" s="1" t="s">
        <v>945</v>
      </c>
      <c r="B547" s="4">
        <v>45562</v>
      </c>
      <c r="C547" s="1" t="s">
        <v>508</v>
      </c>
      <c r="D547" s="1" t="s">
        <v>40</v>
      </c>
      <c r="E547" s="1" t="s">
        <v>120</v>
      </c>
      <c r="F547" s="1" t="s">
        <v>121</v>
      </c>
      <c r="G547" s="1" t="s">
        <v>42</v>
      </c>
      <c r="H547" s="1" t="s">
        <v>34</v>
      </c>
      <c r="I547" s="1" t="s">
        <v>76</v>
      </c>
      <c r="J547" s="1" t="s">
        <v>77</v>
      </c>
      <c r="K547" s="1" t="s">
        <v>37</v>
      </c>
      <c r="L547">
        <v>1</v>
      </c>
      <c r="M547">
        <v>6999</v>
      </c>
      <c r="N547">
        <v>0</v>
      </c>
      <c r="O547">
        <v>6999</v>
      </c>
      <c r="P547">
        <v>4900</v>
      </c>
      <c r="Q547">
        <v>4900</v>
      </c>
      <c r="R547">
        <v>40</v>
      </c>
      <c r="S547">
        <v>2059</v>
      </c>
    </row>
    <row r="548" spans="1:19" x14ac:dyDescent="0.3">
      <c r="A548" s="1" t="s">
        <v>946</v>
      </c>
      <c r="B548" s="4">
        <v>45563</v>
      </c>
      <c r="C548" s="1" t="s">
        <v>163</v>
      </c>
      <c r="D548" s="1" t="s">
        <v>40</v>
      </c>
      <c r="E548" s="1" t="s">
        <v>124</v>
      </c>
      <c r="F548" s="1" t="s">
        <v>125</v>
      </c>
      <c r="G548" s="1" t="s">
        <v>33</v>
      </c>
      <c r="H548" s="1" t="s">
        <v>89</v>
      </c>
      <c r="I548" s="1" t="s">
        <v>92</v>
      </c>
      <c r="J548" s="1" t="s">
        <v>93</v>
      </c>
      <c r="K548" s="1" t="s">
        <v>28</v>
      </c>
      <c r="L548">
        <v>4</v>
      </c>
      <c r="M548">
        <v>1599</v>
      </c>
      <c r="N548">
        <v>0</v>
      </c>
      <c r="O548">
        <v>6396</v>
      </c>
      <c r="P548">
        <v>900</v>
      </c>
      <c r="Q548">
        <v>3600</v>
      </c>
      <c r="R548">
        <v>40</v>
      </c>
      <c r="S548">
        <v>2756</v>
      </c>
    </row>
    <row r="549" spans="1:19" x14ac:dyDescent="0.3">
      <c r="A549" s="1" t="s">
        <v>947</v>
      </c>
      <c r="B549" s="4">
        <v>45564</v>
      </c>
      <c r="C549" s="1" t="s">
        <v>91</v>
      </c>
      <c r="D549" s="1" t="s">
        <v>48</v>
      </c>
      <c r="E549" s="1" t="s">
        <v>80</v>
      </c>
      <c r="F549" s="1" t="s">
        <v>55</v>
      </c>
      <c r="G549" s="1" t="s">
        <v>42</v>
      </c>
      <c r="H549" s="1" t="s">
        <v>25</v>
      </c>
      <c r="I549" s="1" t="s">
        <v>85</v>
      </c>
      <c r="J549" s="1" t="s">
        <v>86</v>
      </c>
      <c r="K549" s="1" t="s">
        <v>45</v>
      </c>
      <c r="L549">
        <v>1</v>
      </c>
      <c r="M549">
        <v>599</v>
      </c>
      <c r="N549">
        <v>0</v>
      </c>
      <c r="O549">
        <v>599</v>
      </c>
      <c r="P549">
        <v>240</v>
      </c>
      <c r="Q549">
        <v>240</v>
      </c>
      <c r="R549">
        <v>60</v>
      </c>
      <c r="S549">
        <v>299</v>
      </c>
    </row>
    <row r="550" spans="1:19" x14ac:dyDescent="0.3">
      <c r="A550" s="1" t="s">
        <v>948</v>
      </c>
      <c r="B550" s="4">
        <v>45564</v>
      </c>
      <c r="C550" s="1" t="s">
        <v>138</v>
      </c>
      <c r="D550" s="1" t="s">
        <v>40</v>
      </c>
      <c r="E550" s="1" t="s">
        <v>112</v>
      </c>
      <c r="F550" s="1" t="s">
        <v>113</v>
      </c>
      <c r="G550" s="1" t="s">
        <v>24</v>
      </c>
      <c r="H550" s="1" t="s">
        <v>56</v>
      </c>
      <c r="I550" s="1" t="s">
        <v>35</v>
      </c>
      <c r="J550" s="1" t="s">
        <v>36</v>
      </c>
      <c r="K550" s="1" t="s">
        <v>37</v>
      </c>
      <c r="L550">
        <v>3</v>
      </c>
      <c r="M550">
        <v>1299</v>
      </c>
      <c r="N550">
        <v>0.1</v>
      </c>
      <c r="O550">
        <v>3507.3</v>
      </c>
      <c r="P550">
        <v>700</v>
      </c>
      <c r="Q550">
        <v>2100</v>
      </c>
      <c r="R550">
        <v>40</v>
      </c>
      <c r="S550">
        <v>1367.3</v>
      </c>
    </row>
    <row r="551" spans="1:19" x14ac:dyDescent="0.3">
      <c r="A551" s="1" t="s">
        <v>949</v>
      </c>
      <c r="B551" s="4">
        <v>45564</v>
      </c>
      <c r="C551" s="1" t="s">
        <v>950</v>
      </c>
      <c r="D551" s="1" t="s">
        <v>48</v>
      </c>
      <c r="E551" s="1" t="s">
        <v>54</v>
      </c>
      <c r="F551" s="1" t="s">
        <v>55</v>
      </c>
      <c r="G551" s="1" t="s">
        <v>33</v>
      </c>
      <c r="H551" s="1" t="s">
        <v>34</v>
      </c>
      <c r="I551" s="1" t="s">
        <v>92</v>
      </c>
      <c r="J551" s="1" t="s">
        <v>93</v>
      </c>
      <c r="K551" s="1" t="s">
        <v>28</v>
      </c>
      <c r="L551">
        <v>2</v>
      </c>
      <c r="M551">
        <v>1599</v>
      </c>
      <c r="N551">
        <v>0.1</v>
      </c>
      <c r="O551">
        <v>2878.2</v>
      </c>
      <c r="P551">
        <v>900</v>
      </c>
      <c r="Q551">
        <v>1800</v>
      </c>
      <c r="R551">
        <v>100</v>
      </c>
      <c r="S551">
        <v>978.2</v>
      </c>
    </row>
    <row r="552" spans="1:19" x14ac:dyDescent="0.3">
      <c r="A552" s="1" t="s">
        <v>951</v>
      </c>
      <c r="B552" s="4">
        <v>45564</v>
      </c>
      <c r="C552" s="1" t="s">
        <v>654</v>
      </c>
      <c r="D552" s="1" t="s">
        <v>21</v>
      </c>
      <c r="E552" s="1" t="s">
        <v>49</v>
      </c>
      <c r="F552" s="1" t="s">
        <v>50</v>
      </c>
      <c r="G552" s="1" t="s">
        <v>33</v>
      </c>
      <c r="H552" s="1" t="s">
        <v>56</v>
      </c>
      <c r="I552" s="1" t="s">
        <v>85</v>
      </c>
      <c r="J552" s="1" t="s">
        <v>86</v>
      </c>
      <c r="K552" s="1" t="s">
        <v>45</v>
      </c>
      <c r="L552">
        <v>3</v>
      </c>
      <c r="M552">
        <v>599</v>
      </c>
      <c r="N552">
        <v>0.2</v>
      </c>
      <c r="O552">
        <v>1437.6</v>
      </c>
      <c r="P552">
        <v>240</v>
      </c>
      <c r="Q552">
        <v>720</v>
      </c>
      <c r="R552">
        <v>0</v>
      </c>
      <c r="S552">
        <v>717.6</v>
      </c>
    </row>
    <row r="553" spans="1:19" x14ac:dyDescent="0.3">
      <c r="A553" s="1" t="s">
        <v>952</v>
      </c>
      <c r="B553" s="4">
        <v>45565</v>
      </c>
      <c r="C553" s="1" t="s">
        <v>396</v>
      </c>
      <c r="D553" s="1" t="s">
        <v>21</v>
      </c>
      <c r="E553" s="1" t="s">
        <v>54</v>
      </c>
      <c r="F553" s="1" t="s">
        <v>55</v>
      </c>
      <c r="G553" s="1" t="s">
        <v>42</v>
      </c>
      <c r="H553" s="1" t="s">
        <v>56</v>
      </c>
      <c r="I553" s="1" t="s">
        <v>92</v>
      </c>
      <c r="J553" s="1" t="s">
        <v>93</v>
      </c>
      <c r="K553" s="1" t="s">
        <v>28</v>
      </c>
      <c r="L553">
        <v>3</v>
      </c>
      <c r="M553">
        <v>1599</v>
      </c>
      <c r="N553">
        <v>0</v>
      </c>
      <c r="O553">
        <v>4797</v>
      </c>
      <c r="P553">
        <v>900</v>
      </c>
      <c r="Q553">
        <v>2700</v>
      </c>
      <c r="R553">
        <v>80</v>
      </c>
      <c r="S553">
        <v>2017</v>
      </c>
    </row>
    <row r="554" spans="1:19" x14ac:dyDescent="0.3">
      <c r="A554" s="1" t="s">
        <v>953</v>
      </c>
      <c r="B554" s="4">
        <v>45566</v>
      </c>
      <c r="C554" s="1" t="s">
        <v>532</v>
      </c>
      <c r="D554" s="1" t="s">
        <v>48</v>
      </c>
      <c r="E554" s="1" t="s">
        <v>31</v>
      </c>
      <c r="F554" s="1" t="s">
        <v>32</v>
      </c>
      <c r="G554" s="1" t="s">
        <v>42</v>
      </c>
      <c r="H554" s="1" t="s">
        <v>89</v>
      </c>
      <c r="I554" s="1" t="s">
        <v>76</v>
      </c>
      <c r="J554" s="1" t="s">
        <v>77</v>
      </c>
      <c r="K554" s="1" t="s">
        <v>37</v>
      </c>
      <c r="L554">
        <v>2</v>
      </c>
      <c r="M554">
        <v>6999</v>
      </c>
      <c r="N554">
        <v>0.15</v>
      </c>
      <c r="O554">
        <v>11898.3</v>
      </c>
      <c r="P554">
        <v>4900</v>
      </c>
      <c r="Q554">
        <v>9800</v>
      </c>
      <c r="R554">
        <v>80</v>
      </c>
      <c r="S554">
        <v>2018.3</v>
      </c>
    </row>
    <row r="555" spans="1:19" x14ac:dyDescent="0.3">
      <c r="A555" s="1" t="s">
        <v>954</v>
      </c>
      <c r="B555" s="4">
        <v>45566</v>
      </c>
      <c r="C555" s="1" t="s">
        <v>955</v>
      </c>
      <c r="D555" s="1" t="s">
        <v>48</v>
      </c>
      <c r="E555" s="1" t="s">
        <v>54</v>
      </c>
      <c r="F555" s="1" t="s">
        <v>55</v>
      </c>
      <c r="G555" s="1" t="s">
        <v>33</v>
      </c>
      <c r="H555" s="1" t="s">
        <v>89</v>
      </c>
      <c r="I555" s="1" t="s">
        <v>85</v>
      </c>
      <c r="J555" s="1" t="s">
        <v>86</v>
      </c>
      <c r="K555" s="1" t="s">
        <v>45</v>
      </c>
      <c r="L555">
        <v>3</v>
      </c>
      <c r="M555">
        <v>599</v>
      </c>
      <c r="N555">
        <v>0.05</v>
      </c>
      <c r="O555">
        <v>1707.15</v>
      </c>
      <c r="P555">
        <v>240</v>
      </c>
      <c r="Q555">
        <v>720</v>
      </c>
      <c r="R555">
        <v>100</v>
      </c>
      <c r="S555">
        <v>887.15</v>
      </c>
    </row>
    <row r="556" spans="1:19" x14ac:dyDescent="0.3">
      <c r="A556" s="1" t="s">
        <v>956</v>
      </c>
      <c r="B556" s="4">
        <v>45567</v>
      </c>
      <c r="C556" s="1" t="s">
        <v>957</v>
      </c>
      <c r="D556" s="1" t="s">
        <v>21</v>
      </c>
      <c r="E556" s="1" t="s">
        <v>80</v>
      </c>
      <c r="F556" s="1" t="s">
        <v>55</v>
      </c>
      <c r="G556" s="1" t="s">
        <v>24</v>
      </c>
      <c r="H556" s="1" t="s">
        <v>34</v>
      </c>
      <c r="I556" s="1" t="s">
        <v>134</v>
      </c>
      <c r="J556" s="1" t="s">
        <v>135</v>
      </c>
      <c r="K556" s="1" t="s">
        <v>136</v>
      </c>
      <c r="L556">
        <v>1</v>
      </c>
      <c r="M556">
        <v>299</v>
      </c>
      <c r="N556">
        <v>0.2</v>
      </c>
      <c r="O556">
        <v>239.2</v>
      </c>
      <c r="P556">
        <v>110</v>
      </c>
      <c r="Q556">
        <v>110</v>
      </c>
      <c r="R556">
        <v>0</v>
      </c>
      <c r="S556">
        <v>129.19999999999999</v>
      </c>
    </row>
    <row r="557" spans="1:19" x14ac:dyDescent="0.3">
      <c r="A557" s="1" t="s">
        <v>958</v>
      </c>
      <c r="B557" s="4">
        <v>45567</v>
      </c>
      <c r="C557" s="1" t="s">
        <v>959</v>
      </c>
      <c r="D557" s="1" t="s">
        <v>21</v>
      </c>
      <c r="E557" s="1" t="s">
        <v>70</v>
      </c>
      <c r="F557" s="1" t="s">
        <v>70</v>
      </c>
      <c r="G557" s="1" t="s">
        <v>24</v>
      </c>
      <c r="H557" s="1" t="s">
        <v>34</v>
      </c>
      <c r="I557" s="1" t="s">
        <v>66</v>
      </c>
      <c r="J557" s="1" t="s">
        <v>67</v>
      </c>
      <c r="K557" s="1" t="s">
        <v>28</v>
      </c>
      <c r="L557">
        <v>5</v>
      </c>
      <c r="M557">
        <v>2499</v>
      </c>
      <c r="N557">
        <v>0.2</v>
      </c>
      <c r="O557">
        <v>9996</v>
      </c>
      <c r="P557">
        <v>1450</v>
      </c>
      <c r="Q557">
        <v>7250</v>
      </c>
      <c r="R557">
        <v>80</v>
      </c>
      <c r="S557">
        <v>2666</v>
      </c>
    </row>
    <row r="558" spans="1:19" x14ac:dyDescent="0.3">
      <c r="A558" s="1" t="s">
        <v>960</v>
      </c>
      <c r="B558" s="4">
        <v>45567</v>
      </c>
      <c r="C558" s="1" t="s">
        <v>599</v>
      </c>
      <c r="D558" s="1" t="s">
        <v>48</v>
      </c>
      <c r="E558" s="1" t="s">
        <v>112</v>
      </c>
      <c r="F558" s="1" t="s">
        <v>113</v>
      </c>
      <c r="G558" s="1" t="s">
        <v>42</v>
      </c>
      <c r="H558" s="1" t="s">
        <v>71</v>
      </c>
      <c r="I558" s="1" t="s">
        <v>72</v>
      </c>
      <c r="J558" s="1" t="s">
        <v>73</v>
      </c>
      <c r="K558" s="1" t="s">
        <v>28</v>
      </c>
      <c r="L558">
        <v>4</v>
      </c>
      <c r="M558">
        <v>2199</v>
      </c>
      <c r="N558">
        <v>0</v>
      </c>
      <c r="O558">
        <v>8796</v>
      </c>
      <c r="P558">
        <v>1250</v>
      </c>
      <c r="Q558">
        <v>5000</v>
      </c>
      <c r="R558">
        <v>60</v>
      </c>
      <c r="S558">
        <v>3736</v>
      </c>
    </row>
    <row r="559" spans="1:19" x14ac:dyDescent="0.3">
      <c r="A559" s="1" t="s">
        <v>961</v>
      </c>
      <c r="B559" s="4">
        <v>45567</v>
      </c>
      <c r="C559" s="1" t="s">
        <v>962</v>
      </c>
      <c r="D559" s="1" t="s">
        <v>40</v>
      </c>
      <c r="E559" s="1" t="s">
        <v>49</v>
      </c>
      <c r="F559" s="1" t="s">
        <v>50</v>
      </c>
      <c r="G559" s="1" t="s">
        <v>42</v>
      </c>
      <c r="H559" s="1" t="s">
        <v>25</v>
      </c>
      <c r="I559" s="1" t="s">
        <v>81</v>
      </c>
      <c r="J559" s="1" t="s">
        <v>82</v>
      </c>
      <c r="K559" s="1" t="s">
        <v>61</v>
      </c>
      <c r="L559">
        <v>1</v>
      </c>
      <c r="M559">
        <v>2999</v>
      </c>
      <c r="N559">
        <v>0.05</v>
      </c>
      <c r="O559">
        <v>2849.05</v>
      </c>
      <c r="P559">
        <v>1750</v>
      </c>
      <c r="Q559">
        <v>1750</v>
      </c>
      <c r="R559">
        <v>80</v>
      </c>
      <c r="S559">
        <v>1019.05</v>
      </c>
    </row>
    <row r="560" spans="1:19" x14ac:dyDescent="0.3">
      <c r="A560" s="1" t="s">
        <v>963</v>
      </c>
      <c r="B560" s="4">
        <v>45567</v>
      </c>
      <c r="C560" s="1" t="s">
        <v>109</v>
      </c>
      <c r="D560" s="1" t="s">
        <v>48</v>
      </c>
      <c r="E560" s="1" t="s">
        <v>64</v>
      </c>
      <c r="F560" s="1" t="s">
        <v>65</v>
      </c>
      <c r="G560" s="1" t="s">
        <v>42</v>
      </c>
      <c r="H560" s="1" t="s">
        <v>89</v>
      </c>
      <c r="I560" s="1" t="s">
        <v>76</v>
      </c>
      <c r="J560" s="1" t="s">
        <v>77</v>
      </c>
      <c r="K560" s="1" t="s">
        <v>37</v>
      </c>
      <c r="L560">
        <v>1</v>
      </c>
      <c r="M560">
        <v>6999</v>
      </c>
      <c r="N560">
        <v>0</v>
      </c>
      <c r="O560">
        <v>6999</v>
      </c>
      <c r="P560">
        <v>4900</v>
      </c>
      <c r="Q560">
        <v>4900</v>
      </c>
      <c r="R560">
        <v>0</v>
      </c>
      <c r="S560">
        <v>2099</v>
      </c>
    </row>
    <row r="561" spans="1:19" x14ac:dyDescent="0.3">
      <c r="A561" s="1" t="s">
        <v>964</v>
      </c>
      <c r="B561" s="4">
        <v>45568</v>
      </c>
      <c r="C561" s="1" t="s">
        <v>761</v>
      </c>
      <c r="D561" s="1" t="s">
        <v>40</v>
      </c>
      <c r="E561" s="1" t="s">
        <v>70</v>
      </c>
      <c r="F561" s="1" t="s">
        <v>70</v>
      </c>
      <c r="G561" s="1" t="s">
        <v>24</v>
      </c>
      <c r="H561" s="1" t="s">
        <v>56</v>
      </c>
      <c r="I561" s="1" t="s">
        <v>76</v>
      </c>
      <c r="J561" s="1" t="s">
        <v>77</v>
      </c>
      <c r="K561" s="1" t="s">
        <v>37</v>
      </c>
      <c r="L561">
        <v>2</v>
      </c>
      <c r="M561">
        <v>6999</v>
      </c>
      <c r="N561">
        <v>0.2</v>
      </c>
      <c r="O561">
        <v>11198.4</v>
      </c>
      <c r="P561">
        <v>4900</v>
      </c>
      <c r="Q561">
        <v>9800</v>
      </c>
      <c r="R561">
        <v>0</v>
      </c>
      <c r="S561">
        <v>1398.4</v>
      </c>
    </row>
    <row r="562" spans="1:19" x14ac:dyDescent="0.3">
      <c r="A562" s="1" t="s">
        <v>965</v>
      </c>
      <c r="B562" s="4">
        <v>45568</v>
      </c>
      <c r="C562" s="1" t="s">
        <v>815</v>
      </c>
      <c r="D562" s="1" t="s">
        <v>40</v>
      </c>
      <c r="E562" s="1" t="s">
        <v>54</v>
      </c>
      <c r="F562" s="1" t="s">
        <v>55</v>
      </c>
      <c r="G562" s="1" t="s">
        <v>42</v>
      </c>
      <c r="H562" s="1" t="s">
        <v>34</v>
      </c>
      <c r="I562" s="1" t="s">
        <v>51</v>
      </c>
      <c r="J562" s="1" t="s">
        <v>52</v>
      </c>
      <c r="K562" s="1" t="s">
        <v>37</v>
      </c>
      <c r="L562">
        <v>1</v>
      </c>
      <c r="M562">
        <v>499</v>
      </c>
      <c r="N562">
        <v>0</v>
      </c>
      <c r="O562">
        <v>499</v>
      </c>
      <c r="P562">
        <v>180</v>
      </c>
      <c r="Q562">
        <v>180</v>
      </c>
      <c r="R562">
        <v>100</v>
      </c>
      <c r="S562">
        <v>219</v>
      </c>
    </row>
    <row r="563" spans="1:19" x14ac:dyDescent="0.3">
      <c r="A563" s="1" t="s">
        <v>966</v>
      </c>
      <c r="B563" s="4">
        <v>45568</v>
      </c>
      <c r="C563" s="1" t="s">
        <v>967</v>
      </c>
      <c r="D563" s="1" t="s">
        <v>40</v>
      </c>
      <c r="E563" s="1" t="s">
        <v>64</v>
      </c>
      <c r="F563" s="1" t="s">
        <v>65</v>
      </c>
      <c r="G563" s="1" t="s">
        <v>33</v>
      </c>
      <c r="H563" s="1" t="s">
        <v>56</v>
      </c>
      <c r="I563" s="1" t="s">
        <v>72</v>
      </c>
      <c r="J563" s="1" t="s">
        <v>73</v>
      </c>
      <c r="K563" s="1" t="s">
        <v>28</v>
      </c>
      <c r="L563">
        <v>1</v>
      </c>
      <c r="M563">
        <v>2199</v>
      </c>
      <c r="N563">
        <v>0</v>
      </c>
      <c r="O563">
        <v>2199</v>
      </c>
      <c r="P563">
        <v>1250</v>
      </c>
      <c r="Q563">
        <v>1250</v>
      </c>
      <c r="R563">
        <v>100</v>
      </c>
      <c r="S563">
        <v>849</v>
      </c>
    </row>
    <row r="564" spans="1:19" x14ac:dyDescent="0.3">
      <c r="A564" s="1" t="s">
        <v>968</v>
      </c>
      <c r="B564" s="4">
        <v>45568</v>
      </c>
      <c r="C564" s="1" t="s">
        <v>433</v>
      </c>
      <c r="D564" s="1" t="s">
        <v>21</v>
      </c>
      <c r="E564" s="1" t="s">
        <v>112</v>
      </c>
      <c r="F564" s="1" t="s">
        <v>113</v>
      </c>
      <c r="G564" s="1" t="s">
        <v>24</v>
      </c>
      <c r="H564" s="1" t="s">
        <v>25</v>
      </c>
      <c r="I564" s="1" t="s">
        <v>66</v>
      </c>
      <c r="J564" s="1" t="s">
        <v>67</v>
      </c>
      <c r="K564" s="1" t="s">
        <v>28</v>
      </c>
      <c r="L564">
        <v>2</v>
      </c>
      <c r="M564">
        <v>2499</v>
      </c>
      <c r="N564">
        <v>0.2</v>
      </c>
      <c r="O564">
        <v>3998.4</v>
      </c>
      <c r="P564">
        <v>1450</v>
      </c>
      <c r="Q564">
        <v>2900</v>
      </c>
      <c r="R564">
        <v>100</v>
      </c>
      <c r="S564">
        <v>998.4</v>
      </c>
    </row>
    <row r="565" spans="1:19" x14ac:dyDescent="0.3">
      <c r="A565" s="1" t="s">
        <v>969</v>
      </c>
      <c r="B565" s="4">
        <v>45569</v>
      </c>
      <c r="C565" s="1" t="s">
        <v>279</v>
      </c>
      <c r="D565" s="1" t="s">
        <v>40</v>
      </c>
      <c r="E565" s="1" t="s">
        <v>41</v>
      </c>
      <c r="F565" s="1" t="s">
        <v>32</v>
      </c>
      <c r="G565" s="1" t="s">
        <v>42</v>
      </c>
      <c r="H565" s="1" t="s">
        <v>89</v>
      </c>
      <c r="I565" s="1" t="s">
        <v>66</v>
      </c>
      <c r="J565" s="1" t="s">
        <v>67</v>
      </c>
      <c r="K565" s="1" t="s">
        <v>28</v>
      </c>
      <c r="L565">
        <v>2</v>
      </c>
      <c r="M565">
        <v>2499</v>
      </c>
      <c r="N565">
        <v>0</v>
      </c>
      <c r="O565">
        <v>4998</v>
      </c>
      <c r="P565">
        <v>1450</v>
      </c>
      <c r="Q565">
        <v>2900</v>
      </c>
      <c r="R565">
        <v>100</v>
      </c>
      <c r="S565">
        <v>1998</v>
      </c>
    </row>
    <row r="566" spans="1:19" x14ac:dyDescent="0.3">
      <c r="A566" s="1" t="s">
        <v>970</v>
      </c>
      <c r="B566" s="4">
        <v>45570</v>
      </c>
      <c r="C566" s="1" t="s">
        <v>131</v>
      </c>
      <c r="D566" s="1" t="s">
        <v>21</v>
      </c>
      <c r="E566" s="1" t="s">
        <v>64</v>
      </c>
      <c r="F566" s="1" t="s">
        <v>65</v>
      </c>
      <c r="G566" s="1" t="s">
        <v>42</v>
      </c>
      <c r="H566" s="1" t="s">
        <v>89</v>
      </c>
      <c r="I566" s="1" t="s">
        <v>43</v>
      </c>
      <c r="J566" s="1" t="s">
        <v>44</v>
      </c>
      <c r="K566" s="1" t="s">
        <v>45</v>
      </c>
      <c r="L566">
        <v>2</v>
      </c>
      <c r="M566">
        <v>1799</v>
      </c>
      <c r="N566">
        <v>0.1</v>
      </c>
      <c r="O566">
        <v>3238.2</v>
      </c>
      <c r="P566">
        <v>850</v>
      </c>
      <c r="Q566">
        <v>1700</v>
      </c>
      <c r="R566">
        <v>100</v>
      </c>
      <c r="S566">
        <v>1438.2</v>
      </c>
    </row>
    <row r="567" spans="1:19" x14ac:dyDescent="0.3">
      <c r="A567" s="1" t="s">
        <v>971</v>
      </c>
      <c r="B567" s="4">
        <v>45571</v>
      </c>
      <c r="C567" s="1" t="s">
        <v>208</v>
      </c>
      <c r="D567" s="1" t="s">
        <v>48</v>
      </c>
      <c r="E567" s="1" t="s">
        <v>124</v>
      </c>
      <c r="F567" s="1" t="s">
        <v>125</v>
      </c>
      <c r="G567" s="1" t="s">
        <v>42</v>
      </c>
      <c r="H567" s="1" t="s">
        <v>89</v>
      </c>
      <c r="I567" s="1" t="s">
        <v>134</v>
      </c>
      <c r="J567" s="1" t="s">
        <v>135</v>
      </c>
      <c r="K567" s="1" t="s">
        <v>136</v>
      </c>
      <c r="L567">
        <v>1</v>
      </c>
      <c r="M567">
        <v>299</v>
      </c>
      <c r="N567">
        <v>0.2</v>
      </c>
      <c r="O567">
        <v>239.2</v>
      </c>
      <c r="P567">
        <v>110</v>
      </c>
      <c r="Q567">
        <v>110</v>
      </c>
      <c r="R567">
        <v>80</v>
      </c>
      <c r="S567">
        <v>49.2</v>
      </c>
    </row>
    <row r="568" spans="1:19" x14ac:dyDescent="0.3">
      <c r="A568" s="1" t="s">
        <v>972</v>
      </c>
      <c r="B568" s="4">
        <v>45571</v>
      </c>
      <c r="C568" s="1" t="s">
        <v>325</v>
      </c>
      <c r="D568" s="1" t="s">
        <v>21</v>
      </c>
      <c r="E568" s="1" t="s">
        <v>96</v>
      </c>
      <c r="F568" s="1" t="s">
        <v>97</v>
      </c>
      <c r="G568" s="1" t="s">
        <v>33</v>
      </c>
      <c r="H568" s="1" t="s">
        <v>56</v>
      </c>
      <c r="I568" s="1" t="s">
        <v>66</v>
      </c>
      <c r="J568" s="1" t="s">
        <v>67</v>
      </c>
      <c r="K568" s="1" t="s">
        <v>28</v>
      </c>
      <c r="L568">
        <v>3</v>
      </c>
      <c r="M568">
        <v>2499</v>
      </c>
      <c r="N568">
        <v>0.1</v>
      </c>
      <c r="O568">
        <v>6747.3</v>
      </c>
      <c r="P568">
        <v>1450</v>
      </c>
      <c r="Q568">
        <v>4350</v>
      </c>
      <c r="R568">
        <v>80</v>
      </c>
      <c r="S568">
        <v>2317.3000000000002</v>
      </c>
    </row>
    <row r="569" spans="1:19" x14ac:dyDescent="0.3">
      <c r="A569" s="1" t="s">
        <v>973</v>
      </c>
      <c r="B569" s="4">
        <v>45571</v>
      </c>
      <c r="C569" s="1" t="s">
        <v>536</v>
      </c>
      <c r="D569" s="1" t="s">
        <v>48</v>
      </c>
      <c r="E569" s="1" t="s">
        <v>96</v>
      </c>
      <c r="F569" s="1" t="s">
        <v>97</v>
      </c>
      <c r="G569" s="1" t="s">
        <v>33</v>
      </c>
      <c r="H569" s="1" t="s">
        <v>56</v>
      </c>
      <c r="I569" s="1" t="s">
        <v>51</v>
      </c>
      <c r="J569" s="1" t="s">
        <v>52</v>
      </c>
      <c r="K569" s="1" t="s">
        <v>37</v>
      </c>
      <c r="L569">
        <v>3</v>
      </c>
      <c r="M569">
        <v>499</v>
      </c>
      <c r="N569">
        <v>0.05</v>
      </c>
      <c r="O569">
        <v>1422.15</v>
      </c>
      <c r="P569">
        <v>180</v>
      </c>
      <c r="Q569">
        <v>540</v>
      </c>
      <c r="R569">
        <v>40</v>
      </c>
      <c r="S569">
        <v>842.15</v>
      </c>
    </row>
    <row r="570" spans="1:19" x14ac:dyDescent="0.3">
      <c r="A570" s="1" t="s">
        <v>974</v>
      </c>
      <c r="B570" s="4">
        <v>45572</v>
      </c>
      <c r="C570" s="1" t="s">
        <v>496</v>
      </c>
      <c r="D570" s="1" t="s">
        <v>48</v>
      </c>
      <c r="E570" s="1" t="s">
        <v>112</v>
      </c>
      <c r="F570" s="1" t="s">
        <v>113</v>
      </c>
      <c r="G570" s="1" t="s">
        <v>24</v>
      </c>
      <c r="H570" s="1" t="s">
        <v>34</v>
      </c>
      <c r="I570" s="1" t="s">
        <v>72</v>
      </c>
      <c r="J570" s="1" t="s">
        <v>73</v>
      </c>
      <c r="K570" s="1" t="s">
        <v>28</v>
      </c>
      <c r="L570">
        <v>3</v>
      </c>
      <c r="M570">
        <v>2199</v>
      </c>
      <c r="N570">
        <v>0.15</v>
      </c>
      <c r="O570">
        <v>5607.45</v>
      </c>
      <c r="P570">
        <v>1250</v>
      </c>
      <c r="Q570">
        <v>3750</v>
      </c>
      <c r="R570">
        <v>40</v>
      </c>
      <c r="S570">
        <v>1817.45</v>
      </c>
    </row>
    <row r="571" spans="1:19" x14ac:dyDescent="0.3">
      <c r="A571" s="1" t="s">
        <v>975</v>
      </c>
      <c r="B571" s="4">
        <v>45572</v>
      </c>
      <c r="C571" s="1" t="s">
        <v>976</v>
      </c>
      <c r="D571" s="1" t="s">
        <v>48</v>
      </c>
      <c r="E571" s="1" t="s">
        <v>124</v>
      </c>
      <c r="F571" s="1" t="s">
        <v>125</v>
      </c>
      <c r="G571" s="1" t="s">
        <v>42</v>
      </c>
      <c r="H571" s="1" t="s">
        <v>25</v>
      </c>
      <c r="I571" s="1" t="s">
        <v>66</v>
      </c>
      <c r="J571" s="1" t="s">
        <v>67</v>
      </c>
      <c r="K571" s="1" t="s">
        <v>28</v>
      </c>
      <c r="L571">
        <v>2</v>
      </c>
      <c r="M571">
        <v>2499</v>
      </c>
      <c r="N571">
        <v>0.05</v>
      </c>
      <c r="O571">
        <v>4748.1000000000004</v>
      </c>
      <c r="P571">
        <v>1450</v>
      </c>
      <c r="Q571">
        <v>2900</v>
      </c>
      <c r="R571">
        <v>0</v>
      </c>
      <c r="S571">
        <v>1848.1</v>
      </c>
    </row>
    <row r="572" spans="1:19" x14ac:dyDescent="0.3">
      <c r="A572" s="1" t="s">
        <v>977</v>
      </c>
      <c r="B572" s="4">
        <v>45572</v>
      </c>
      <c r="C572" s="1" t="s">
        <v>925</v>
      </c>
      <c r="D572" s="1" t="s">
        <v>21</v>
      </c>
      <c r="E572" s="1" t="s">
        <v>70</v>
      </c>
      <c r="F572" s="1" t="s">
        <v>70</v>
      </c>
      <c r="G572" s="1" t="s">
        <v>24</v>
      </c>
      <c r="H572" s="1" t="s">
        <v>89</v>
      </c>
      <c r="I572" s="1" t="s">
        <v>59</v>
      </c>
      <c r="J572" s="1" t="s">
        <v>60</v>
      </c>
      <c r="K572" s="1" t="s">
        <v>61</v>
      </c>
      <c r="L572">
        <v>5</v>
      </c>
      <c r="M572">
        <v>999</v>
      </c>
      <c r="N572">
        <v>0.05</v>
      </c>
      <c r="O572">
        <v>4745.25</v>
      </c>
      <c r="P572">
        <v>520</v>
      </c>
      <c r="Q572">
        <v>2600</v>
      </c>
      <c r="R572">
        <v>80</v>
      </c>
      <c r="S572">
        <v>2065.25</v>
      </c>
    </row>
    <row r="573" spans="1:19" x14ac:dyDescent="0.3">
      <c r="A573" s="1" t="s">
        <v>978</v>
      </c>
      <c r="B573" s="4">
        <v>45572</v>
      </c>
      <c r="C573" s="1" t="s">
        <v>494</v>
      </c>
      <c r="D573" s="1" t="s">
        <v>40</v>
      </c>
      <c r="E573" s="1" t="s">
        <v>22</v>
      </c>
      <c r="F573" s="1" t="s">
        <v>23</v>
      </c>
      <c r="G573" s="1" t="s">
        <v>42</v>
      </c>
      <c r="H573" s="1" t="s">
        <v>71</v>
      </c>
      <c r="I573" s="1" t="s">
        <v>43</v>
      </c>
      <c r="J573" s="1" t="s">
        <v>44</v>
      </c>
      <c r="K573" s="1" t="s">
        <v>45</v>
      </c>
      <c r="L573">
        <v>2</v>
      </c>
      <c r="M573">
        <v>1799</v>
      </c>
      <c r="N573">
        <v>0</v>
      </c>
      <c r="O573">
        <v>3598</v>
      </c>
      <c r="P573">
        <v>850</v>
      </c>
      <c r="Q573">
        <v>1700</v>
      </c>
      <c r="R573">
        <v>60</v>
      </c>
      <c r="S573">
        <v>1838</v>
      </c>
    </row>
    <row r="574" spans="1:19" x14ac:dyDescent="0.3">
      <c r="A574" s="1" t="s">
        <v>979</v>
      </c>
      <c r="B574" s="4">
        <v>45572</v>
      </c>
      <c r="C574" s="1" t="s">
        <v>980</v>
      </c>
      <c r="D574" s="1" t="s">
        <v>48</v>
      </c>
      <c r="E574" s="1" t="s">
        <v>96</v>
      </c>
      <c r="F574" s="1" t="s">
        <v>97</v>
      </c>
      <c r="G574" s="1" t="s">
        <v>33</v>
      </c>
      <c r="H574" s="1" t="s">
        <v>34</v>
      </c>
      <c r="I574" s="1" t="s">
        <v>43</v>
      </c>
      <c r="J574" s="1" t="s">
        <v>44</v>
      </c>
      <c r="K574" s="1" t="s">
        <v>45</v>
      </c>
      <c r="L574">
        <v>1</v>
      </c>
      <c r="M574">
        <v>1799</v>
      </c>
      <c r="N574">
        <v>0</v>
      </c>
      <c r="O574">
        <v>1799</v>
      </c>
      <c r="P574">
        <v>850</v>
      </c>
      <c r="Q574">
        <v>850</v>
      </c>
      <c r="R574">
        <v>60</v>
      </c>
      <c r="S574">
        <v>889</v>
      </c>
    </row>
    <row r="575" spans="1:19" x14ac:dyDescent="0.3">
      <c r="A575" s="1" t="s">
        <v>981</v>
      </c>
      <c r="B575" s="4">
        <v>45573</v>
      </c>
      <c r="C575" s="1" t="s">
        <v>224</v>
      </c>
      <c r="D575" s="1" t="s">
        <v>48</v>
      </c>
      <c r="E575" s="1" t="s">
        <v>64</v>
      </c>
      <c r="F575" s="1" t="s">
        <v>65</v>
      </c>
      <c r="G575" s="1" t="s">
        <v>24</v>
      </c>
      <c r="H575" s="1" t="s">
        <v>71</v>
      </c>
      <c r="I575" s="1" t="s">
        <v>51</v>
      </c>
      <c r="J575" s="1" t="s">
        <v>52</v>
      </c>
      <c r="K575" s="1" t="s">
        <v>37</v>
      </c>
      <c r="L575">
        <v>1</v>
      </c>
      <c r="M575">
        <v>499</v>
      </c>
      <c r="N575">
        <v>0.2</v>
      </c>
      <c r="O575">
        <v>399.2</v>
      </c>
      <c r="P575">
        <v>180</v>
      </c>
      <c r="Q575">
        <v>180</v>
      </c>
      <c r="R575">
        <v>100</v>
      </c>
      <c r="S575">
        <v>119.2</v>
      </c>
    </row>
    <row r="576" spans="1:19" x14ac:dyDescent="0.3">
      <c r="A576" s="1" t="s">
        <v>982</v>
      </c>
      <c r="B576" s="4">
        <v>45573</v>
      </c>
      <c r="C576" s="1" t="s">
        <v>351</v>
      </c>
      <c r="D576" s="1" t="s">
        <v>21</v>
      </c>
      <c r="E576" s="1" t="s">
        <v>120</v>
      </c>
      <c r="F576" s="1" t="s">
        <v>121</v>
      </c>
      <c r="G576" s="1" t="s">
        <v>33</v>
      </c>
      <c r="H576" s="1" t="s">
        <v>89</v>
      </c>
      <c r="I576" s="1" t="s">
        <v>81</v>
      </c>
      <c r="J576" s="1" t="s">
        <v>82</v>
      </c>
      <c r="K576" s="1" t="s">
        <v>61</v>
      </c>
      <c r="L576">
        <v>3</v>
      </c>
      <c r="M576">
        <v>2999</v>
      </c>
      <c r="N576">
        <v>0.1</v>
      </c>
      <c r="O576">
        <v>8097.3</v>
      </c>
      <c r="P576">
        <v>1750</v>
      </c>
      <c r="Q576">
        <v>5250</v>
      </c>
      <c r="R576">
        <v>0</v>
      </c>
      <c r="S576">
        <v>2847.3</v>
      </c>
    </row>
    <row r="577" spans="1:19" x14ac:dyDescent="0.3">
      <c r="A577" s="1" t="s">
        <v>983</v>
      </c>
      <c r="B577" s="4">
        <v>45573</v>
      </c>
      <c r="C577" s="1" t="s">
        <v>984</v>
      </c>
      <c r="D577" s="1" t="s">
        <v>48</v>
      </c>
      <c r="E577" s="1" t="s">
        <v>70</v>
      </c>
      <c r="F577" s="1" t="s">
        <v>70</v>
      </c>
      <c r="G577" s="1" t="s">
        <v>42</v>
      </c>
      <c r="H577" s="1" t="s">
        <v>34</v>
      </c>
      <c r="I577" s="1" t="s">
        <v>35</v>
      </c>
      <c r="J577" s="1" t="s">
        <v>36</v>
      </c>
      <c r="K577" s="1" t="s">
        <v>37</v>
      </c>
      <c r="L577">
        <v>1</v>
      </c>
      <c r="M577">
        <v>1299</v>
      </c>
      <c r="N577">
        <v>0</v>
      </c>
      <c r="O577">
        <v>1299</v>
      </c>
      <c r="P577">
        <v>700</v>
      </c>
      <c r="Q577">
        <v>700</v>
      </c>
      <c r="R577">
        <v>100</v>
      </c>
      <c r="S577">
        <v>499</v>
      </c>
    </row>
    <row r="578" spans="1:19" x14ac:dyDescent="0.3">
      <c r="A578" s="1" t="s">
        <v>985</v>
      </c>
      <c r="B578" s="4">
        <v>45573</v>
      </c>
      <c r="C578" s="1" t="s">
        <v>601</v>
      </c>
      <c r="D578" s="1" t="s">
        <v>48</v>
      </c>
      <c r="E578" s="1" t="s">
        <v>80</v>
      </c>
      <c r="F578" s="1" t="s">
        <v>55</v>
      </c>
      <c r="G578" s="1" t="s">
        <v>42</v>
      </c>
      <c r="H578" s="1" t="s">
        <v>89</v>
      </c>
      <c r="I578" s="1" t="s">
        <v>92</v>
      </c>
      <c r="J578" s="1" t="s">
        <v>93</v>
      </c>
      <c r="K578" s="1" t="s">
        <v>28</v>
      </c>
      <c r="L578">
        <v>2</v>
      </c>
      <c r="M578">
        <v>1599</v>
      </c>
      <c r="N578">
        <v>0.15</v>
      </c>
      <c r="O578">
        <v>2718.3</v>
      </c>
      <c r="P578">
        <v>900</v>
      </c>
      <c r="Q578">
        <v>1800</v>
      </c>
      <c r="R578">
        <v>100</v>
      </c>
      <c r="S578">
        <v>818.3</v>
      </c>
    </row>
    <row r="579" spans="1:19" x14ac:dyDescent="0.3">
      <c r="A579" s="1" t="s">
        <v>986</v>
      </c>
      <c r="B579" s="4">
        <v>45574</v>
      </c>
      <c r="C579" s="1" t="s">
        <v>987</v>
      </c>
      <c r="D579" s="1" t="s">
        <v>48</v>
      </c>
      <c r="E579" s="1" t="s">
        <v>54</v>
      </c>
      <c r="F579" s="1" t="s">
        <v>55</v>
      </c>
      <c r="G579" s="1" t="s">
        <v>33</v>
      </c>
      <c r="H579" s="1" t="s">
        <v>89</v>
      </c>
      <c r="I579" s="1" t="s">
        <v>51</v>
      </c>
      <c r="J579" s="1" t="s">
        <v>52</v>
      </c>
      <c r="K579" s="1" t="s">
        <v>37</v>
      </c>
      <c r="L579">
        <v>4</v>
      </c>
      <c r="M579">
        <v>499</v>
      </c>
      <c r="N579">
        <v>0.2</v>
      </c>
      <c r="O579">
        <v>1596.8</v>
      </c>
      <c r="P579">
        <v>180</v>
      </c>
      <c r="Q579">
        <v>720</v>
      </c>
      <c r="R579">
        <v>0</v>
      </c>
      <c r="S579">
        <v>876.8</v>
      </c>
    </row>
    <row r="580" spans="1:19" x14ac:dyDescent="0.3">
      <c r="A580" s="1" t="s">
        <v>988</v>
      </c>
      <c r="B580" s="4">
        <v>45574</v>
      </c>
      <c r="C580" s="1" t="s">
        <v>989</v>
      </c>
      <c r="D580" s="1" t="s">
        <v>21</v>
      </c>
      <c r="E580" s="1" t="s">
        <v>54</v>
      </c>
      <c r="F580" s="1" t="s">
        <v>55</v>
      </c>
      <c r="G580" s="1" t="s">
        <v>24</v>
      </c>
      <c r="H580" s="1" t="s">
        <v>56</v>
      </c>
      <c r="I580" s="1" t="s">
        <v>59</v>
      </c>
      <c r="J580" s="1" t="s">
        <v>60</v>
      </c>
      <c r="K580" s="1" t="s">
        <v>61</v>
      </c>
      <c r="L580">
        <v>1</v>
      </c>
      <c r="M580">
        <v>999</v>
      </c>
      <c r="N580">
        <v>0.15</v>
      </c>
      <c r="O580">
        <v>849.15</v>
      </c>
      <c r="P580">
        <v>520</v>
      </c>
      <c r="Q580">
        <v>520</v>
      </c>
      <c r="R580">
        <v>80</v>
      </c>
      <c r="S580">
        <v>249.15</v>
      </c>
    </row>
    <row r="581" spans="1:19" x14ac:dyDescent="0.3">
      <c r="A581" s="1" t="s">
        <v>990</v>
      </c>
      <c r="B581" s="4">
        <v>45574</v>
      </c>
      <c r="C581" s="1" t="s">
        <v>518</v>
      </c>
      <c r="D581" s="1" t="s">
        <v>40</v>
      </c>
      <c r="E581" s="1" t="s">
        <v>112</v>
      </c>
      <c r="F581" s="1" t="s">
        <v>113</v>
      </c>
      <c r="G581" s="1" t="s">
        <v>42</v>
      </c>
      <c r="H581" s="1" t="s">
        <v>71</v>
      </c>
      <c r="I581" s="1" t="s">
        <v>51</v>
      </c>
      <c r="J581" s="1" t="s">
        <v>52</v>
      </c>
      <c r="K581" s="1" t="s">
        <v>37</v>
      </c>
      <c r="L581">
        <v>4</v>
      </c>
      <c r="M581">
        <v>499</v>
      </c>
      <c r="N581">
        <v>0.2</v>
      </c>
      <c r="O581">
        <v>1596.8</v>
      </c>
      <c r="P581">
        <v>180</v>
      </c>
      <c r="Q581">
        <v>720</v>
      </c>
      <c r="R581">
        <v>80</v>
      </c>
      <c r="S581">
        <v>796.8</v>
      </c>
    </row>
    <row r="582" spans="1:19" x14ac:dyDescent="0.3">
      <c r="A582" s="1" t="s">
        <v>991</v>
      </c>
      <c r="B582" s="4">
        <v>45574</v>
      </c>
      <c r="C582" s="1" t="s">
        <v>992</v>
      </c>
      <c r="D582" s="1" t="s">
        <v>21</v>
      </c>
      <c r="E582" s="1" t="s">
        <v>80</v>
      </c>
      <c r="F582" s="1" t="s">
        <v>55</v>
      </c>
      <c r="G582" s="1" t="s">
        <v>24</v>
      </c>
      <c r="H582" s="1" t="s">
        <v>56</v>
      </c>
      <c r="I582" s="1" t="s">
        <v>51</v>
      </c>
      <c r="J582" s="1" t="s">
        <v>52</v>
      </c>
      <c r="K582" s="1" t="s">
        <v>37</v>
      </c>
      <c r="L582">
        <v>1</v>
      </c>
      <c r="M582">
        <v>499</v>
      </c>
      <c r="N582">
        <v>0</v>
      </c>
      <c r="O582">
        <v>499</v>
      </c>
      <c r="P582">
        <v>180</v>
      </c>
      <c r="Q582">
        <v>180</v>
      </c>
      <c r="R582">
        <v>80</v>
      </c>
      <c r="S582">
        <v>239</v>
      </c>
    </row>
    <row r="583" spans="1:19" x14ac:dyDescent="0.3">
      <c r="A583" s="1" t="s">
        <v>993</v>
      </c>
      <c r="B583" s="4">
        <v>45575</v>
      </c>
      <c r="C583" s="1" t="s">
        <v>379</v>
      </c>
      <c r="D583" s="1" t="s">
        <v>21</v>
      </c>
      <c r="E583" s="1" t="s">
        <v>70</v>
      </c>
      <c r="F583" s="1" t="s">
        <v>70</v>
      </c>
      <c r="G583" s="1" t="s">
        <v>24</v>
      </c>
      <c r="H583" s="1" t="s">
        <v>34</v>
      </c>
      <c r="I583" s="1" t="s">
        <v>26</v>
      </c>
      <c r="J583" s="1" t="s">
        <v>27</v>
      </c>
      <c r="K583" s="1" t="s">
        <v>28</v>
      </c>
      <c r="L583">
        <v>1</v>
      </c>
      <c r="M583">
        <v>799</v>
      </c>
      <c r="N583">
        <v>0</v>
      </c>
      <c r="O583">
        <v>799</v>
      </c>
      <c r="P583">
        <v>420</v>
      </c>
      <c r="Q583">
        <v>420</v>
      </c>
      <c r="R583">
        <v>60</v>
      </c>
      <c r="S583">
        <v>319</v>
      </c>
    </row>
    <row r="584" spans="1:19" x14ac:dyDescent="0.3">
      <c r="A584" s="1" t="s">
        <v>994</v>
      </c>
      <c r="B584" s="4">
        <v>45575</v>
      </c>
      <c r="C584" s="1" t="s">
        <v>995</v>
      </c>
      <c r="D584" s="1" t="s">
        <v>40</v>
      </c>
      <c r="E584" s="1" t="s">
        <v>64</v>
      </c>
      <c r="F584" s="1" t="s">
        <v>65</v>
      </c>
      <c r="G584" s="1" t="s">
        <v>24</v>
      </c>
      <c r="H584" s="1" t="s">
        <v>25</v>
      </c>
      <c r="I584" s="1" t="s">
        <v>26</v>
      </c>
      <c r="J584" s="1" t="s">
        <v>27</v>
      </c>
      <c r="K584" s="1" t="s">
        <v>28</v>
      </c>
      <c r="L584">
        <v>1</v>
      </c>
      <c r="M584">
        <v>799</v>
      </c>
      <c r="N584">
        <v>0</v>
      </c>
      <c r="O584">
        <v>799</v>
      </c>
      <c r="P584">
        <v>420</v>
      </c>
      <c r="Q584">
        <v>420</v>
      </c>
      <c r="R584">
        <v>80</v>
      </c>
      <c r="S584">
        <v>299</v>
      </c>
    </row>
    <row r="585" spans="1:19" x14ac:dyDescent="0.3">
      <c r="A585" s="1" t="s">
        <v>996</v>
      </c>
      <c r="B585" s="4">
        <v>45575</v>
      </c>
      <c r="C585" s="1" t="s">
        <v>729</v>
      </c>
      <c r="D585" s="1" t="s">
        <v>48</v>
      </c>
      <c r="E585" s="1" t="s">
        <v>64</v>
      </c>
      <c r="F585" s="1" t="s">
        <v>65</v>
      </c>
      <c r="G585" s="1" t="s">
        <v>42</v>
      </c>
      <c r="H585" s="1" t="s">
        <v>34</v>
      </c>
      <c r="I585" s="1" t="s">
        <v>26</v>
      </c>
      <c r="J585" s="1" t="s">
        <v>27</v>
      </c>
      <c r="K585" s="1" t="s">
        <v>28</v>
      </c>
      <c r="L585">
        <v>1</v>
      </c>
      <c r="M585">
        <v>799</v>
      </c>
      <c r="N585">
        <v>0.05</v>
      </c>
      <c r="O585">
        <v>759.05</v>
      </c>
      <c r="P585">
        <v>420</v>
      </c>
      <c r="Q585">
        <v>420</v>
      </c>
      <c r="R585">
        <v>80</v>
      </c>
      <c r="S585">
        <v>259.05</v>
      </c>
    </row>
    <row r="586" spans="1:19" x14ac:dyDescent="0.3">
      <c r="A586" s="1" t="s">
        <v>997</v>
      </c>
      <c r="B586" s="4">
        <v>45575</v>
      </c>
      <c r="C586" s="1" t="s">
        <v>692</v>
      </c>
      <c r="D586" s="1" t="s">
        <v>21</v>
      </c>
      <c r="E586" s="1" t="s">
        <v>70</v>
      </c>
      <c r="F586" s="1" t="s">
        <v>70</v>
      </c>
      <c r="G586" s="1" t="s">
        <v>33</v>
      </c>
      <c r="H586" s="1" t="s">
        <v>34</v>
      </c>
      <c r="I586" s="1" t="s">
        <v>134</v>
      </c>
      <c r="J586" s="1" t="s">
        <v>135</v>
      </c>
      <c r="K586" s="1" t="s">
        <v>136</v>
      </c>
      <c r="L586">
        <v>2</v>
      </c>
      <c r="M586">
        <v>299</v>
      </c>
      <c r="N586">
        <v>0</v>
      </c>
      <c r="O586">
        <v>598</v>
      </c>
      <c r="P586">
        <v>110</v>
      </c>
      <c r="Q586">
        <v>220</v>
      </c>
      <c r="R586">
        <v>80</v>
      </c>
      <c r="S586">
        <v>298</v>
      </c>
    </row>
    <row r="587" spans="1:19" x14ac:dyDescent="0.3">
      <c r="A587" s="1" t="s">
        <v>998</v>
      </c>
      <c r="B587" s="4">
        <v>45575</v>
      </c>
      <c r="C587" s="1" t="s">
        <v>117</v>
      </c>
      <c r="D587" s="1" t="s">
        <v>48</v>
      </c>
      <c r="E587" s="1" t="s">
        <v>70</v>
      </c>
      <c r="F587" s="1" t="s">
        <v>70</v>
      </c>
      <c r="G587" s="1" t="s">
        <v>42</v>
      </c>
      <c r="H587" s="1" t="s">
        <v>56</v>
      </c>
      <c r="I587" s="1" t="s">
        <v>92</v>
      </c>
      <c r="J587" s="1" t="s">
        <v>93</v>
      </c>
      <c r="K587" s="1" t="s">
        <v>28</v>
      </c>
      <c r="L587">
        <v>5</v>
      </c>
      <c r="M587">
        <v>1599</v>
      </c>
      <c r="N587">
        <v>0.15</v>
      </c>
      <c r="O587">
        <v>6795.75</v>
      </c>
      <c r="P587">
        <v>900</v>
      </c>
      <c r="Q587">
        <v>4500</v>
      </c>
      <c r="R587">
        <v>60</v>
      </c>
      <c r="S587">
        <v>2235.75</v>
      </c>
    </row>
    <row r="588" spans="1:19" x14ac:dyDescent="0.3">
      <c r="A588" s="1" t="s">
        <v>999</v>
      </c>
      <c r="B588" s="4">
        <v>45576</v>
      </c>
      <c r="C588" s="1" t="s">
        <v>163</v>
      </c>
      <c r="D588" s="1" t="s">
        <v>40</v>
      </c>
      <c r="E588" s="1" t="s">
        <v>124</v>
      </c>
      <c r="F588" s="1" t="s">
        <v>125</v>
      </c>
      <c r="G588" s="1" t="s">
        <v>42</v>
      </c>
      <c r="H588" s="1" t="s">
        <v>71</v>
      </c>
      <c r="I588" s="1" t="s">
        <v>134</v>
      </c>
      <c r="J588" s="1" t="s">
        <v>135</v>
      </c>
      <c r="K588" s="1" t="s">
        <v>136</v>
      </c>
      <c r="L588">
        <v>3</v>
      </c>
      <c r="M588">
        <v>299</v>
      </c>
      <c r="N588">
        <v>0.05</v>
      </c>
      <c r="O588">
        <v>852.15</v>
      </c>
      <c r="P588">
        <v>110</v>
      </c>
      <c r="Q588">
        <v>330</v>
      </c>
      <c r="R588">
        <v>0</v>
      </c>
      <c r="S588">
        <v>522.15</v>
      </c>
    </row>
    <row r="589" spans="1:19" x14ac:dyDescent="0.3">
      <c r="A589" s="1" t="s">
        <v>1000</v>
      </c>
      <c r="B589" s="4">
        <v>45576</v>
      </c>
      <c r="C589" s="1" t="s">
        <v>275</v>
      </c>
      <c r="D589" s="1" t="s">
        <v>40</v>
      </c>
      <c r="E589" s="1" t="s">
        <v>96</v>
      </c>
      <c r="F589" s="1" t="s">
        <v>97</v>
      </c>
      <c r="G589" s="1" t="s">
        <v>42</v>
      </c>
      <c r="H589" s="1" t="s">
        <v>25</v>
      </c>
      <c r="I589" s="1" t="s">
        <v>76</v>
      </c>
      <c r="J589" s="1" t="s">
        <v>77</v>
      </c>
      <c r="K589" s="1" t="s">
        <v>37</v>
      </c>
      <c r="L589">
        <v>2</v>
      </c>
      <c r="M589">
        <v>6999</v>
      </c>
      <c r="N589">
        <v>0.2</v>
      </c>
      <c r="O589">
        <v>11198.4</v>
      </c>
      <c r="P589">
        <v>4900</v>
      </c>
      <c r="Q589">
        <v>9800</v>
      </c>
      <c r="R589">
        <v>0</v>
      </c>
      <c r="S589">
        <v>1398.4</v>
      </c>
    </row>
    <row r="590" spans="1:19" x14ac:dyDescent="0.3">
      <c r="A590" s="1" t="s">
        <v>1001</v>
      </c>
      <c r="B590" s="4">
        <v>45576</v>
      </c>
      <c r="C590" s="1" t="s">
        <v>520</v>
      </c>
      <c r="D590" s="1" t="s">
        <v>40</v>
      </c>
      <c r="E590" s="1" t="s">
        <v>124</v>
      </c>
      <c r="F590" s="1" t="s">
        <v>125</v>
      </c>
      <c r="G590" s="1" t="s">
        <v>24</v>
      </c>
      <c r="H590" s="1" t="s">
        <v>71</v>
      </c>
      <c r="I590" s="1" t="s">
        <v>43</v>
      </c>
      <c r="J590" s="1" t="s">
        <v>44</v>
      </c>
      <c r="K590" s="1" t="s">
        <v>45</v>
      </c>
      <c r="L590">
        <v>2</v>
      </c>
      <c r="M590">
        <v>1799</v>
      </c>
      <c r="N590">
        <v>0.05</v>
      </c>
      <c r="O590">
        <v>3418.1</v>
      </c>
      <c r="P590">
        <v>850</v>
      </c>
      <c r="Q590">
        <v>1700</v>
      </c>
      <c r="R590">
        <v>40</v>
      </c>
      <c r="S590">
        <v>1678.1</v>
      </c>
    </row>
    <row r="591" spans="1:19" x14ac:dyDescent="0.3">
      <c r="A591" s="1" t="s">
        <v>1002</v>
      </c>
      <c r="B591" s="4">
        <v>45576</v>
      </c>
      <c r="C591" s="1" t="s">
        <v>413</v>
      </c>
      <c r="D591" s="1" t="s">
        <v>48</v>
      </c>
      <c r="E591" s="1" t="s">
        <v>31</v>
      </c>
      <c r="F591" s="1" t="s">
        <v>32</v>
      </c>
      <c r="G591" s="1" t="s">
        <v>33</v>
      </c>
      <c r="H591" s="1" t="s">
        <v>89</v>
      </c>
      <c r="I591" s="1" t="s">
        <v>76</v>
      </c>
      <c r="J591" s="1" t="s">
        <v>77</v>
      </c>
      <c r="K591" s="1" t="s">
        <v>37</v>
      </c>
      <c r="L591">
        <v>1</v>
      </c>
      <c r="M591">
        <v>6999</v>
      </c>
      <c r="N591">
        <v>0</v>
      </c>
      <c r="O591">
        <v>6999</v>
      </c>
      <c r="P591">
        <v>4900</v>
      </c>
      <c r="Q591">
        <v>4900</v>
      </c>
      <c r="R591">
        <v>0</v>
      </c>
      <c r="S591">
        <v>2099</v>
      </c>
    </row>
    <row r="592" spans="1:19" x14ac:dyDescent="0.3">
      <c r="A592" s="1" t="s">
        <v>1003</v>
      </c>
      <c r="B592" s="4">
        <v>45577</v>
      </c>
      <c r="C592" s="1" t="s">
        <v>676</v>
      </c>
      <c r="D592" s="1" t="s">
        <v>40</v>
      </c>
      <c r="E592" s="1" t="s">
        <v>70</v>
      </c>
      <c r="F592" s="1" t="s">
        <v>70</v>
      </c>
      <c r="G592" s="1" t="s">
        <v>33</v>
      </c>
      <c r="H592" s="1" t="s">
        <v>89</v>
      </c>
      <c r="I592" s="1" t="s">
        <v>43</v>
      </c>
      <c r="J592" s="1" t="s">
        <v>44</v>
      </c>
      <c r="K592" s="1" t="s">
        <v>45</v>
      </c>
      <c r="L592">
        <v>1</v>
      </c>
      <c r="M592">
        <v>1799</v>
      </c>
      <c r="N592">
        <v>0</v>
      </c>
      <c r="O592">
        <v>1799</v>
      </c>
      <c r="P592">
        <v>850</v>
      </c>
      <c r="Q592">
        <v>850</v>
      </c>
      <c r="R592">
        <v>80</v>
      </c>
      <c r="S592">
        <v>869</v>
      </c>
    </row>
    <row r="593" spans="1:19" x14ac:dyDescent="0.3">
      <c r="A593" s="1" t="s">
        <v>1004</v>
      </c>
      <c r="B593" s="4">
        <v>45577</v>
      </c>
      <c r="C593" s="1" t="s">
        <v>234</v>
      </c>
      <c r="D593" s="1" t="s">
        <v>21</v>
      </c>
      <c r="E593" s="1" t="s">
        <v>41</v>
      </c>
      <c r="F593" s="1" t="s">
        <v>32</v>
      </c>
      <c r="G593" s="1" t="s">
        <v>33</v>
      </c>
      <c r="H593" s="1" t="s">
        <v>89</v>
      </c>
      <c r="I593" s="1" t="s">
        <v>72</v>
      </c>
      <c r="J593" s="1" t="s">
        <v>73</v>
      </c>
      <c r="K593" s="1" t="s">
        <v>28</v>
      </c>
      <c r="L593">
        <v>3</v>
      </c>
      <c r="M593">
        <v>2199</v>
      </c>
      <c r="N593">
        <v>0.15</v>
      </c>
      <c r="O593">
        <v>5607.45</v>
      </c>
      <c r="P593">
        <v>1250</v>
      </c>
      <c r="Q593">
        <v>3750</v>
      </c>
      <c r="R593">
        <v>60</v>
      </c>
      <c r="S593">
        <v>1797.45</v>
      </c>
    </row>
    <row r="594" spans="1:19" x14ac:dyDescent="0.3">
      <c r="A594" s="1" t="s">
        <v>1005</v>
      </c>
      <c r="B594" s="4">
        <v>45577</v>
      </c>
      <c r="C594" s="1" t="s">
        <v>1006</v>
      </c>
      <c r="D594" s="1" t="s">
        <v>21</v>
      </c>
      <c r="E594" s="1" t="s">
        <v>41</v>
      </c>
      <c r="F594" s="1" t="s">
        <v>32</v>
      </c>
      <c r="G594" s="1" t="s">
        <v>24</v>
      </c>
      <c r="H594" s="1" t="s">
        <v>89</v>
      </c>
      <c r="I594" s="1" t="s">
        <v>66</v>
      </c>
      <c r="J594" s="1" t="s">
        <v>67</v>
      </c>
      <c r="K594" s="1" t="s">
        <v>28</v>
      </c>
      <c r="L594">
        <v>5</v>
      </c>
      <c r="M594">
        <v>2499</v>
      </c>
      <c r="N594">
        <v>0.05</v>
      </c>
      <c r="O594">
        <v>11870.25</v>
      </c>
      <c r="P594">
        <v>1450</v>
      </c>
      <c r="Q594">
        <v>7250</v>
      </c>
      <c r="R594">
        <v>60</v>
      </c>
      <c r="S594">
        <v>4560.25</v>
      </c>
    </row>
    <row r="595" spans="1:19" x14ac:dyDescent="0.3">
      <c r="A595" s="1" t="s">
        <v>1007</v>
      </c>
      <c r="B595" s="4">
        <v>45578</v>
      </c>
      <c r="C595" s="1" t="s">
        <v>261</v>
      </c>
      <c r="D595" s="1" t="s">
        <v>21</v>
      </c>
      <c r="E595" s="1" t="s">
        <v>64</v>
      </c>
      <c r="F595" s="1" t="s">
        <v>65</v>
      </c>
      <c r="G595" s="1" t="s">
        <v>42</v>
      </c>
      <c r="H595" s="1" t="s">
        <v>71</v>
      </c>
      <c r="I595" s="1" t="s">
        <v>26</v>
      </c>
      <c r="J595" s="1" t="s">
        <v>27</v>
      </c>
      <c r="K595" s="1" t="s">
        <v>28</v>
      </c>
      <c r="L595">
        <v>2</v>
      </c>
      <c r="M595">
        <v>799</v>
      </c>
      <c r="N595">
        <v>0</v>
      </c>
      <c r="O595">
        <v>1598</v>
      </c>
      <c r="P595">
        <v>420</v>
      </c>
      <c r="Q595">
        <v>840</v>
      </c>
      <c r="R595">
        <v>80</v>
      </c>
      <c r="S595">
        <v>678</v>
      </c>
    </row>
    <row r="596" spans="1:19" x14ac:dyDescent="0.3">
      <c r="A596" s="1" t="s">
        <v>1008</v>
      </c>
      <c r="B596" s="4">
        <v>45580</v>
      </c>
      <c r="C596" s="1" t="s">
        <v>1009</v>
      </c>
      <c r="D596" s="1" t="s">
        <v>48</v>
      </c>
      <c r="E596" s="1" t="s">
        <v>31</v>
      </c>
      <c r="F596" s="1" t="s">
        <v>32</v>
      </c>
      <c r="G596" s="1" t="s">
        <v>24</v>
      </c>
      <c r="H596" s="1" t="s">
        <v>56</v>
      </c>
      <c r="I596" s="1" t="s">
        <v>43</v>
      </c>
      <c r="J596" s="1" t="s">
        <v>44</v>
      </c>
      <c r="K596" s="1" t="s">
        <v>45</v>
      </c>
      <c r="L596">
        <v>1</v>
      </c>
      <c r="M596">
        <v>1799</v>
      </c>
      <c r="N596">
        <v>0.1</v>
      </c>
      <c r="O596">
        <v>1619.1</v>
      </c>
      <c r="P596">
        <v>850</v>
      </c>
      <c r="Q596">
        <v>850</v>
      </c>
      <c r="R596">
        <v>40</v>
      </c>
      <c r="S596">
        <v>729.1</v>
      </c>
    </row>
    <row r="597" spans="1:19" x14ac:dyDescent="0.3">
      <c r="A597" s="1" t="s">
        <v>1010</v>
      </c>
      <c r="B597" s="4">
        <v>45580</v>
      </c>
      <c r="C597" s="1" t="s">
        <v>658</v>
      </c>
      <c r="D597" s="1" t="s">
        <v>21</v>
      </c>
      <c r="E597" s="1" t="s">
        <v>31</v>
      </c>
      <c r="F597" s="1" t="s">
        <v>32</v>
      </c>
      <c r="G597" s="1" t="s">
        <v>42</v>
      </c>
      <c r="H597" s="1" t="s">
        <v>89</v>
      </c>
      <c r="I597" s="1" t="s">
        <v>92</v>
      </c>
      <c r="J597" s="1" t="s">
        <v>93</v>
      </c>
      <c r="K597" s="1" t="s">
        <v>28</v>
      </c>
      <c r="L597">
        <v>2</v>
      </c>
      <c r="M597">
        <v>1599</v>
      </c>
      <c r="N597">
        <v>0</v>
      </c>
      <c r="O597">
        <v>3198</v>
      </c>
      <c r="P597">
        <v>900</v>
      </c>
      <c r="Q597">
        <v>1800</v>
      </c>
      <c r="R597">
        <v>40</v>
      </c>
      <c r="S597">
        <v>1358</v>
      </c>
    </row>
    <row r="598" spans="1:19" x14ac:dyDescent="0.3">
      <c r="A598" s="1" t="s">
        <v>1011</v>
      </c>
      <c r="B598" s="4">
        <v>45581</v>
      </c>
      <c r="C598" s="1" t="s">
        <v>894</v>
      </c>
      <c r="D598" s="1" t="s">
        <v>40</v>
      </c>
      <c r="E598" s="1" t="s">
        <v>112</v>
      </c>
      <c r="F598" s="1" t="s">
        <v>113</v>
      </c>
      <c r="G598" s="1" t="s">
        <v>42</v>
      </c>
      <c r="H598" s="1" t="s">
        <v>71</v>
      </c>
      <c r="I598" s="1" t="s">
        <v>72</v>
      </c>
      <c r="J598" s="1" t="s">
        <v>73</v>
      </c>
      <c r="K598" s="1" t="s">
        <v>28</v>
      </c>
      <c r="L598">
        <v>2</v>
      </c>
      <c r="M598">
        <v>2199</v>
      </c>
      <c r="N598">
        <v>0.1</v>
      </c>
      <c r="O598">
        <v>3958.2</v>
      </c>
      <c r="P598">
        <v>1250</v>
      </c>
      <c r="Q598">
        <v>2500</v>
      </c>
      <c r="R598">
        <v>40</v>
      </c>
      <c r="S598">
        <v>1418.2</v>
      </c>
    </row>
    <row r="599" spans="1:19" x14ac:dyDescent="0.3">
      <c r="A599" s="1" t="s">
        <v>1012</v>
      </c>
      <c r="B599" s="4">
        <v>45581</v>
      </c>
      <c r="C599" s="1" t="s">
        <v>206</v>
      </c>
      <c r="D599" s="1" t="s">
        <v>48</v>
      </c>
      <c r="E599" s="1" t="s">
        <v>80</v>
      </c>
      <c r="F599" s="1" t="s">
        <v>55</v>
      </c>
      <c r="G599" s="1" t="s">
        <v>42</v>
      </c>
      <c r="H599" s="1" t="s">
        <v>71</v>
      </c>
      <c r="I599" s="1" t="s">
        <v>81</v>
      </c>
      <c r="J599" s="1" t="s">
        <v>82</v>
      </c>
      <c r="K599" s="1" t="s">
        <v>61</v>
      </c>
      <c r="L599">
        <v>2</v>
      </c>
      <c r="M599">
        <v>2999</v>
      </c>
      <c r="N599">
        <v>0</v>
      </c>
      <c r="O599">
        <v>5998</v>
      </c>
      <c r="P599">
        <v>1750</v>
      </c>
      <c r="Q599">
        <v>3500</v>
      </c>
      <c r="R599">
        <v>100</v>
      </c>
      <c r="S599">
        <v>2398</v>
      </c>
    </row>
    <row r="600" spans="1:19" x14ac:dyDescent="0.3">
      <c r="A600" s="1" t="s">
        <v>1013</v>
      </c>
      <c r="B600" s="4">
        <v>45582</v>
      </c>
      <c r="C600" s="1" t="s">
        <v>1014</v>
      </c>
      <c r="D600" s="1" t="s">
        <v>40</v>
      </c>
      <c r="E600" s="1" t="s">
        <v>80</v>
      </c>
      <c r="F600" s="1" t="s">
        <v>55</v>
      </c>
      <c r="G600" s="1" t="s">
        <v>33</v>
      </c>
      <c r="H600" s="1" t="s">
        <v>89</v>
      </c>
      <c r="I600" s="1" t="s">
        <v>51</v>
      </c>
      <c r="J600" s="1" t="s">
        <v>52</v>
      </c>
      <c r="K600" s="1" t="s">
        <v>37</v>
      </c>
      <c r="L600">
        <v>1</v>
      </c>
      <c r="M600">
        <v>499</v>
      </c>
      <c r="N600">
        <v>0.2</v>
      </c>
      <c r="O600">
        <v>399.2</v>
      </c>
      <c r="P600">
        <v>180</v>
      </c>
      <c r="Q600">
        <v>180</v>
      </c>
      <c r="R600">
        <v>100</v>
      </c>
      <c r="S600">
        <v>119.2</v>
      </c>
    </row>
    <row r="601" spans="1:19" x14ac:dyDescent="0.3">
      <c r="A601" s="1" t="s">
        <v>1015</v>
      </c>
      <c r="B601" s="4">
        <v>45582</v>
      </c>
      <c r="C601" s="1" t="s">
        <v>796</v>
      </c>
      <c r="D601" s="1" t="s">
        <v>48</v>
      </c>
      <c r="E601" s="1" t="s">
        <v>49</v>
      </c>
      <c r="F601" s="1" t="s">
        <v>50</v>
      </c>
      <c r="G601" s="1" t="s">
        <v>33</v>
      </c>
      <c r="H601" s="1" t="s">
        <v>89</v>
      </c>
      <c r="I601" s="1" t="s">
        <v>59</v>
      </c>
      <c r="J601" s="1" t="s">
        <v>60</v>
      </c>
      <c r="K601" s="1" t="s">
        <v>61</v>
      </c>
      <c r="L601">
        <v>2</v>
      </c>
      <c r="M601">
        <v>999</v>
      </c>
      <c r="N601">
        <v>0.1</v>
      </c>
      <c r="O601">
        <v>1798.2</v>
      </c>
      <c r="P601">
        <v>520</v>
      </c>
      <c r="Q601">
        <v>1040</v>
      </c>
      <c r="R601">
        <v>40</v>
      </c>
      <c r="S601">
        <v>718.2</v>
      </c>
    </row>
    <row r="602" spans="1:19" x14ac:dyDescent="0.3">
      <c r="A602" s="1" t="s">
        <v>1016</v>
      </c>
      <c r="B602" s="4">
        <v>45582</v>
      </c>
      <c r="C602" s="1" t="s">
        <v>1017</v>
      </c>
      <c r="D602" s="1" t="s">
        <v>48</v>
      </c>
      <c r="E602" s="1" t="s">
        <v>124</v>
      </c>
      <c r="F602" s="1" t="s">
        <v>125</v>
      </c>
      <c r="G602" s="1" t="s">
        <v>33</v>
      </c>
      <c r="H602" s="1" t="s">
        <v>56</v>
      </c>
      <c r="I602" s="1" t="s">
        <v>59</v>
      </c>
      <c r="J602" s="1" t="s">
        <v>60</v>
      </c>
      <c r="K602" s="1" t="s">
        <v>61</v>
      </c>
      <c r="L602">
        <v>2</v>
      </c>
      <c r="M602">
        <v>999</v>
      </c>
      <c r="N602">
        <v>0.1</v>
      </c>
      <c r="O602">
        <v>1798.2</v>
      </c>
      <c r="P602">
        <v>520</v>
      </c>
      <c r="Q602">
        <v>1040</v>
      </c>
      <c r="R602">
        <v>0</v>
      </c>
      <c r="S602">
        <v>758.2</v>
      </c>
    </row>
    <row r="603" spans="1:19" x14ac:dyDescent="0.3">
      <c r="A603" s="1" t="s">
        <v>1018</v>
      </c>
      <c r="B603" s="4">
        <v>45582</v>
      </c>
      <c r="C603" s="1" t="s">
        <v>341</v>
      </c>
      <c r="D603" s="1" t="s">
        <v>48</v>
      </c>
      <c r="E603" s="1" t="s">
        <v>124</v>
      </c>
      <c r="F603" s="1" t="s">
        <v>125</v>
      </c>
      <c r="G603" s="1" t="s">
        <v>42</v>
      </c>
      <c r="H603" s="1" t="s">
        <v>56</v>
      </c>
      <c r="I603" s="1" t="s">
        <v>92</v>
      </c>
      <c r="J603" s="1" t="s">
        <v>93</v>
      </c>
      <c r="K603" s="1" t="s">
        <v>28</v>
      </c>
      <c r="L603">
        <v>1</v>
      </c>
      <c r="M603">
        <v>1599</v>
      </c>
      <c r="N603">
        <v>0.05</v>
      </c>
      <c r="O603">
        <v>1519.05</v>
      </c>
      <c r="P603">
        <v>900</v>
      </c>
      <c r="Q603">
        <v>900</v>
      </c>
      <c r="R603">
        <v>40</v>
      </c>
      <c r="S603">
        <v>579.04999999999995</v>
      </c>
    </row>
    <row r="604" spans="1:19" x14ac:dyDescent="0.3">
      <c r="A604" s="1" t="s">
        <v>1019</v>
      </c>
      <c r="B604" s="4">
        <v>45583</v>
      </c>
      <c r="C604" s="1" t="s">
        <v>871</v>
      </c>
      <c r="D604" s="1" t="s">
        <v>21</v>
      </c>
      <c r="E604" s="1" t="s">
        <v>70</v>
      </c>
      <c r="F604" s="1" t="s">
        <v>70</v>
      </c>
      <c r="G604" s="1" t="s">
        <v>33</v>
      </c>
      <c r="H604" s="1" t="s">
        <v>89</v>
      </c>
      <c r="I604" s="1" t="s">
        <v>81</v>
      </c>
      <c r="J604" s="1" t="s">
        <v>82</v>
      </c>
      <c r="K604" s="1" t="s">
        <v>61</v>
      </c>
      <c r="L604">
        <v>1</v>
      </c>
      <c r="M604">
        <v>2999</v>
      </c>
      <c r="N604">
        <v>0.15</v>
      </c>
      <c r="O604">
        <v>2549.15</v>
      </c>
      <c r="P604">
        <v>1750</v>
      </c>
      <c r="Q604">
        <v>1750</v>
      </c>
      <c r="R604">
        <v>0</v>
      </c>
      <c r="S604">
        <v>799.15</v>
      </c>
    </row>
    <row r="605" spans="1:19" x14ac:dyDescent="0.3">
      <c r="A605" s="1" t="s">
        <v>1020</v>
      </c>
      <c r="B605" s="4">
        <v>45583</v>
      </c>
      <c r="C605" s="1" t="s">
        <v>47</v>
      </c>
      <c r="D605" s="1" t="s">
        <v>48</v>
      </c>
      <c r="E605" s="1" t="s">
        <v>49</v>
      </c>
      <c r="F605" s="1" t="s">
        <v>50</v>
      </c>
      <c r="G605" s="1" t="s">
        <v>24</v>
      </c>
      <c r="H605" s="1" t="s">
        <v>56</v>
      </c>
      <c r="I605" s="1" t="s">
        <v>72</v>
      </c>
      <c r="J605" s="1" t="s">
        <v>73</v>
      </c>
      <c r="K605" s="1" t="s">
        <v>28</v>
      </c>
      <c r="L605">
        <v>1</v>
      </c>
      <c r="M605">
        <v>2199</v>
      </c>
      <c r="N605">
        <v>0.2</v>
      </c>
      <c r="O605">
        <v>1759.2</v>
      </c>
      <c r="P605">
        <v>1250</v>
      </c>
      <c r="Q605">
        <v>1250</v>
      </c>
      <c r="R605">
        <v>60</v>
      </c>
      <c r="S605">
        <v>449.2</v>
      </c>
    </row>
    <row r="606" spans="1:19" x14ac:dyDescent="0.3">
      <c r="A606" s="1" t="s">
        <v>1021</v>
      </c>
      <c r="B606" s="4">
        <v>45583</v>
      </c>
      <c r="C606" s="1" t="s">
        <v>722</v>
      </c>
      <c r="D606" s="1" t="s">
        <v>40</v>
      </c>
      <c r="E606" s="1" t="s">
        <v>54</v>
      </c>
      <c r="F606" s="1" t="s">
        <v>55</v>
      </c>
      <c r="G606" s="1" t="s">
        <v>42</v>
      </c>
      <c r="H606" s="1" t="s">
        <v>71</v>
      </c>
      <c r="I606" s="1" t="s">
        <v>134</v>
      </c>
      <c r="J606" s="1" t="s">
        <v>135</v>
      </c>
      <c r="K606" s="1" t="s">
        <v>136</v>
      </c>
      <c r="L606">
        <v>1</v>
      </c>
      <c r="M606">
        <v>299</v>
      </c>
      <c r="N606">
        <v>0</v>
      </c>
      <c r="O606">
        <v>299</v>
      </c>
      <c r="P606">
        <v>110</v>
      </c>
      <c r="Q606">
        <v>110</v>
      </c>
      <c r="R606">
        <v>60</v>
      </c>
      <c r="S606">
        <v>129</v>
      </c>
    </row>
    <row r="607" spans="1:19" x14ac:dyDescent="0.3">
      <c r="A607" s="1" t="s">
        <v>1022</v>
      </c>
      <c r="B607" s="4">
        <v>45583</v>
      </c>
      <c r="C607" s="1" t="s">
        <v>157</v>
      </c>
      <c r="D607" s="1" t="s">
        <v>40</v>
      </c>
      <c r="E607" s="1" t="s">
        <v>96</v>
      </c>
      <c r="F607" s="1" t="s">
        <v>97</v>
      </c>
      <c r="G607" s="1" t="s">
        <v>33</v>
      </c>
      <c r="H607" s="1" t="s">
        <v>89</v>
      </c>
      <c r="I607" s="1" t="s">
        <v>81</v>
      </c>
      <c r="J607" s="1" t="s">
        <v>82</v>
      </c>
      <c r="K607" s="1" t="s">
        <v>61</v>
      </c>
      <c r="L607">
        <v>1</v>
      </c>
      <c r="M607">
        <v>2999</v>
      </c>
      <c r="N607">
        <v>0.15</v>
      </c>
      <c r="O607">
        <v>2549.15</v>
      </c>
      <c r="P607">
        <v>1750</v>
      </c>
      <c r="Q607">
        <v>1750</v>
      </c>
      <c r="R607">
        <v>80</v>
      </c>
      <c r="S607">
        <v>719.15</v>
      </c>
    </row>
    <row r="608" spans="1:19" x14ac:dyDescent="0.3">
      <c r="A608" s="1" t="s">
        <v>1023</v>
      </c>
      <c r="B608" s="4">
        <v>45584</v>
      </c>
      <c r="C608" s="1" t="s">
        <v>1006</v>
      </c>
      <c r="D608" s="1" t="s">
        <v>48</v>
      </c>
      <c r="E608" s="1" t="s">
        <v>41</v>
      </c>
      <c r="F608" s="1" t="s">
        <v>32</v>
      </c>
      <c r="G608" s="1" t="s">
        <v>42</v>
      </c>
      <c r="H608" s="1" t="s">
        <v>34</v>
      </c>
      <c r="I608" s="1" t="s">
        <v>85</v>
      </c>
      <c r="J608" s="1" t="s">
        <v>86</v>
      </c>
      <c r="K608" s="1" t="s">
        <v>45</v>
      </c>
      <c r="L608">
        <v>4</v>
      </c>
      <c r="M608">
        <v>599</v>
      </c>
      <c r="N608">
        <v>0</v>
      </c>
      <c r="O608">
        <v>2396</v>
      </c>
      <c r="P608">
        <v>240</v>
      </c>
      <c r="Q608">
        <v>960</v>
      </c>
      <c r="R608">
        <v>80</v>
      </c>
      <c r="S608">
        <v>1356</v>
      </c>
    </row>
    <row r="609" spans="1:19" x14ac:dyDescent="0.3">
      <c r="A609" s="1" t="s">
        <v>1024</v>
      </c>
      <c r="B609" s="4">
        <v>45585</v>
      </c>
      <c r="C609" s="1" t="s">
        <v>1025</v>
      </c>
      <c r="D609" s="1" t="s">
        <v>40</v>
      </c>
      <c r="E609" s="1" t="s">
        <v>22</v>
      </c>
      <c r="F609" s="1" t="s">
        <v>23</v>
      </c>
      <c r="G609" s="1" t="s">
        <v>33</v>
      </c>
      <c r="H609" s="1" t="s">
        <v>34</v>
      </c>
      <c r="I609" s="1" t="s">
        <v>35</v>
      </c>
      <c r="J609" s="1" t="s">
        <v>36</v>
      </c>
      <c r="K609" s="1" t="s">
        <v>37</v>
      </c>
      <c r="L609">
        <v>4</v>
      </c>
      <c r="M609">
        <v>1299</v>
      </c>
      <c r="N609">
        <v>0.15</v>
      </c>
      <c r="O609">
        <v>4416.6000000000004</v>
      </c>
      <c r="P609">
        <v>700</v>
      </c>
      <c r="Q609">
        <v>2800</v>
      </c>
      <c r="R609">
        <v>40</v>
      </c>
      <c r="S609">
        <v>1576.6</v>
      </c>
    </row>
    <row r="610" spans="1:19" x14ac:dyDescent="0.3">
      <c r="A610" s="1" t="s">
        <v>1026</v>
      </c>
      <c r="B610" s="4">
        <v>45585</v>
      </c>
      <c r="C610" s="1" t="s">
        <v>547</v>
      </c>
      <c r="D610" s="1" t="s">
        <v>40</v>
      </c>
      <c r="E610" s="1" t="s">
        <v>31</v>
      </c>
      <c r="F610" s="1" t="s">
        <v>32</v>
      </c>
      <c r="G610" s="1" t="s">
        <v>24</v>
      </c>
      <c r="H610" s="1" t="s">
        <v>56</v>
      </c>
      <c r="I610" s="1" t="s">
        <v>66</v>
      </c>
      <c r="J610" s="1" t="s">
        <v>67</v>
      </c>
      <c r="K610" s="1" t="s">
        <v>28</v>
      </c>
      <c r="L610">
        <v>1</v>
      </c>
      <c r="M610">
        <v>2499</v>
      </c>
      <c r="N610">
        <v>0.2</v>
      </c>
      <c r="O610">
        <v>1999.2</v>
      </c>
      <c r="P610">
        <v>1450</v>
      </c>
      <c r="Q610">
        <v>1450</v>
      </c>
      <c r="R610">
        <v>0</v>
      </c>
      <c r="S610">
        <v>549.20000000000005</v>
      </c>
    </row>
    <row r="611" spans="1:19" x14ac:dyDescent="0.3">
      <c r="A611" s="1" t="s">
        <v>1027</v>
      </c>
      <c r="B611" s="4">
        <v>45585</v>
      </c>
      <c r="C611" s="1" t="s">
        <v>662</v>
      </c>
      <c r="D611" s="1" t="s">
        <v>40</v>
      </c>
      <c r="E611" s="1" t="s">
        <v>22</v>
      </c>
      <c r="F611" s="1" t="s">
        <v>23</v>
      </c>
      <c r="G611" s="1" t="s">
        <v>24</v>
      </c>
      <c r="H611" s="1" t="s">
        <v>71</v>
      </c>
      <c r="I611" s="1" t="s">
        <v>43</v>
      </c>
      <c r="J611" s="1" t="s">
        <v>44</v>
      </c>
      <c r="K611" s="1" t="s">
        <v>45</v>
      </c>
      <c r="L611">
        <v>1</v>
      </c>
      <c r="M611">
        <v>1799</v>
      </c>
      <c r="N611">
        <v>0.15</v>
      </c>
      <c r="O611">
        <v>1529.15</v>
      </c>
      <c r="P611">
        <v>850</v>
      </c>
      <c r="Q611">
        <v>850</v>
      </c>
      <c r="R611">
        <v>0</v>
      </c>
      <c r="S611">
        <v>679.15</v>
      </c>
    </row>
    <row r="612" spans="1:19" x14ac:dyDescent="0.3">
      <c r="A612" s="1" t="s">
        <v>1028</v>
      </c>
      <c r="B612" s="4">
        <v>45585</v>
      </c>
      <c r="C612" s="1" t="s">
        <v>744</v>
      </c>
      <c r="D612" s="1" t="s">
        <v>21</v>
      </c>
      <c r="E612" s="1" t="s">
        <v>41</v>
      </c>
      <c r="F612" s="1" t="s">
        <v>32</v>
      </c>
      <c r="G612" s="1" t="s">
        <v>33</v>
      </c>
      <c r="H612" s="1" t="s">
        <v>89</v>
      </c>
      <c r="I612" s="1" t="s">
        <v>43</v>
      </c>
      <c r="J612" s="1" t="s">
        <v>44</v>
      </c>
      <c r="K612" s="1" t="s">
        <v>45</v>
      </c>
      <c r="L612">
        <v>2</v>
      </c>
      <c r="M612">
        <v>1799</v>
      </c>
      <c r="N612">
        <v>0</v>
      </c>
      <c r="O612">
        <v>3598</v>
      </c>
      <c r="P612">
        <v>850</v>
      </c>
      <c r="Q612">
        <v>1700</v>
      </c>
      <c r="R612">
        <v>40</v>
      </c>
      <c r="S612">
        <v>1858</v>
      </c>
    </row>
    <row r="613" spans="1:19" x14ac:dyDescent="0.3">
      <c r="A613" s="1" t="s">
        <v>1029</v>
      </c>
      <c r="B613" s="4">
        <v>45586</v>
      </c>
      <c r="C613" s="1" t="s">
        <v>1030</v>
      </c>
      <c r="D613" s="1" t="s">
        <v>21</v>
      </c>
      <c r="E613" s="1" t="s">
        <v>112</v>
      </c>
      <c r="F613" s="1" t="s">
        <v>113</v>
      </c>
      <c r="G613" s="1" t="s">
        <v>42</v>
      </c>
      <c r="H613" s="1" t="s">
        <v>71</v>
      </c>
      <c r="I613" s="1" t="s">
        <v>66</v>
      </c>
      <c r="J613" s="1" t="s">
        <v>67</v>
      </c>
      <c r="K613" s="1" t="s">
        <v>28</v>
      </c>
      <c r="L613">
        <v>2</v>
      </c>
      <c r="M613">
        <v>2499</v>
      </c>
      <c r="N613">
        <v>0.15</v>
      </c>
      <c r="O613">
        <v>4248.3</v>
      </c>
      <c r="P613">
        <v>1450</v>
      </c>
      <c r="Q613">
        <v>2900</v>
      </c>
      <c r="R613">
        <v>80</v>
      </c>
      <c r="S613">
        <v>1268.3</v>
      </c>
    </row>
    <row r="614" spans="1:19" x14ac:dyDescent="0.3">
      <c r="A614" s="1" t="s">
        <v>1031</v>
      </c>
      <c r="B614" s="4">
        <v>45586</v>
      </c>
      <c r="C614" s="1" t="s">
        <v>115</v>
      </c>
      <c r="D614" s="1" t="s">
        <v>40</v>
      </c>
      <c r="E614" s="1" t="s">
        <v>120</v>
      </c>
      <c r="F614" s="1" t="s">
        <v>121</v>
      </c>
      <c r="G614" s="1" t="s">
        <v>24</v>
      </c>
      <c r="H614" s="1" t="s">
        <v>34</v>
      </c>
      <c r="I614" s="1" t="s">
        <v>134</v>
      </c>
      <c r="J614" s="1" t="s">
        <v>135</v>
      </c>
      <c r="K614" s="1" t="s">
        <v>136</v>
      </c>
      <c r="L614">
        <v>1</v>
      </c>
      <c r="M614">
        <v>299</v>
      </c>
      <c r="N614">
        <v>0</v>
      </c>
      <c r="O614">
        <v>299</v>
      </c>
      <c r="P614">
        <v>110</v>
      </c>
      <c r="Q614">
        <v>110</v>
      </c>
      <c r="R614">
        <v>100</v>
      </c>
      <c r="S614">
        <v>89</v>
      </c>
    </row>
    <row r="615" spans="1:19" x14ac:dyDescent="0.3">
      <c r="A615" s="1" t="s">
        <v>1032</v>
      </c>
      <c r="B615" s="4">
        <v>45586</v>
      </c>
      <c r="C615" s="1" t="s">
        <v>208</v>
      </c>
      <c r="D615" s="1" t="s">
        <v>48</v>
      </c>
      <c r="E615" s="1" t="s">
        <v>96</v>
      </c>
      <c r="F615" s="1" t="s">
        <v>97</v>
      </c>
      <c r="G615" s="1" t="s">
        <v>33</v>
      </c>
      <c r="H615" s="1" t="s">
        <v>34</v>
      </c>
      <c r="I615" s="1" t="s">
        <v>76</v>
      </c>
      <c r="J615" s="1" t="s">
        <v>77</v>
      </c>
      <c r="K615" s="1" t="s">
        <v>37</v>
      </c>
      <c r="L615">
        <v>4</v>
      </c>
      <c r="M615">
        <v>6999</v>
      </c>
      <c r="N615">
        <v>0.1</v>
      </c>
      <c r="O615">
        <v>25196.400000000001</v>
      </c>
      <c r="P615">
        <v>4900</v>
      </c>
      <c r="Q615">
        <v>19600</v>
      </c>
      <c r="R615">
        <v>60</v>
      </c>
      <c r="S615">
        <v>5536.4</v>
      </c>
    </row>
    <row r="616" spans="1:19" x14ac:dyDescent="0.3">
      <c r="A616" s="1" t="s">
        <v>1033</v>
      </c>
      <c r="B616" s="4">
        <v>45587</v>
      </c>
      <c r="C616" s="1" t="s">
        <v>1034</v>
      </c>
      <c r="D616" s="1" t="s">
        <v>40</v>
      </c>
      <c r="E616" s="1" t="s">
        <v>120</v>
      </c>
      <c r="F616" s="1" t="s">
        <v>121</v>
      </c>
      <c r="G616" s="1" t="s">
        <v>24</v>
      </c>
      <c r="H616" s="1" t="s">
        <v>25</v>
      </c>
      <c r="I616" s="1" t="s">
        <v>92</v>
      </c>
      <c r="J616" s="1" t="s">
        <v>93</v>
      </c>
      <c r="K616" s="1" t="s">
        <v>28</v>
      </c>
      <c r="L616">
        <v>3</v>
      </c>
      <c r="M616">
        <v>1599</v>
      </c>
      <c r="N616">
        <v>0.15</v>
      </c>
      <c r="O616">
        <v>4077.45</v>
      </c>
      <c r="P616">
        <v>900</v>
      </c>
      <c r="Q616">
        <v>2700</v>
      </c>
      <c r="R616">
        <v>80</v>
      </c>
      <c r="S616">
        <v>1297.45</v>
      </c>
    </row>
    <row r="617" spans="1:19" x14ac:dyDescent="0.3">
      <c r="A617" s="1" t="s">
        <v>1035</v>
      </c>
      <c r="B617" s="4">
        <v>45587</v>
      </c>
      <c r="C617" s="1" t="s">
        <v>1036</v>
      </c>
      <c r="D617" s="1" t="s">
        <v>40</v>
      </c>
      <c r="E617" s="1" t="s">
        <v>64</v>
      </c>
      <c r="F617" s="1" t="s">
        <v>65</v>
      </c>
      <c r="G617" s="1" t="s">
        <v>24</v>
      </c>
      <c r="H617" s="1" t="s">
        <v>71</v>
      </c>
      <c r="I617" s="1" t="s">
        <v>66</v>
      </c>
      <c r="J617" s="1" t="s">
        <v>67</v>
      </c>
      <c r="K617" s="1" t="s">
        <v>28</v>
      </c>
      <c r="L617">
        <v>5</v>
      </c>
      <c r="M617">
        <v>2499</v>
      </c>
      <c r="N617">
        <v>0.1</v>
      </c>
      <c r="O617">
        <v>11245.5</v>
      </c>
      <c r="P617">
        <v>1450</v>
      </c>
      <c r="Q617">
        <v>7250</v>
      </c>
      <c r="R617">
        <v>40</v>
      </c>
      <c r="S617">
        <v>3955.5</v>
      </c>
    </row>
    <row r="618" spans="1:19" x14ac:dyDescent="0.3">
      <c r="A618" s="1" t="s">
        <v>1037</v>
      </c>
      <c r="B618" s="4">
        <v>45587</v>
      </c>
      <c r="C618" s="1" t="s">
        <v>105</v>
      </c>
      <c r="D618" s="1" t="s">
        <v>21</v>
      </c>
      <c r="E618" s="1" t="s">
        <v>54</v>
      </c>
      <c r="F618" s="1" t="s">
        <v>55</v>
      </c>
      <c r="G618" s="1" t="s">
        <v>42</v>
      </c>
      <c r="H618" s="1" t="s">
        <v>34</v>
      </c>
      <c r="I618" s="1" t="s">
        <v>76</v>
      </c>
      <c r="J618" s="1" t="s">
        <v>77</v>
      </c>
      <c r="K618" s="1" t="s">
        <v>37</v>
      </c>
      <c r="L618">
        <v>1</v>
      </c>
      <c r="M618">
        <v>6999</v>
      </c>
      <c r="N618">
        <v>0</v>
      </c>
      <c r="O618">
        <v>6999</v>
      </c>
      <c r="P618">
        <v>4900</v>
      </c>
      <c r="Q618">
        <v>4900</v>
      </c>
      <c r="R618">
        <v>40</v>
      </c>
      <c r="S618">
        <v>2059</v>
      </c>
    </row>
    <row r="619" spans="1:19" x14ac:dyDescent="0.3">
      <c r="A619" s="1" t="s">
        <v>1038</v>
      </c>
      <c r="B619" s="4">
        <v>45588</v>
      </c>
      <c r="C619" s="1" t="s">
        <v>498</v>
      </c>
      <c r="D619" s="1" t="s">
        <v>48</v>
      </c>
      <c r="E619" s="1" t="s">
        <v>96</v>
      </c>
      <c r="F619" s="1" t="s">
        <v>97</v>
      </c>
      <c r="G619" s="1" t="s">
        <v>33</v>
      </c>
      <c r="H619" s="1" t="s">
        <v>25</v>
      </c>
      <c r="I619" s="1" t="s">
        <v>92</v>
      </c>
      <c r="J619" s="1" t="s">
        <v>93</v>
      </c>
      <c r="K619" s="1" t="s">
        <v>28</v>
      </c>
      <c r="L619">
        <v>1</v>
      </c>
      <c r="M619">
        <v>1599</v>
      </c>
      <c r="N619">
        <v>0.15</v>
      </c>
      <c r="O619">
        <v>1359.15</v>
      </c>
      <c r="P619">
        <v>900</v>
      </c>
      <c r="Q619">
        <v>900</v>
      </c>
      <c r="R619">
        <v>60</v>
      </c>
      <c r="S619">
        <v>399.15</v>
      </c>
    </row>
    <row r="620" spans="1:19" x14ac:dyDescent="0.3">
      <c r="A620" s="1" t="s">
        <v>1039</v>
      </c>
      <c r="B620" s="4">
        <v>45588</v>
      </c>
      <c r="C620" s="1" t="s">
        <v>1040</v>
      </c>
      <c r="D620" s="1" t="s">
        <v>21</v>
      </c>
      <c r="E620" s="1" t="s">
        <v>22</v>
      </c>
      <c r="F620" s="1" t="s">
        <v>23</v>
      </c>
      <c r="G620" s="1" t="s">
        <v>33</v>
      </c>
      <c r="H620" s="1" t="s">
        <v>34</v>
      </c>
      <c r="I620" s="1" t="s">
        <v>26</v>
      </c>
      <c r="J620" s="1" t="s">
        <v>27</v>
      </c>
      <c r="K620" s="1" t="s">
        <v>28</v>
      </c>
      <c r="L620">
        <v>2</v>
      </c>
      <c r="M620">
        <v>799</v>
      </c>
      <c r="N620">
        <v>0</v>
      </c>
      <c r="O620">
        <v>1598</v>
      </c>
      <c r="P620">
        <v>420</v>
      </c>
      <c r="Q620">
        <v>840</v>
      </c>
      <c r="R620">
        <v>60</v>
      </c>
      <c r="S620">
        <v>698</v>
      </c>
    </row>
    <row r="621" spans="1:19" x14ac:dyDescent="0.3">
      <c r="A621" s="1" t="s">
        <v>1041</v>
      </c>
      <c r="B621" s="4">
        <v>45588</v>
      </c>
      <c r="C621" s="1" t="s">
        <v>502</v>
      </c>
      <c r="D621" s="1" t="s">
        <v>48</v>
      </c>
      <c r="E621" s="1" t="s">
        <v>31</v>
      </c>
      <c r="F621" s="1" t="s">
        <v>32</v>
      </c>
      <c r="G621" s="1" t="s">
        <v>33</v>
      </c>
      <c r="H621" s="1" t="s">
        <v>25</v>
      </c>
      <c r="I621" s="1" t="s">
        <v>66</v>
      </c>
      <c r="J621" s="1" t="s">
        <v>67</v>
      </c>
      <c r="K621" s="1" t="s">
        <v>28</v>
      </c>
      <c r="L621">
        <v>1</v>
      </c>
      <c r="M621">
        <v>2499</v>
      </c>
      <c r="N621">
        <v>0.05</v>
      </c>
      <c r="O621">
        <v>2374.0500000000002</v>
      </c>
      <c r="P621">
        <v>1450</v>
      </c>
      <c r="Q621">
        <v>1450</v>
      </c>
      <c r="R621">
        <v>40</v>
      </c>
      <c r="S621">
        <v>884.05</v>
      </c>
    </row>
    <row r="622" spans="1:19" x14ac:dyDescent="0.3">
      <c r="A622" s="1" t="s">
        <v>1042</v>
      </c>
      <c r="B622" s="4">
        <v>45588</v>
      </c>
      <c r="C622" s="1" t="s">
        <v>864</v>
      </c>
      <c r="D622" s="1" t="s">
        <v>48</v>
      </c>
      <c r="E622" s="1" t="s">
        <v>124</v>
      </c>
      <c r="F622" s="1" t="s">
        <v>125</v>
      </c>
      <c r="G622" s="1" t="s">
        <v>24</v>
      </c>
      <c r="H622" s="1" t="s">
        <v>71</v>
      </c>
      <c r="I622" s="1" t="s">
        <v>51</v>
      </c>
      <c r="J622" s="1" t="s">
        <v>52</v>
      </c>
      <c r="K622" s="1" t="s">
        <v>37</v>
      </c>
      <c r="L622">
        <v>3</v>
      </c>
      <c r="M622">
        <v>499</v>
      </c>
      <c r="N622">
        <v>0.2</v>
      </c>
      <c r="O622">
        <v>1197.5999999999999</v>
      </c>
      <c r="P622">
        <v>180</v>
      </c>
      <c r="Q622">
        <v>540</v>
      </c>
      <c r="R622">
        <v>100</v>
      </c>
      <c r="S622">
        <v>557.6</v>
      </c>
    </row>
    <row r="623" spans="1:19" x14ac:dyDescent="0.3">
      <c r="A623" s="1" t="s">
        <v>1043</v>
      </c>
      <c r="B623" s="4">
        <v>45588</v>
      </c>
      <c r="C623" s="1" t="s">
        <v>1044</v>
      </c>
      <c r="D623" s="1" t="s">
        <v>40</v>
      </c>
      <c r="E623" s="1" t="s">
        <v>70</v>
      </c>
      <c r="F623" s="1" t="s">
        <v>70</v>
      </c>
      <c r="G623" s="1" t="s">
        <v>24</v>
      </c>
      <c r="H623" s="1" t="s">
        <v>89</v>
      </c>
      <c r="I623" s="1" t="s">
        <v>35</v>
      </c>
      <c r="J623" s="1" t="s">
        <v>36</v>
      </c>
      <c r="K623" s="1" t="s">
        <v>37</v>
      </c>
      <c r="L623">
        <v>1</v>
      </c>
      <c r="M623">
        <v>1299</v>
      </c>
      <c r="N623">
        <v>0.05</v>
      </c>
      <c r="O623">
        <v>1234.05</v>
      </c>
      <c r="P623">
        <v>700</v>
      </c>
      <c r="Q623">
        <v>700</v>
      </c>
      <c r="R623">
        <v>0</v>
      </c>
      <c r="S623">
        <v>534.04999999999995</v>
      </c>
    </row>
    <row r="624" spans="1:19" x14ac:dyDescent="0.3">
      <c r="A624" s="1" t="s">
        <v>1045</v>
      </c>
      <c r="B624" s="4">
        <v>45588</v>
      </c>
      <c r="C624" s="1" t="s">
        <v>811</v>
      </c>
      <c r="D624" s="1" t="s">
        <v>21</v>
      </c>
      <c r="E624" s="1" t="s">
        <v>70</v>
      </c>
      <c r="F624" s="1" t="s">
        <v>70</v>
      </c>
      <c r="G624" s="1" t="s">
        <v>24</v>
      </c>
      <c r="H624" s="1" t="s">
        <v>56</v>
      </c>
      <c r="I624" s="1" t="s">
        <v>81</v>
      </c>
      <c r="J624" s="1" t="s">
        <v>82</v>
      </c>
      <c r="K624" s="1" t="s">
        <v>61</v>
      </c>
      <c r="L624">
        <v>1</v>
      </c>
      <c r="M624">
        <v>2999</v>
      </c>
      <c r="N624">
        <v>0.1</v>
      </c>
      <c r="O624">
        <v>2699.1</v>
      </c>
      <c r="P624">
        <v>1750</v>
      </c>
      <c r="Q624">
        <v>1750</v>
      </c>
      <c r="R624">
        <v>80</v>
      </c>
      <c r="S624">
        <v>869.1</v>
      </c>
    </row>
    <row r="625" spans="1:19" x14ac:dyDescent="0.3">
      <c r="A625" s="1" t="s">
        <v>1046</v>
      </c>
      <c r="B625" s="4">
        <v>45589</v>
      </c>
      <c r="C625" s="1" t="s">
        <v>486</v>
      </c>
      <c r="D625" s="1" t="s">
        <v>21</v>
      </c>
      <c r="E625" s="1" t="s">
        <v>120</v>
      </c>
      <c r="F625" s="1" t="s">
        <v>121</v>
      </c>
      <c r="G625" s="1" t="s">
        <v>33</v>
      </c>
      <c r="H625" s="1" t="s">
        <v>71</v>
      </c>
      <c r="I625" s="1" t="s">
        <v>35</v>
      </c>
      <c r="J625" s="1" t="s">
        <v>36</v>
      </c>
      <c r="K625" s="1" t="s">
        <v>37</v>
      </c>
      <c r="L625">
        <v>2</v>
      </c>
      <c r="M625">
        <v>1299</v>
      </c>
      <c r="N625">
        <v>0.1</v>
      </c>
      <c r="O625">
        <v>2338.1999999999998</v>
      </c>
      <c r="P625">
        <v>700</v>
      </c>
      <c r="Q625">
        <v>1400</v>
      </c>
      <c r="R625">
        <v>0</v>
      </c>
      <c r="S625">
        <v>938.2</v>
      </c>
    </row>
    <row r="626" spans="1:19" x14ac:dyDescent="0.3">
      <c r="A626" s="1" t="s">
        <v>1047</v>
      </c>
      <c r="B626" s="4">
        <v>45589</v>
      </c>
      <c r="C626" s="1" t="s">
        <v>1048</v>
      </c>
      <c r="D626" s="1" t="s">
        <v>40</v>
      </c>
      <c r="E626" s="1" t="s">
        <v>96</v>
      </c>
      <c r="F626" s="1" t="s">
        <v>97</v>
      </c>
      <c r="G626" s="1" t="s">
        <v>42</v>
      </c>
      <c r="H626" s="1" t="s">
        <v>25</v>
      </c>
      <c r="I626" s="1" t="s">
        <v>81</v>
      </c>
      <c r="J626" s="1" t="s">
        <v>82</v>
      </c>
      <c r="K626" s="1" t="s">
        <v>61</v>
      </c>
      <c r="L626">
        <v>3</v>
      </c>
      <c r="M626">
        <v>2999</v>
      </c>
      <c r="N626">
        <v>0.05</v>
      </c>
      <c r="O626">
        <v>8547.15</v>
      </c>
      <c r="P626">
        <v>1750</v>
      </c>
      <c r="Q626">
        <v>5250</v>
      </c>
      <c r="R626">
        <v>80</v>
      </c>
      <c r="S626">
        <v>3217.15</v>
      </c>
    </row>
    <row r="627" spans="1:19" x14ac:dyDescent="0.3">
      <c r="A627" s="1" t="s">
        <v>1049</v>
      </c>
      <c r="B627" s="4">
        <v>45589</v>
      </c>
      <c r="C627" s="1" t="s">
        <v>1050</v>
      </c>
      <c r="D627" s="1" t="s">
        <v>40</v>
      </c>
      <c r="E627" s="1" t="s">
        <v>96</v>
      </c>
      <c r="F627" s="1" t="s">
        <v>97</v>
      </c>
      <c r="G627" s="1" t="s">
        <v>24</v>
      </c>
      <c r="H627" s="1" t="s">
        <v>89</v>
      </c>
      <c r="I627" s="1" t="s">
        <v>76</v>
      </c>
      <c r="J627" s="1" t="s">
        <v>77</v>
      </c>
      <c r="K627" s="1" t="s">
        <v>37</v>
      </c>
      <c r="L627">
        <v>1</v>
      </c>
      <c r="M627">
        <v>6999</v>
      </c>
      <c r="N627">
        <v>0.2</v>
      </c>
      <c r="O627">
        <v>5599.2</v>
      </c>
      <c r="P627">
        <v>4900</v>
      </c>
      <c r="Q627">
        <v>4900</v>
      </c>
      <c r="R627">
        <v>40</v>
      </c>
      <c r="S627">
        <v>659.2</v>
      </c>
    </row>
    <row r="628" spans="1:19" x14ac:dyDescent="0.3">
      <c r="A628" s="1" t="s">
        <v>1051</v>
      </c>
      <c r="B628" s="4">
        <v>45589</v>
      </c>
      <c r="C628" s="1" t="s">
        <v>464</v>
      </c>
      <c r="D628" s="1" t="s">
        <v>21</v>
      </c>
      <c r="E628" s="1" t="s">
        <v>96</v>
      </c>
      <c r="F628" s="1" t="s">
        <v>97</v>
      </c>
      <c r="G628" s="1" t="s">
        <v>33</v>
      </c>
      <c r="H628" s="1" t="s">
        <v>71</v>
      </c>
      <c r="I628" s="1" t="s">
        <v>76</v>
      </c>
      <c r="J628" s="1" t="s">
        <v>77</v>
      </c>
      <c r="K628" s="1" t="s">
        <v>37</v>
      </c>
      <c r="L628">
        <v>1</v>
      </c>
      <c r="M628">
        <v>6999</v>
      </c>
      <c r="N628">
        <v>0</v>
      </c>
      <c r="O628">
        <v>6999</v>
      </c>
      <c r="P628">
        <v>4900</v>
      </c>
      <c r="Q628">
        <v>4900</v>
      </c>
      <c r="R628">
        <v>40</v>
      </c>
      <c r="S628">
        <v>2059</v>
      </c>
    </row>
    <row r="629" spans="1:19" x14ac:dyDescent="0.3">
      <c r="A629" s="1" t="s">
        <v>1052</v>
      </c>
      <c r="B629" s="4">
        <v>45590</v>
      </c>
      <c r="C629" s="1" t="s">
        <v>226</v>
      </c>
      <c r="D629" s="1" t="s">
        <v>40</v>
      </c>
      <c r="E629" s="1" t="s">
        <v>41</v>
      </c>
      <c r="F629" s="1" t="s">
        <v>32</v>
      </c>
      <c r="G629" s="1" t="s">
        <v>42</v>
      </c>
      <c r="H629" s="1" t="s">
        <v>56</v>
      </c>
      <c r="I629" s="1" t="s">
        <v>81</v>
      </c>
      <c r="J629" s="1" t="s">
        <v>82</v>
      </c>
      <c r="K629" s="1" t="s">
        <v>61</v>
      </c>
      <c r="L629">
        <v>5</v>
      </c>
      <c r="M629">
        <v>2999</v>
      </c>
      <c r="N629">
        <v>0.15</v>
      </c>
      <c r="O629">
        <v>12745.75</v>
      </c>
      <c r="P629">
        <v>1750</v>
      </c>
      <c r="Q629">
        <v>8750</v>
      </c>
      <c r="R629">
        <v>100</v>
      </c>
      <c r="S629">
        <v>3895.75</v>
      </c>
    </row>
    <row r="630" spans="1:19" x14ac:dyDescent="0.3">
      <c r="A630" s="1" t="s">
        <v>1053</v>
      </c>
      <c r="B630" s="4">
        <v>45590</v>
      </c>
      <c r="C630" s="1" t="s">
        <v>761</v>
      </c>
      <c r="D630" s="1" t="s">
        <v>48</v>
      </c>
      <c r="E630" s="1" t="s">
        <v>64</v>
      </c>
      <c r="F630" s="1" t="s">
        <v>65</v>
      </c>
      <c r="G630" s="1" t="s">
        <v>42</v>
      </c>
      <c r="H630" s="1" t="s">
        <v>71</v>
      </c>
      <c r="I630" s="1" t="s">
        <v>76</v>
      </c>
      <c r="J630" s="1" t="s">
        <v>77</v>
      </c>
      <c r="K630" s="1" t="s">
        <v>37</v>
      </c>
      <c r="L630">
        <v>4</v>
      </c>
      <c r="M630">
        <v>6999</v>
      </c>
      <c r="N630">
        <v>0.2</v>
      </c>
      <c r="O630">
        <v>22396.799999999999</v>
      </c>
      <c r="P630">
        <v>4900</v>
      </c>
      <c r="Q630">
        <v>19600</v>
      </c>
      <c r="R630">
        <v>40</v>
      </c>
      <c r="S630">
        <v>2756.8</v>
      </c>
    </row>
    <row r="631" spans="1:19" x14ac:dyDescent="0.3">
      <c r="A631" s="1" t="s">
        <v>1054</v>
      </c>
      <c r="B631" s="4">
        <v>45590</v>
      </c>
      <c r="C631" s="1" t="s">
        <v>381</v>
      </c>
      <c r="D631" s="1" t="s">
        <v>21</v>
      </c>
      <c r="E631" s="1" t="s">
        <v>70</v>
      </c>
      <c r="F631" s="1" t="s">
        <v>70</v>
      </c>
      <c r="G631" s="1" t="s">
        <v>42</v>
      </c>
      <c r="H631" s="1" t="s">
        <v>71</v>
      </c>
      <c r="I631" s="1" t="s">
        <v>72</v>
      </c>
      <c r="J631" s="1" t="s">
        <v>73</v>
      </c>
      <c r="K631" s="1" t="s">
        <v>28</v>
      </c>
      <c r="L631">
        <v>1</v>
      </c>
      <c r="M631">
        <v>2199</v>
      </c>
      <c r="N631">
        <v>0.1</v>
      </c>
      <c r="O631">
        <v>1979.1</v>
      </c>
      <c r="P631">
        <v>1250</v>
      </c>
      <c r="Q631">
        <v>1250</v>
      </c>
      <c r="R631">
        <v>80</v>
      </c>
      <c r="S631">
        <v>649.1</v>
      </c>
    </row>
    <row r="632" spans="1:19" x14ac:dyDescent="0.3">
      <c r="A632" s="1" t="s">
        <v>1055</v>
      </c>
      <c r="B632" s="4">
        <v>45590</v>
      </c>
      <c r="C632" s="1" t="s">
        <v>216</v>
      </c>
      <c r="D632" s="1" t="s">
        <v>21</v>
      </c>
      <c r="E632" s="1" t="s">
        <v>41</v>
      </c>
      <c r="F632" s="1" t="s">
        <v>32</v>
      </c>
      <c r="G632" s="1" t="s">
        <v>24</v>
      </c>
      <c r="H632" s="1" t="s">
        <v>71</v>
      </c>
      <c r="I632" s="1" t="s">
        <v>51</v>
      </c>
      <c r="J632" s="1" t="s">
        <v>52</v>
      </c>
      <c r="K632" s="1" t="s">
        <v>37</v>
      </c>
      <c r="L632">
        <v>1</v>
      </c>
      <c r="M632">
        <v>499</v>
      </c>
      <c r="N632">
        <v>0</v>
      </c>
      <c r="O632">
        <v>499</v>
      </c>
      <c r="P632">
        <v>180</v>
      </c>
      <c r="Q632">
        <v>180</v>
      </c>
      <c r="R632">
        <v>100</v>
      </c>
      <c r="S632">
        <v>219</v>
      </c>
    </row>
    <row r="633" spans="1:19" x14ac:dyDescent="0.3">
      <c r="A633" s="1" t="s">
        <v>1056</v>
      </c>
      <c r="B633" s="4">
        <v>45592</v>
      </c>
      <c r="C633" s="1" t="s">
        <v>1057</v>
      </c>
      <c r="D633" s="1" t="s">
        <v>48</v>
      </c>
      <c r="E633" s="1" t="s">
        <v>124</v>
      </c>
      <c r="F633" s="1" t="s">
        <v>125</v>
      </c>
      <c r="G633" s="1" t="s">
        <v>33</v>
      </c>
      <c r="H633" s="1" t="s">
        <v>89</v>
      </c>
      <c r="I633" s="1" t="s">
        <v>51</v>
      </c>
      <c r="J633" s="1" t="s">
        <v>52</v>
      </c>
      <c r="K633" s="1" t="s">
        <v>37</v>
      </c>
      <c r="L633">
        <v>1</v>
      </c>
      <c r="M633">
        <v>499</v>
      </c>
      <c r="N633">
        <v>0</v>
      </c>
      <c r="O633">
        <v>499</v>
      </c>
      <c r="P633">
        <v>180</v>
      </c>
      <c r="Q633">
        <v>180</v>
      </c>
      <c r="R633">
        <v>0</v>
      </c>
      <c r="S633">
        <v>319</v>
      </c>
    </row>
    <row r="634" spans="1:19" x14ac:dyDescent="0.3">
      <c r="A634" s="1" t="s">
        <v>1058</v>
      </c>
      <c r="B634" s="4">
        <v>45593</v>
      </c>
      <c r="C634" s="1" t="s">
        <v>222</v>
      </c>
      <c r="D634" s="1" t="s">
        <v>48</v>
      </c>
      <c r="E634" s="1" t="s">
        <v>120</v>
      </c>
      <c r="F634" s="1" t="s">
        <v>121</v>
      </c>
      <c r="G634" s="1" t="s">
        <v>33</v>
      </c>
      <c r="H634" s="1" t="s">
        <v>89</v>
      </c>
      <c r="I634" s="1" t="s">
        <v>72</v>
      </c>
      <c r="J634" s="1" t="s">
        <v>73</v>
      </c>
      <c r="K634" s="1" t="s">
        <v>28</v>
      </c>
      <c r="L634">
        <v>4</v>
      </c>
      <c r="M634">
        <v>2199</v>
      </c>
      <c r="N634">
        <v>0.2</v>
      </c>
      <c r="O634">
        <v>7036.8</v>
      </c>
      <c r="P634">
        <v>1250</v>
      </c>
      <c r="Q634">
        <v>5000</v>
      </c>
      <c r="R634">
        <v>60</v>
      </c>
      <c r="S634">
        <v>1976.8</v>
      </c>
    </row>
    <row r="635" spans="1:19" x14ac:dyDescent="0.3">
      <c r="A635" s="1" t="s">
        <v>1059</v>
      </c>
      <c r="B635" s="4">
        <v>45594</v>
      </c>
      <c r="C635" s="1" t="s">
        <v>650</v>
      </c>
      <c r="D635" s="1" t="s">
        <v>48</v>
      </c>
      <c r="E635" s="1" t="s">
        <v>22</v>
      </c>
      <c r="F635" s="1" t="s">
        <v>23</v>
      </c>
      <c r="G635" s="1" t="s">
        <v>33</v>
      </c>
      <c r="H635" s="1" t="s">
        <v>71</v>
      </c>
      <c r="I635" s="1" t="s">
        <v>59</v>
      </c>
      <c r="J635" s="1" t="s">
        <v>60</v>
      </c>
      <c r="K635" s="1" t="s">
        <v>61</v>
      </c>
      <c r="L635">
        <v>1</v>
      </c>
      <c r="M635">
        <v>999</v>
      </c>
      <c r="N635">
        <v>0.2</v>
      </c>
      <c r="O635">
        <v>799.2</v>
      </c>
      <c r="P635">
        <v>520</v>
      </c>
      <c r="Q635">
        <v>520</v>
      </c>
      <c r="R635">
        <v>100</v>
      </c>
      <c r="S635">
        <v>179.2</v>
      </c>
    </row>
    <row r="636" spans="1:19" x14ac:dyDescent="0.3">
      <c r="A636" s="1" t="s">
        <v>1060</v>
      </c>
      <c r="B636" s="4">
        <v>45595</v>
      </c>
      <c r="C636" s="1" t="s">
        <v>1061</v>
      </c>
      <c r="D636" s="1" t="s">
        <v>40</v>
      </c>
      <c r="E636" s="1" t="s">
        <v>54</v>
      </c>
      <c r="F636" s="1" t="s">
        <v>55</v>
      </c>
      <c r="G636" s="1" t="s">
        <v>42</v>
      </c>
      <c r="H636" s="1" t="s">
        <v>34</v>
      </c>
      <c r="I636" s="1" t="s">
        <v>66</v>
      </c>
      <c r="J636" s="1" t="s">
        <v>67</v>
      </c>
      <c r="K636" s="1" t="s">
        <v>28</v>
      </c>
      <c r="L636">
        <v>2</v>
      </c>
      <c r="M636">
        <v>2499</v>
      </c>
      <c r="N636">
        <v>0.1</v>
      </c>
      <c r="O636">
        <v>4498.2</v>
      </c>
      <c r="P636">
        <v>1450</v>
      </c>
      <c r="Q636">
        <v>2900</v>
      </c>
      <c r="R636">
        <v>40</v>
      </c>
      <c r="S636">
        <v>1558.2</v>
      </c>
    </row>
    <row r="637" spans="1:19" x14ac:dyDescent="0.3">
      <c r="A637" s="1" t="s">
        <v>1062</v>
      </c>
      <c r="B637" s="4">
        <v>45595</v>
      </c>
      <c r="C637" s="1" t="s">
        <v>1063</v>
      </c>
      <c r="D637" s="1" t="s">
        <v>21</v>
      </c>
      <c r="E637" s="1" t="s">
        <v>54</v>
      </c>
      <c r="F637" s="1" t="s">
        <v>55</v>
      </c>
      <c r="G637" s="1" t="s">
        <v>42</v>
      </c>
      <c r="H637" s="1" t="s">
        <v>25</v>
      </c>
      <c r="I637" s="1" t="s">
        <v>51</v>
      </c>
      <c r="J637" s="1" t="s">
        <v>52</v>
      </c>
      <c r="K637" s="1" t="s">
        <v>37</v>
      </c>
      <c r="L637">
        <v>5</v>
      </c>
      <c r="M637">
        <v>499</v>
      </c>
      <c r="N637">
        <v>0.15</v>
      </c>
      <c r="O637">
        <v>2120.75</v>
      </c>
      <c r="P637">
        <v>180</v>
      </c>
      <c r="Q637">
        <v>900</v>
      </c>
      <c r="R637">
        <v>100</v>
      </c>
      <c r="S637">
        <v>1120.75</v>
      </c>
    </row>
    <row r="638" spans="1:19" x14ac:dyDescent="0.3">
      <c r="A638" s="1" t="s">
        <v>1064</v>
      </c>
      <c r="B638" s="4">
        <v>45597</v>
      </c>
      <c r="C638" s="1" t="s">
        <v>277</v>
      </c>
      <c r="D638" s="1" t="s">
        <v>21</v>
      </c>
      <c r="E638" s="1" t="s">
        <v>49</v>
      </c>
      <c r="F638" s="1" t="s">
        <v>50</v>
      </c>
      <c r="G638" s="1" t="s">
        <v>24</v>
      </c>
      <c r="H638" s="1" t="s">
        <v>34</v>
      </c>
      <c r="I638" s="1" t="s">
        <v>59</v>
      </c>
      <c r="J638" s="1" t="s">
        <v>60</v>
      </c>
      <c r="K638" s="1" t="s">
        <v>61</v>
      </c>
      <c r="L638">
        <v>1</v>
      </c>
      <c r="M638">
        <v>999</v>
      </c>
      <c r="N638">
        <v>0</v>
      </c>
      <c r="O638">
        <v>999</v>
      </c>
      <c r="P638">
        <v>520</v>
      </c>
      <c r="Q638">
        <v>520</v>
      </c>
      <c r="R638">
        <v>40</v>
      </c>
      <c r="S638">
        <v>439</v>
      </c>
    </row>
    <row r="639" spans="1:19" x14ac:dyDescent="0.3">
      <c r="A639" s="1" t="s">
        <v>1065</v>
      </c>
      <c r="B639" s="4">
        <v>45597</v>
      </c>
      <c r="C639" s="1" t="s">
        <v>327</v>
      </c>
      <c r="D639" s="1" t="s">
        <v>48</v>
      </c>
      <c r="E639" s="1" t="s">
        <v>96</v>
      </c>
      <c r="F639" s="1" t="s">
        <v>97</v>
      </c>
      <c r="G639" s="1" t="s">
        <v>42</v>
      </c>
      <c r="H639" s="1" t="s">
        <v>34</v>
      </c>
      <c r="I639" s="1" t="s">
        <v>134</v>
      </c>
      <c r="J639" s="1" t="s">
        <v>135</v>
      </c>
      <c r="K639" s="1" t="s">
        <v>136</v>
      </c>
      <c r="L639">
        <v>1</v>
      </c>
      <c r="M639">
        <v>299</v>
      </c>
      <c r="N639">
        <v>0.05</v>
      </c>
      <c r="O639">
        <v>284.05</v>
      </c>
      <c r="P639">
        <v>110</v>
      </c>
      <c r="Q639">
        <v>110</v>
      </c>
      <c r="R639">
        <v>0</v>
      </c>
      <c r="S639">
        <v>174.05</v>
      </c>
    </row>
    <row r="640" spans="1:19" x14ac:dyDescent="0.3">
      <c r="A640" s="1" t="s">
        <v>1066</v>
      </c>
      <c r="B640" s="4">
        <v>45597</v>
      </c>
      <c r="C640" s="1" t="s">
        <v>698</v>
      </c>
      <c r="D640" s="1" t="s">
        <v>21</v>
      </c>
      <c r="E640" s="1" t="s">
        <v>31</v>
      </c>
      <c r="F640" s="1" t="s">
        <v>32</v>
      </c>
      <c r="G640" s="1" t="s">
        <v>42</v>
      </c>
      <c r="H640" s="1" t="s">
        <v>56</v>
      </c>
      <c r="I640" s="1" t="s">
        <v>66</v>
      </c>
      <c r="J640" s="1" t="s">
        <v>67</v>
      </c>
      <c r="K640" s="1" t="s">
        <v>28</v>
      </c>
      <c r="L640">
        <v>1</v>
      </c>
      <c r="M640">
        <v>2499</v>
      </c>
      <c r="N640">
        <v>0</v>
      </c>
      <c r="O640">
        <v>2499</v>
      </c>
      <c r="P640">
        <v>1450</v>
      </c>
      <c r="Q640">
        <v>1450</v>
      </c>
      <c r="R640">
        <v>0</v>
      </c>
      <c r="S640">
        <v>1049</v>
      </c>
    </row>
    <row r="641" spans="1:19" x14ac:dyDescent="0.3">
      <c r="A641" s="1" t="s">
        <v>1067</v>
      </c>
      <c r="B641" s="4">
        <v>45597</v>
      </c>
      <c r="C641" s="1" t="s">
        <v>520</v>
      </c>
      <c r="D641" s="1" t="s">
        <v>40</v>
      </c>
      <c r="E641" s="1" t="s">
        <v>112</v>
      </c>
      <c r="F641" s="1" t="s">
        <v>113</v>
      </c>
      <c r="G641" s="1" t="s">
        <v>42</v>
      </c>
      <c r="H641" s="1" t="s">
        <v>34</v>
      </c>
      <c r="I641" s="1" t="s">
        <v>81</v>
      </c>
      <c r="J641" s="1" t="s">
        <v>82</v>
      </c>
      <c r="K641" s="1" t="s">
        <v>61</v>
      </c>
      <c r="L641">
        <v>1</v>
      </c>
      <c r="M641">
        <v>2999</v>
      </c>
      <c r="N641">
        <v>0.05</v>
      </c>
      <c r="O641">
        <v>2849.05</v>
      </c>
      <c r="P641">
        <v>1750</v>
      </c>
      <c r="Q641">
        <v>1750</v>
      </c>
      <c r="R641">
        <v>40</v>
      </c>
      <c r="S641">
        <v>1059.05</v>
      </c>
    </row>
    <row r="642" spans="1:19" x14ac:dyDescent="0.3">
      <c r="A642" s="1" t="s">
        <v>1068</v>
      </c>
      <c r="B642" s="4">
        <v>45598</v>
      </c>
      <c r="C642" s="1" t="s">
        <v>904</v>
      </c>
      <c r="D642" s="1" t="s">
        <v>40</v>
      </c>
      <c r="E642" s="1" t="s">
        <v>41</v>
      </c>
      <c r="F642" s="1" t="s">
        <v>32</v>
      </c>
      <c r="G642" s="1" t="s">
        <v>42</v>
      </c>
      <c r="H642" s="1" t="s">
        <v>89</v>
      </c>
      <c r="I642" s="1" t="s">
        <v>72</v>
      </c>
      <c r="J642" s="1" t="s">
        <v>73</v>
      </c>
      <c r="K642" s="1" t="s">
        <v>28</v>
      </c>
      <c r="L642">
        <v>2</v>
      </c>
      <c r="M642">
        <v>2199</v>
      </c>
      <c r="N642">
        <v>0.05</v>
      </c>
      <c r="O642">
        <v>4178.1000000000004</v>
      </c>
      <c r="P642">
        <v>1250</v>
      </c>
      <c r="Q642">
        <v>2500</v>
      </c>
      <c r="R642">
        <v>100</v>
      </c>
      <c r="S642">
        <v>1578.1</v>
      </c>
    </row>
    <row r="643" spans="1:19" x14ac:dyDescent="0.3">
      <c r="A643" s="1" t="s">
        <v>1069</v>
      </c>
      <c r="B643" s="4">
        <v>45599</v>
      </c>
      <c r="C643" s="1" t="s">
        <v>1070</v>
      </c>
      <c r="D643" s="1" t="s">
        <v>21</v>
      </c>
      <c r="E643" s="1" t="s">
        <v>22</v>
      </c>
      <c r="F643" s="1" t="s">
        <v>23</v>
      </c>
      <c r="G643" s="1" t="s">
        <v>33</v>
      </c>
      <c r="H643" s="1" t="s">
        <v>34</v>
      </c>
      <c r="I643" s="1" t="s">
        <v>134</v>
      </c>
      <c r="J643" s="1" t="s">
        <v>135</v>
      </c>
      <c r="K643" s="1" t="s">
        <v>136</v>
      </c>
      <c r="L643">
        <v>2</v>
      </c>
      <c r="M643">
        <v>299</v>
      </c>
      <c r="N643">
        <v>0.15</v>
      </c>
      <c r="O643">
        <v>508.3</v>
      </c>
      <c r="P643">
        <v>110</v>
      </c>
      <c r="Q643">
        <v>220</v>
      </c>
      <c r="R643">
        <v>40</v>
      </c>
      <c r="S643">
        <v>248.3</v>
      </c>
    </row>
    <row r="644" spans="1:19" x14ac:dyDescent="0.3">
      <c r="A644" s="1" t="s">
        <v>1071</v>
      </c>
      <c r="B644" s="4">
        <v>45599</v>
      </c>
      <c r="C644" s="1" t="s">
        <v>757</v>
      </c>
      <c r="D644" s="1" t="s">
        <v>48</v>
      </c>
      <c r="E644" s="1" t="s">
        <v>96</v>
      </c>
      <c r="F644" s="1" t="s">
        <v>97</v>
      </c>
      <c r="G644" s="1" t="s">
        <v>33</v>
      </c>
      <c r="H644" s="1" t="s">
        <v>34</v>
      </c>
      <c r="I644" s="1" t="s">
        <v>66</v>
      </c>
      <c r="J644" s="1" t="s">
        <v>67</v>
      </c>
      <c r="K644" s="1" t="s">
        <v>28</v>
      </c>
      <c r="L644">
        <v>2</v>
      </c>
      <c r="M644">
        <v>2499</v>
      </c>
      <c r="N644">
        <v>0.15</v>
      </c>
      <c r="O644">
        <v>4248.3</v>
      </c>
      <c r="P644">
        <v>1450</v>
      </c>
      <c r="Q644">
        <v>2900</v>
      </c>
      <c r="R644">
        <v>40</v>
      </c>
      <c r="S644">
        <v>1308.3</v>
      </c>
    </row>
    <row r="645" spans="1:19" x14ac:dyDescent="0.3">
      <c r="A645" s="1" t="s">
        <v>1072</v>
      </c>
      <c r="B645" s="4">
        <v>45599</v>
      </c>
      <c r="C645" s="1" t="s">
        <v>338</v>
      </c>
      <c r="D645" s="1" t="s">
        <v>48</v>
      </c>
      <c r="E645" s="1" t="s">
        <v>120</v>
      </c>
      <c r="F645" s="1" t="s">
        <v>121</v>
      </c>
      <c r="G645" s="1" t="s">
        <v>24</v>
      </c>
      <c r="H645" s="1" t="s">
        <v>34</v>
      </c>
      <c r="I645" s="1" t="s">
        <v>59</v>
      </c>
      <c r="J645" s="1" t="s">
        <v>60</v>
      </c>
      <c r="K645" s="1" t="s">
        <v>61</v>
      </c>
      <c r="L645">
        <v>2</v>
      </c>
      <c r="M645">
        <v>999</v>
      </c>
      <c r="N645">
        <v>0</v>
      </c>
      <c r="O645">
        <v>1998</v>
      </c>
      <c r="P645">
        <v>520</v>
      </c>
      <c r="Q645">
        <v>1040</v>
      </c>
      <c r="R645">
        <v>40</v>
      </c>
      <c r="S645">
        <v>918</v>
      </c>
    </row>
    <row r="646" spans="1:19" x14ac:dyDescent="0.3">
      <c r="A646" s="1" t="s">
        <v>1073</v>
      </c>
      <c r="B646" s="4">
        <v>45599</v>
      </c>
      <c r="C646" s="1" t="s">
        <v>976</v>
      </c>
      <c r="D646" s="1" t="s">
        <v>21</v>
      </c>
      <c r="E646" s="1" t="s">
        <v>41</v>
      </c>
      <c r="F646" s="1" t="s">
        <v>32</v>
      </c>
      <c r="G646" s="1" t="s">
        <v>33</v>
      </c>
      <c r="H646" s="1" t="s">
        <v>56</v>
      </c>
      <c r="I646" s="1" t="s">
        <v>76</v>
      </c>
      <c r="J646" s="1" t="s">
        <v>77</v>
      </c>
      <c r="K646" s="1" t="s">
        <v>37</v>
      </c>
      <c r="L646">
        <v>3</v>
      </c>
      <c r="M646">
        <v>6999</v>
      </c>
      <c r="N646">
        <v>0.1</v>
      </c>
      <c r="O646">
        <v>18897.3</v>
      </c>
      <c r="P646">
        <v>4900</v>
      </c>
      <c r="Q646">
        <v>14700</v>
      </c>
      <c r="R646">
        <v>0</v>
      </c>
      <c r="S646">
        <v>4197.3</v>
      </c>
    </row>
    <row r="647" spans="1:19" x14ac:dyDescent="0.3">
      <c r="A647" s="1" t="s">
        <v>1074</v>
      </c>
      <c r="B647" s="4">
        <v>45600</v>
      </c>
      <c r="C647" s="1" t="s">
        <v>105</v>
      </c>
      <c r="D647" s="1" t="s">
        <v>48</v>
      </c>
      <c r="E647" s="1" t="s">
        <v>22</v>
      </c>
      <c r="F647" s="1" t="s">
        <v>23</v>
      </c>
      <c r="G647" s="1" t="s">
        <v>24</v>
      </c>
      <c r="H647" s="1" t="s">
        <v>56</v>
      </c>
      <c r="I647" s="1" t="s">
        <v>59</v>
      </c>
      <c r="J647" s="1" t="s">
        <v>60</v>
      </c>
      <c r="K647" s="1" t="s">
        <v>61</v>
      </c>
      <c r="L647">
        <v>2</v>
      </c>
      <c r="M647">
        <v>999</v>
      </c>
      <c r="N647">
        <v>0.2</v>
      </c>
      <c r="O647">
        <v>1598.4</v>
      </c>
      <c r="P647">
        <v>520</v>
      </c>
      <c r="Q647">
        <v>1040</v>
      </c>
      <c r="R647">
        <v>100</v>
      </c>
      <c r="S647">
        <v>458.4</v>
      </c>
    </row>
    <row r="648" spans="1:19" x14ac:dyDescent="0.3">
      <c r="A648" s="1" t="s">
        <v>1075</v>
      </c>
      <c r="B648" s="4">
        <v>45600</v>
      </c>
      <c r="C648" s="1" t="s">
        <v>711</v>
      </c>
      <c r="D648" s="1" t="s">
        <v>40</v>
      </c>
      <c r="E648" s="1" t="s">
        <v>64</v>
      </c>
      <c r="F648" s="1" t="s">
        <v>65</v>
      </c>
      <c r="G648" s="1" t="s">
        <v>33</v>
      </c>
      <c r="H648" s="1" t="s">
        <v>89</v>
      </c>
      <c r="I648" s="1" t="s">
        <v>66</v>
      </c>
      <c r="J648" s="1" t="s">
        <v>67</v>
      </c>
      <c r="K648" s="1" t="s">
        <v>28</v>
      </c>
      <c r="L648">
        <v>1</v>
      </c>
      <c r="M648">
        <v>2499</v>
      </c>
      <c r="N648">
        <v>0.1</v>
      </c>
      <c r="O648">
        <v>2249.1</v>
      </c>
      <c r="P648">
        <v>1450</v>
      </c>
      <c r="Q648">
        <v>1450</v>
      </c>
      <c r="R648">
        <v>100</v>
      </c>
      <c r="S648">
        <v>699.1</v>
      </c>
    </row>
    <row r="649" spans="1:19" x14ac:dyDescent="0.3">
      <c r="A649" s="1" t="s">
        <v>1076</v>
      </c>
      <c r="B649" s="4">
        <v>45600</v>
      </c>
      <c r="C649" s="1" t="s">
        <v>1077</v>
      </c>
      <c r="D649" s="1" t="s">
        <v>48</v>
      </c>
      <c r="E649" s="1" t="s">
        <v>96</v>
      </c>
      <c r="F649" s="1" t="s">
        <v>97</v>
      </c>
      <c r="G649" s="1" t="s">
        <v>42</v>
      </c>
      <c r="H649" s="1" t="s">
        <v>89</v>
      </c>
      <c r="I649" s="1" t="s">
        <v>66</v>
      </c>
      <c r="J649" s="1" t="s">
        <v>67</v>
      </c>
      <c r="K649" s="1" t="s">
        <v>28</v>
      </c>
      <c r="L649">
        <v>1</v>
      </c>
      <c r="M649">
        <v>2499</v>
      </c>
      <c r="N649">
        <v>0.05</v>
      </c>
      <c r="O649">
        <v>2374.0500000000002</v>
      </c>
      <c r="P649">
        <v>1450</v>
      </c>
      <c r="Q649">
        <v>1450</v>
      </c>
      <c r="R649">
        <v>80</v>
      </c>
      <c r="S649">
        <v>844.05</v>
      </c>
    </row>
    <row r="650" spans="1:19" x14ac:dyDescent="0.3">
      <c r="A650" s="1" t="s">
        <v>1078</v>
      </c>
      <c r="B650" s="4">
        <v>45601</v>
      </c>
      <c r="C650" s="1" t="s">
        <v>464</v>
      </c>
      <c r="D650" s="1" t="s">
        <v>40</v>
      </c>
      <c r="E650" s="1" t="s">
        <v>54</v>
      </c>
      <c r="F650" s="1" t="s">
        <v>55</v>
      </c>
      <c r="G650" s="1" t="s">
        <v>33</v>
      </c>
      <c r="H650" s="1" t="s">
        <v>56</v>
      </c>
      <c r="I650" s="1" t="s">
        <v>59</v>
      </c>
      <c r="J650" s="1" t="s">
        <v>60</v>
      </c>
      <c r="K650" s="1" t="s">
        <v>61</v>
      </c>
      <c r="L650">
        <v>2</v>
      </c>
      <c r="M650">
        <v>999</v>
      </c>
      <c r="N650">
        <v>0</v>
      </c>
      <c r="O650">
        <v>1998</v>
      </c>
      <c r="P650">
        <v>520</v>
      </c>
      <c r="Q650">
        <v>1040</v>
      </c>
      <c r="R650">
        <v>100</v>
      </c>
      <c r="S650">
        <v>858</v>
      </c>
    </row>
    <row r="651" spans="1:19" x14ac:dyDescent="0.3">
      <c r="A651" s="1" t="s">
        <v>1079</v>
      </c>
      <c r="B651" s="4">
        <v>45601</v>
      </c>
      <c r="C651" s="1" t="s">
        <v>498</v>
      </c>
      <c r="D651" s="1" t="s">
        <v>40</v>
      </c>
      <c r="E651" s="1" t="s">
        <v>124</v>
      </c>
      <c r="F651" s="1" t="s">
        <v>125</v>
      </c>
      <c r="G651" s="1" t="s">
        <v>42</v>
      </c>
      <c r="H651" s="1" t="s">
        <v>25</v>
      </c>
      <c r="I651" s="1" t="s">
        <v>51</v>
      </c>
      <c r="J651" s="1" t="s">
        <v>52</v>
      </c>
      <c r="K651" s="1" t="s">
        <v>37</v>
      </c>
      <c r="L651">
        <v>2</v>
      </c>
      <c r="M651">
        <v>499</v>
      </c>
      <c r="N651">
        <v>0</v>
      </c>
      <c r="O651">
        <v>998</v>
      </c>
      <c r="P651">
        <v>180</v>
      </c>
      <c r="Q651">
        <v>360</v>
      </c>
      <c r="R651">
        <v>0</v>
      </c>
      <c r="S651">
        <v>638</v>
      </c>
    </row>
    <row r="652" spans="1:19" x14ac:dyDescent="0.3">
      <c r="A652" s="1" t="s">
        <v>1080</v>
      </c>
      <c r="B652" s="4">
        <v>45601</v>
      </c>
      <c r="C652" s="1" t="s">
        <v>542</v>
      </c>
      <c r="D652" s="1" t="s">
        <v>48</v>
      </c>
      <c r="E652" s="1" t="s">
        <v>49</v>
      </c>
      <c r="F652" s="1" t="s">
        <v>50</v>
      </c>
      <c r="G652" s="1" t="s">
        <v>42</v>
      </c>
      <c r="H652" s="1" t="s">
        <v>89</v>
      </c>
      <c r="I652" s="1" t="s">
        <v>72</v>
      </c>
      <c r="J652" s="1" t="s">
        <v>73</v>
      </c>
      <c r="K652" s="1" t="s">
        <v>28</v>
      </c>
      <c r="L652">
        <v>3</v>
      </c>
      <c r="M652">
        <v>2199</v>
      </c>
      <c r="N652">
        <v>0.2</v>
      </c>
      <c r="O652">
        <v>5277.6</v>
      </c>
      <c r="P652">
        <v>1250</v>
      </c>
      <c r="Q652">
        <v>3750</v>
      </c>
      <c r="R652">
        <v>60</v>
      </c>
      <c r="S652">
        <v>1467.6</v>
      </c>
    </row>
    <row r="653" spans="1:19" x14ac:dyDescent="0.3">
      <c r="A653" s="1" t="s">
        <v>1081</v>
      </c>
      <c r="B653" s="4">
        <v>45601</v>
      </c>
      <c r="C653" s="1" t="s">
        <v>127</v>
      </c>
      <c r="D653" s="1" t="s">
        <v>40</v>
      </c>
      <c r="E653" s="1" t="s">
        <v>80</v>
      </c>
      <c r="F653" s="1" t="s">
        <v>55</v>
      </c>
      <c r="G653" s="1" t="s">
        <v>24</v>
      </c>
      <c r="H653" s="1" t="s">
        <v>56</v>
      </c>
      <c r="I653" s="1" t="s">
        <v>66</v>
      </c>
      <c r="J653" s="1" t="s">
        <v>67</v>
      </c>
      <c r="K653" s="1" t="s">
        <v>28</v>
      </c>
      <c r="L653">
        <v>1</v>
      </c>
      <c r="M653">
        <v>2499</v>
      </c>
      <c r="N653">
        <v>0</v>
      </c>
      <c r="O653">
        <v>2499</v>
      </c>
      <c r="P653">
        <v>1450</v>
      </c>
      <c r="Q653">
        <v>1450</v>
      </c>
      <c r="R653">
        <v>40</v>
      </c>
      <c r="S653">
        <v>1009</v>
      </c>
    </row>
    <row r="654" spans="1:19" x14ac:dyDescent="0.3">
      <c r="A654" s="1" t="s">
        <v>1082</v>
      </c>
      <c r="B654" s="4">
        <v>45602</v>
      </c>
      <c r="C654" s="1" t="s">
        <v>172</v>
      </c>
      <c r="D654" s="1" t="s">
        <v>40</v>
      </c>
      <c r="E654" s="1" t="s">
        <v>80</v>
      </c>
      <c r="F654" s="1" t="s">
        <v>55</v>
      </c>
      <c r="G654" s="1" t="s">
        <v>42</v>
      </c>
      <c r="H654" s="1" t="s">
        <v>89</v>
      </c>
      <c r="I654" s="1" t="s">
        <v>51</v>
      </c>
      <c r="J654" s="1" t="s">
        <v>52</v>
      </c>
      <c r="K654" s="1" t="s">
        <v>37</v>
      </c>
      <c r="L654">
        <v>1</v>
      </c>
      <c r="M654">
        <v>499</v>
      </c>
      <c r="N654">
        <v>0.05</v>
      </c>
      <c r="O654">
        <v>474.05</v>
      </c>
      <c r="P654">
        <v>180</v>
      </c>
      <c r="Q654">
        <v>180</v>
      </c>
      <c r="R654">
        <v>100</v>
      </c>
      <c r="S654">
        <v>194.05</v>
      </c>
    </row>
    <row r="655" spans="1:19" x14ac:dyDescent="0.3">
      <c r="A655" s="1" t="s">
        <v>1083</v>
      </c>
      <c r="B655" s="4">
        <v>45603</v>
      </c>
      <c r="C655" s="1" t="s">
        <v>894</v>
      </c>
      <c r="D655" s="1" t="s">
        <v>40</v>
      </c>
      <c r="E655" s="1" t="s">
        <v>54</v>
      </c>
      <c r="F655" s="1" t="s">
        <v>55</v>
      </c>
      <c r="G655" s="1" t="s">
        <v>42</v>
      </c>
      <c r="H655" s="1" t="s">
        <v>71</v>
      </c>
      <c r="I655" s="1" t="s">
        <v>43</v>
      </c>
      <c r="J655" s="1" t="s">
        <v>44</v>
      </c>
      <c r="K655" s="1" t="s">
        <v>45</v>
      </c>
      <c r="L655">
        <v>2</v>
      </c>
      <c r="M655">
        <v>1799</v>
      </c>
      <c r="N655">
        <v>0.1</v>
      </c>
      <c r="O655">
        <v>3238.2</v>
      </c>
      <c r="P655">
        <v>850</v>
      </c>
      <c r="Q655">
        <v>1700</v>
      </c>
      <c r="R655">
        <v>40</v>
      </c>
      <c r="S655">
        <v>1498.2</v>
      </c>
    </row>
    <row r="656" spans="1:19" x14ac:dyDescent="0.3">
      <c r="A656" s="1" t="s">
        <v>1084</v>
      </c>
      <c r="B656" s="4">
        <v>45604</v>
      </c>
      <c r="C656" s="1" t="s">
        <v>285</v>
      </c>
      <c r="D656" s="1" t="s">
        <v>48</v>
      </c>
      <c r="E656" s="1" t="s">
        <v>70</v>
      </c>
      <c r="F656" s="1" t="s">
        <v>70</v>
      </c>
      <c r="G656" s="1" t="s">
        <v>24</v>
      </c>
      <c r="H656" s="1" t="s">
        <v>56</v>
      </c>
      <c r="I656" s="1" t="s">
        <v>85</v>
      </c>
      <c r="J656" s="1" t="s">
        <v>86</v>
      </c>
      <c r="K656" s="1" t="s">
        <v>45</v>
      </c>
      <c r="L656">
        <v>1</v>
      </c>
      <c r="M656">
        <v>599</v>
      </c>
      <c r="N656">
        <v>0.15</v>
      </c>
      <c r="O656">
        <v>509.15</v>
      </c>
      <c r="P656">
        <v>240</v>
      </c>
      <c r="Q656">
        <v>240</v>
      </c>
      <c r="R656">
        <v>100</v>
      </c>
      <c r="S656">
        <v>169.15</v>
      </c>
    </row>
    <row r="657" spans="1:19" x14ac:dyDescent="0.3">
      <c r="A657" s="1" t="s">
        <v>1085</v>
      </c>
      <c r="B657" s="4">
        <v>45604</v>
      </c>
      <c r="C657" s="1" t="s">
        <v>1086</v>
      </c>
      <c r="D657" s="1" t="s">
        <v>48</v>
      </c>
      <c r="E657" s="1" t="s">
        <v>54</v>
      </c>
      <c r="F657" s="1" t="s">
        <v>55</v>
      </c>
      <c r="G657" s="1" t="s">
        <v>33</v>
      </c>
      <c r="H657" s="1" t="s">
        <v>71</v>
      </c>
      <c r="I657" s="1" t="s">
        <v>81</v>
      </c>
      <c r="J657" s="1" t="s">
        <v>82</v>
      </c>
      <c r="K657" s="1" t="s">
        <v>61</v>
      </c>
      <c r="L657">
        <v>2</v>
      </c>
      <c r="M657">
        <v>2999</v>
      </c>
      <c r="N657">
        <v>0.2</v>
      </c>
      <c r="O657">
        <v>4798.3999999999996</v>
      </c>
      <c r="P657">
        <v>1750</v>
      </c>
      <c r="Q657">
        <v>3500</v>
      </c>
      <c r="R657">
        <v>40</v>
      </c>
      <c r="S657">
        <v>1258.4000000000001</v>
      </c>
    </row>
    <row r="658" spans="1:19" x14ac:dyDescent="0.3">
      <c r="A658" s="1" t="s">
        <v>1087</v>
      </c>
      <c r="B658" s="4">
        <v>45605</v>
      </c>
      <c r="C658" s="1" t="s">
        <v>257</v>
      </c>
      <c r="D658" s="1" t="s">
        <v>21</v>
      </c>
      <c r="E658" s="1" t="s">
        <v>80</v>
      </c>
      <c r="F658" s="1" t="s">
        <v>55</v>
      </c>
      <c r="G658" s="1" t="s">
        <v>42</v>
      </c>
      <c r="H658" s="1" t="s">
        <v>56</v>
      </c>
      <c r="I658" s="1" t="s">
        <v>72</v>
      </c>
      <c r="J658" s="1" t="s">
        <v>73</v>
      </c>
      <c r="K658" s="1" t="s">
        <v>28</v>
      </c>
      <c r="L658">
        <v>1</v>
      </c>
      <c r="M658">
        <v>2199</v>
      </c>
      <c r="N658">
        <v>0</v>
      </c>
      <c r="O658">
        <v>2199</v>
      </c>
      <c r="P658">
        <v>1250</v>
      </c>
      <c r="Q658">
        <v>1250</v>
      </c>
      <c r="R658">
        <v>60</v>
      </c>
      <c r="S658">
        <v>889</v>
      </c>
    </row>
    <row r="659" spans="1:19" x14ac:dyDescent="0.3">
      <c r="A659" s="1" t="s">
        <v>1088</v>
      </c>
      <c r="B659" s="4">
        <v>45606</v>
      </c>
      <c r="C659" s="1" t="s">
        <v>718</v>
      </c>
      <c r="D659" s="1" t="s">
        <v>21</v>
      </c>
      <c r="E659" s="1" t="s">
        <v>41</v>
      </c>
      <c r="F659" s="1" t="s">
        <v>32</v>
      </c>
      <c r="G659" s="1" t="s">
        <v>33</v>
      </c>
      <c r="H659" s="1" t="s">
        <v>71</v>
      </c>
      <c r="I659" s="1" t="s">
        <v>85</v>
      </c>
      <c r="J659" s="1" t="s">
        <v>86</v>
      </c>
      <c r="K659" s="1" t="s">
        <v>45</v>
      </c>
      <c r="L659">
        <v>3</v>
      </c>
      <c r="M659">
        <v>599</v>
      </c>
      <c r="N659">
        <v>0</v>
      </c>
      <c r="O659">
        <v>1797</v>
      </c>
      <c r="P659">
        <v>240</v>
      </c>
      <c r="Q659">
        <v>720</v>
      </c>
      <c r="R659">
        <v>80</v>
      </c>
      <c r="S659">
        <v>997</v>
      </c>
    </row>
    <row r="660" spans="1:19" x14ac:dyDescent="0.3">
      <c r="A660" s="1" t="s">
        <v>1089</v>
      </c>
      <c r="B660" s="4">
        <v>45606</v>
      </c>
      <c r="C660" s="1" t="s">
        <v>775</v>
      </c>
      <c r="D660" s="1" t="s">
        <v>40</v>
      </c>
      <c r="E660" s="1" t="s">
        <v>64</v>
      </c>
      <c r="F660" s="1" t="s">
        <v>65</v>
      </c>
      <c r="G660" s="1" t="s">
        <v>33</v>
      </c>
      <c r="H660" s="1" t="s">
        <v>25</v>
      </c>
      <c r="I660" s="1" t="s">
        <v>134</v>
      </c>
      <c r="J660" s="1" t="s">
        <v>135</v>
      </c>
      <c r="K660" s="1" t="s">
        <v>136</v>
      </c>
      <c r="L660">
        <v>2</v>
      </c>
      <c r="M660">
        <v>299</v>
      </c>
      <c r="N660">
        <v>0.05</v>
      </c>
      <c r="O660">
        <v>568.1</v>
      </c>
      <c r="P660">
        <v>110</v>
      </c>
      <c r="Q660">
        <v>220</v>
      </c>
      <c r="R660">
        <v>40</v>
      </c>
      <c r="S660">
        <v>308.10000000000002</v>
      </c>
    </row>
    <row r="661" spans="1:19" x14ac:dyDescent="0.3">
      <c r="A661" s="1" t="s">
        <v>1090</v>
      </c>
      <c r="B661" s="4">
        <v>45606</v>
      </c>
      <c r="C661" s="1" t="s">
        <v>875</v>
      </c>
      <c r="D661" s="1" t="s">
        <v>48</v>
      </c>
      <c r="E661" s="1" t="s">
        <v>96</v>
      </c>
      <c r="F661" s="1" t="s">
        <v>97</v>
      </c>
      <c r="G661" s="1" t="s">
        <v>24</v>
      </c>
      <c r="H661" s="1" t="s">
        <v>34</v>
      </c>
      <c r="I661" s="1" t="s">
        <v>72</v>
      </c>
      <c r="J661" s="1" t="s">
        <v>73</v>
      </c>
      <c r="K661" s="1" t="s">
        <v>28</v>
      </c>
      <c r="L661">
        <v>2</v>
      </c>
      <c r="M661">
        <v>2199</v>
      </c>
      <c r="N661">
        <v>0</v>
      </c>
      <c r="O661">
        <v>4398</v>
      </c>
      <c r="P661">
        <v>1250</v>
      </c>
      <c r="Q661">
        <v>2500</v>
      </c>
      <c r="R661">
        <v>40</v>
      </c>
      <c r="S661">
        <v>1858</v>
      </c>
    </row>
    <row r="662" spans="1:19" x14ac:dyDescent="0.3">
      <c r="A662" s="1" t="s">
        <v>1091</v>
      </c>
      <c r="B662" s="4">
        <v>45607</v>
      </c>
      <c r="C662" s="1" t="s">
        <v>230</v>
      </c>
      <c r="D662" s="1" t="s">
        <v>21</v>
      </c>
      <c r="E662" s="1" t="s">
        <v>31</v>
      </c>
      <c r="F662" s="1" t="s">
        <v>32</v>
      </c>
      <c r="G662" s="1" t="s">
        <v>24</v>
      </c>
      <c r="H662" s="1" t="s">
        <v>89</v>
      </c>
      <c r="I662" s="1" t="s">
        <v>72</v>
      </c>
      <c r="J662" s="1" t="s">
        <v>73</v>
      </c>
      <c r="K662" s="1" t="s">
        <v>28</v>
      </c>
      <c r="L662">
        <v>3</v>
      </c>
      <c r="M662">
        <v>2199</v>
      </c>
      <c r="N662">
        <v>0.2</v>
      </c>
      <c r="O662">
        <v>5277.6</v>
      </c>
      <c r="P662">
        <v>1250</v>
      </c>
      <c r="Q662">
        <v>3750</v>
      </c>
      <c r="R662">
        <v>0</v>
      </c>
      <c r="S662">
        <v>1527.6</v>
      </c>
    </row>
    <row r="663" spans="1:19" x14ac:dyDescent="0.3">
      <c r="A663" s="1" t="s">
        <v>1092</v>
      </c>
      <c r="B663" s="4">
        <v>45607</v>
      </c>
      <c r="C663" s="1" t="s">
        <v>802</v>
      </c>
      <c r="D663" s="1" t="s">
        <v>48</v>
      </c>
      <c r="E663" s="1" t="s">
        <v>80</v>
      </c>
      <c r="F663" s="1" t="s">
        <v>55</v>
      </c>
      <c r="G663" s="1" t="s">
        <v>33</v>
      </c>
      <c r="H663" s="1" t="s">
        <v>56</v>
      </c>
      <c r="I663" s="1" t="s">
        <v>59</v>
      </c>
      <c r="J663" s="1" t="s">
        <v>60</v>
      </c>
      <c r="K663" s="1" t="s">
        <v>61</v>
      </c>
      <c r="L663">
        <v>2</v>
      </c>
      <c r="M663">
        <v>999</v>
      </c>
      <c r="N663">
        <v>0.2</v>
      </c>
      <c r="O663">
        <v>1598.4</v>
      </c>
      <c r="P663">
        <v>520</v>
      </c>
      <c r="Q663">
        <v>1040</v>
      </c>
      <c r="R663">
        <v>60</v>
      </c>
      <c r="S663">
        <v>498.4</v>
      </c>
    </row>
    <row r="664" spans="1:19" x14ac:dyDescent="0.3">
      <c r="A664" s="1" t="s">
        <v>1093</v>
      </c>
      <c r="B664" s="4">
        <v>45608</v>
      </c>
      <c r="C664" s="1" t="s">
        <v>668</v>
      </c>
      <c r="D664" s="1" t="s">
        <v>21</v>
      </c>
      <c r="E664" s="1" t="s">
        <v>80</v>
      </c>
      <c r="F664" s="1" t="s">
        <v>55</v>
      </c>
      <c r="G664" s="1" t="s">
        <v>24</v>
      </c>
      <c r="H664" s="1" t="s">
        <v>34</v>
      </c>
      <c r="I664" s="1" t="s">
        <v>43</v>
      </c>
      <c r="J664" s="1" t="s">
        <v>44</v>
      </c>
      <c r="K664" s="1" t="s">
        <v>45</v>
      </c>
      <c r="L664">
        <v>1</v>
      </c>
      <c r="M664">
        <v>1799</v>
      </c>
      <c r="N664">
        <v>0.05</v>
      </c>
      <c r="O664">
        <v>1709.05</v>
      </c>
      <c r="P664">
        <v>850</v>
      </c>
      <c r="Q664">
        <v>850</v>
      </c>
      <c r="R664">
        <v>40</v>
      </c>
      <c r="S664">
        <v>819.05</v>
      </c>
    </row>
    <row r="665" spans="1:19" x14ac:dyDescent="0.3">
      <c r="A665" s="1" t="s">
        <v>1094</v>
      </c>
      <c r="B665" s="4">
        <v>45609</v>
      </c>
      <c r="C665" s="1" t="s">
        <v>1095</v>
      </c>
      <c r="D665" s="1" t="s">
        <v>21</v>
      </c>
      <c r="E665" s="1" t="s">
        <v>49</v>
      </c>
      <c r="F665" s="1" t="s">
        <v>50</v>
      </c>
      <c r="G665" s="1" t="s">
        <v>42</v>
      </c>
      <c r="H665" s="1" t="s">
        <v>34</v>
      </c>
      <c r="I665" s="1" t="s">
        <v>72</v>
      </c>
      <c r="J665" s="1" t="s">
        <v>73</v>
      </c>
      <c r="K665" s="1" t="s">
        <v>28</v>
      </c>
      <c r="L665">
        <v>2</v>
      </c>
      <c r="M665">
        <v>2199</v>
      </c>
      <c r="N665">
        <v>0</v>
      </c>
      <c r="O665">
        <v>4398</v>
      </c>
      <c r="P665">
        <v>1250</v>
      </c>
      <c r="Q665">
        <v>2500</v>
      </c>
      <c r="R665">
        <v>0</v>
      </c>
      <c r="S665">
        <v>1898</v>
      </c>
    </row>
    <row r="666" spans="1:19" x14ac:dyDescent="0.3">
      <c r="A666" s="1" t="s">
        <v>1096</v>
      </c>
      <c r="B666" s="4">
        <v>45609</v>
      </c>
      <c r="C666" s="1" t="s">
        <v>285</v>
      </c>
      <c r="D666" s="1" t="s">
        <v>21</v>
      </c>
      <c r="E666" s="1" t="s">
        <v>120</v>
      </c>
      <c r="F666" s="1" t="s">
        <v>121</v>
      </c>
      <c r="G666" s="1" t="s">
        <v>24</v>
      </c>
      <c r="H666" s="1" t="s">
        <v>25</v>
      </c>
      <c r="I666" s="1" t="s">
        <v>66</v>
      </c>
      <c r="J666" s="1" t="s">
        <v>67</v>
      </c>
      <c r="K666" s="1" t="s">
        <v>28</v>
      </c>
      <c r="L666">
        <v>2</v>
      </c>
      <c r="M666">
        <v>2499</v>
      </c>
      <c r="N666">
        <v>0</v>
      </c>
      <c r="O666">
        <v>4998</v>
      </c>
      <c r="P666">
        <v>1450</v>
      </c>
      <c r="Q666">
        <v>2900</v>
      </c>
      <c r="R666">
        <v>40</v>
      </c>
      <c r="S666">
        <v>2058</v>
      </c>
    </row>
    <row r="667" spans="1:19" x14ac:dyDescent="0.3">
      <c r="A667" s="1" t="s">
        <v>1097</v>
      </c>
      <c r="B667" s="4">
        <v>45609</v>
      </c>
      <c r="C667" s="1" t="s">
        <v>109</v>
      </c>
      <c r="D667" s="1" t="s">
        <v>40</v>
      </c>
      <c r="E667" s="1" t="s">
        <v>41</v>
      </c>
      <c r="F667" s="1" t="s">
        <v>32</v>
      </c>
      <c r="G667" s="1" t="s">
        <v>24</v>
      </c>
      <c r="H667" s="1" t="s">
        <v>25</v>
      </c>
      <c r="I667" s="1" t="s">
        <v>81</v>
      </c>
      <c r="J667" s="1" t="s">
        <v>82</v>
      </c>
      <c r="K667" s="1" t="s">
        <v>61</v>
      </c>
      <c r="L667">
        <v>1</v>
      </c>
      <c r="M667">
        <v>2999</v>
      </c>
      <c r="N667">
        <v>0</v>
      </c>
      <c r="O667">
        <v>2999</v>
      </c>
      <c r="P667">
        <v>1750</v>
      </c>
      <c r="Q667">
        <v>1750</v>
      </c>
      <c r="R667">
        <v>100</v>
      </c>
      <c r="S667">
        <v>1149</v>
      </c>
    </row>
    <row r="668" spans="1:19" x14ac:dyDescent="0.3">
      <c r="A668" s="1" t="s">
        <v>1098</v>
      </c>
      <c r="B668" s="4">
        <v>45611</v>
      </c>
      <c r="C668" s="1" t="s">
        <v>425</v>
      </c>
      <c r="D668" s="1" t="s">
        <v>40</v>
      </c>
      <c r="E668" s="1" t="s">
        <v>49</v>
      </c>
      <c r="F668" s="1" t="s">
        <v>50</v>
      </c>
      <c r="G668" s="1" t="s">
        <v>24</v>
      </c>
      <c r="H668" s="1" t="s">
        <v>89</v>
      </c>
      <c r="I668" s="1" t="s">
        <v>134</v>
      </c>
      <c r="J668" s="1" t="s">
        <v>135</v>
      </c>
      <c r="K668" s="1" t="s">
        <v>136</v>
      </c>
      <c r="L668">
        <v>1</v>
      </c>
      <c r="M668">
        <v>299</v>
      </c>
      <c r="N668">
        <v>0.15</v>
      </c>
      <c r="O668">
        <v>254.15</v>
      </c>
      <c r="P668">
        <v>110</v>
      </c>
      <c r="Q668">
        <v>110</v>
      </c>
      <c r="R668">
        <v>40</v>
      </c>
      <c r="S668">
        <v>104.15</v>
      </c>
    </row>
    <row r="669" spans="1:19" x14ac:dyDescent="0.3">
      <c r="A669" s="1" t="s">
        <v>1099</v>
      </c>
      <c r="B669" s="4">
        <v>45612</v>
      </c>
      <c r="C669" s="1" t="s">
        <v>404</v>
      </c>
      <c r="D669" s="1" t="s">
        <v>48</v>
      </c>
      <c r="E669" s="1" t="s">
        <v>120</v>
      </c>
      <c r="F669" s="1" t="s">
        <v>121</v>
      </c>
      <c r="G669" s="1" t="s">
        <v>24</v>
      </c>
      <c r="H669" s="1" t="s">
        <v>25</v>
      </c>
      <c r="I669" s="1" t="s">
        <v>76</v>
      </c>
      <c r="J669" s="1" t="s">
        <v>77</v>
      </c>
      <c r="K669" s="1" t="s">
        <v>37</v>
      </c>
      <c r="L669">
        <v>1</v>
      </c>
      <c r="M669">
        <v>6999</v>
      </c>
      <c r="N669">
        <v>0.1</v>
      </c>
      <c r="O669">
        <v>6299.1</v>
      </c>
      <c r="P669">
        <v>4900</v>
      </c>
      <c r="Q669">
        <v>4900</v>
      </c>
      <c r="R669">
        <v>80</v>
      </c>
      <c r="S669">
        <v>1319.1</v>
      </c>
    </row>
    <row r="670" spans="1:19" x14ac:dyDescent="0.3">
      <c r="A670" s="1" t="s">
        <v>1100</v>
      </c>
      <c r="B670" s="4">
        <v>45612</v>
      </c>
      <c r="C670" s="1" t="s">
        <v>333</v>
      </c>
      <c r="D670" s="1" t="s">
        <v>21</v>
      </c>
      <c r="E670" s="1" t="s">
        <v>70</v>
      </c>
      <c r="F670" s="1" t="s">
        <v>70</v>
      </c>
      <c r="G670" s="1" t="s">
        <v>42</v>
      </c>
      <c r="H670" s="1" t="s">
        <v>25</v>
      </c>
      <c r="I670" s="1" t="s">
        <v>59</v>
      </c>
      <c r="J670" s="1" t="s">
        <v>60</v>
      </c>
      <c r="K670" s="1" t="s">
        <v>61</v>
      </c>
      <c r="L670">
        <v>1</v>
      </c>
      <c r="M670">
        <v>999</v>
      </c>
      <c r="N670">
        <v>0.05</v>
      </c>
      <c r="O670">
        <v>949.05</v>
      </c>
      <c r="P670">
        <v>520</v>
      </c>
      <c r="Q670">
        <v>520</v>
      </c>
      <c r="R670">
        <v>60</v>
      </c>
      <c r="S670">
        <v>369.05</v>
      </c>
    </row>
    <row r="671" spans="1:19" x14ac:dyDescent="0.3">
      <c r="A671" s="1" t="s">
        <v>1101</v>
      </c>
      <c r="B671" s="4">
        <v>45612</v>
      </c>
      <c r="C671" s="1" t="s">
        <v>155</v>
      </c>
      <c r="D671" s="1" t="s">
        <v>21</v>
      </c>
      <c r="E671" s="1" t="s">
        <v>64</v>
      </c>
      <c r="F671" s="1" t="s">
        <v>65</v>
      </c>
      <c r="G671" s="1" t="s">
        <v>33</v>
      </c>
      <c r="H671" s="1" t="s">
        <v>25</v>
      </c>
      <c r="I671" s="1" t="s">
        <v>51</v>
      </c>
      <c r="J671" s="1" t="s">
        <v>52</v>
      </c>
      <c r="K671" s="1" t="s">
        <v>37</v>
      </c>
      <c r="L671">
        <v>3</v>
      </c>
      <c r="M671">
        <v>499</v>
      </c>
      <c r="N671">
        <v>0.1</v>
      </c>
      <c r="O671">
        <v>1347.3</v>
      </c>
      <c r="P671">
        <v>180</v>
      </c>
      <c r="Q671">
        <v>540</v>
      </c>
      <c r="R671">
        <v>100</v>
      </c>
      <c r="S671">
        <v>707.3</v>
      </c>
    </row>
    <row r="672" spans="1:19" x14ac:dyDescent="0.3">
      <c r="A672" s="1" t="s">
        <v>1102</v>
      </c>
      <c r="B672" s="4">
        <v>45612</v>
      </c>
      <c r="C672" s="1" t="s">
        <v>476</v>
      </c>
      <c r="D672" s="1" t="s">
        <v>21</v>
      </c>
      <c r="E672" s="1" t="s">
        <v>49</v>
      </c>
      <c r="F672" s="1" t="s">
        <v>50</v>
      </c>
      <c r="G672" s="1" t="s">
        <v>24</v>
      </c>
      <c r="H672" s="1" t="s">
        <v>25</v>
      </c>
      <c r="I672" s="1" t="s">
        <v>51</v>
      </c>
      <c r="J672" s="1" t="s">
        <v>52</v>
      </c>
      <c r="K672" s="1" t="s">
        <v>37</v>
      </c>
      <c r="L672">
        <v>1</v>
      </c>
      <c r="M672">
        <v>499</v>
      </c>
      <c r="N672">
        <v>0.2</v>
      </c>
      <c r="O672">
        <v>399.2</v>
      </c>
      <c r="P672">
        <v>180</v>
      </c>
      <c r="Q672">
        <v>180</v>
      </c>
      <c r="R672">
        <v>80</v>
      </c>
      <c r="S672">
        <v>139.19999999999999</v>
      </c>
    </row>
    <row r="673" spans="1:19" x14ac:dyDescent="0.3">
      <c r="A673" s="1" t="s">
        <v>1103</v>
      </c>
      <c r="B673" s="4">
        <v>45612</v>
      </c>
      <c r="C673" s="1" t="s">
        <v>1014</v>
      </c>
      <c r="D673" s="1" t="s">
        <v>48</v>
      </c>
      <c r="E673" s="1" t="s">
        <v>120</v>
      </c>
      <c r="F673" s="1" t="s">
        <v>121</v>
      </c>
      <c r="G673" s="1" t="s">
        <v>24</v>
      </c>
      <c r="H673" s="1" t="s">
        <v>56</v>
      </c>
      <c r="I673" s="1" t="s">
        <v>51</v>
      </c>
      <c r="J673" s="1" t="s">
        <v>52</v>
      </c>
      <c r="K673" s="1" t="s">
        <v>37</v>
      </c>
      <c r="L673">
        <v>1</v>
      </c>
      <c r="M673">
        <v>499</v>
      </c>
      <c r="N673">
        <v>0.05</v>
      </c>
      <c r="O673">
        <v>474.05</v>
      </c>
      <c r="P673">
        <v>180</v>
      </c>
      <c r="Q673">
        <v>180</v>
      </c>
      <c r="R673">
        <v>100</v>
      </c>
      <c r="S673">
        <v>194.05</v>
      </c>
    </row>
    <row r="674" spans="1:19" x14ac:dyDescent="0.3">
      <c r="A674" s="1" t="s">
        <v>1104</v>
      </c>
      <c r="B674" s="4">
        <v>45612</v>
      </c>
      <c r="C674" s="1" t="s">
        <v>312</v>
      </c>
      <c r="D674" s="1" t="s">
        <v>48</v>
      </c>
      <c r="E674" s="1" t="s">
        <v>80</v>
      </c>
      <c r="F674" s="1" t="s">
        <v>55</v>
      </c>
      <c r="G674" s="1" t="s">
        <v>42</v>
      </c>
      <c r="H674" s="1" t="s">
        <v>25</v>
      </c>
      <c r="I674" s="1" t="s">
        <v>66</v>
      </c>
      <c r="J674" s="1" t="s">
        <v>67</v>
      </c>
      <c r="K674" s="1" t="s">
        <v>28</v>
      </c>
      <c r="L674">
        <v>2</v>
      </c>
      <c r="M674">
        <v>2499</v>
      </c>
      <c r="N674">
        <v>0</v>
      </c>
      <c r="O674">
        <v>4998</v>
      </c>
      <c r="P674">
        <v>1450</v>
      </c>
      <c r="Q674">
        <v>2900</v>
      </c>
      <c r="R674">
        <v>40</v>
      </c>
      <c r="S674">
        <v>2058</v>
      </c>
    </row>
    <row r="675" spans="1:19" x14ac:dyDescent="0.3">
      <c r="A675" s="1" t="s">
        <v>1105</v>
      </c>
      <c r="B675" s="4">
        <v>45613</v>
      </c>
      <c r="C675" s="1" t="s">
        <v>1106</v>
      </c>
      <c r="D675" s="1" t="s">
        <v>48</v>
      </c>
      <c r="E675" s="1" t="s">
        <v>124</v>
      </c>
      <c r="F675" s="1" t="s">
        <v>125</v>
      </c>
      <c r="G675" s="1" t="s">
        <v>42</v>
      </c>
      <c r="H675" s="1" t="s">
        <v>34</v>
      </c>
      <c r="I675" s="1" t="s">
        <v>134</v>
      </c>
      <c r="J675" s="1" t="s">
        <v>135</v>
      </c>
      <c r="K675" s="1" t="s">
        <v>136</v>
      </c>
      <c r="L675">
        <v>1</v>
      </c>
      <c r="M675">
        <v>299</v>
      </c>
      <c r="N675">
        <v>0</v>
      </c>
      <c r="O675">
        <v>299</v>
      </c>
      <c r="P675">
        <v>110</v>
      </c>
      <c r="Q675">
        <v>110</v>
      </c>
      <c r="R675">
        <v>80</v>
      </c>
      <c r="S675">
        <v>109</v>
      </c>
    </row>
    <row r="676" spans="1:19" x14ac:dyDescent="0.3">
      <c r="A676" s="1" t="s">
        <v>1107</v>
      </c>
      <c r="B676" s="4">
        <v>45613</v>
      </c>
      <c r="C676" s="1" t="s">
        <v>744</v>
      </c>
      <c r="D676" s="1" t="s">
        <v>21</v>
      </c>
      <c r="E676" s="1" t="s">
        <v>31</v>
      </c>
      <c r="F676" s="1" t="s">
        <v>32</v>
      </c>
      <c r="G676" s="1" t="s">
        <v>33</v>
      </c>
      <c r="H676" s="1" t="s">
        <v>56</v>
      </c>
      <c r="I676" s="1" t="s">
        <v>134</v>
      </c>
      <c r="J676" s="1" t="s">
        <v>135</v>
      </c>
      <c r="K676" s="1" t="s">
        <v>136</v>
      </c>
      <c r="L676">
        <v>2</v>
      </c>
      <c r="M676">
        <v>299</v>
      </c>
      <c r="N676">
        <v>0.2</v>
      </c>
      <c r="O676">
        <v>478.4</v>
      </c>
      <c r="P676">
        <v>110</v>
      </c>
      <c r="Q676">
        <v>220</v>
      </c>
      <c r="R676">
        <v>80</v>
      </c>
      <c r="S676">
        <v>178.4</v>
      </c>
    </row>
    <row r="677" spans="1:19" x14ac:dyDescent="0.3">
      <c r="A677" s="1" t="s">
        <v>1108</v>
      </c>
      <c r="B677" s="4">
        <v>45615</v>
      </c>
      <c r="C677" s="1" t="s">
        <v>1025</v>
      </c>
      <c r="D677" s="1" t="s">
        <v>21</v>
      </c>
      <c r="E677" s="1" t="s">
        <v>41</v>
      </c>
      <c r="F677" s="1" t="s">
        <v>32</v>
      </c>
      <c r="G677" s="1" t="s">
        <v>42</v>
      </c>
      <c r="H677" s="1" t="s">
        <v>56</v>
      </c>
      <c r="I677" s="1" t="s">
        <v>72</v>
      </c>
      <c r="J677" s="1" t="s">
        <v>73</v>
      </c>
      <c r="K677" s="1" t="s">
        <v>28</v>
      </c>
      <c r="L677">
        <v>5</v>
      </c>
      <c r="M677">
        <v>2199</v>
      </c>
      <c r="N677">
        <v>0</v>
      </c>
      <c r="O677">
        <v>10995</v>
      </c>
      <c r="P677">
        <v>1250</v>
      </c>
      <c r="Q677">
        <v>6250</v>
      </c>
      <c r="R677">
        <v>100</v>
      </c>
      <c r="S677">
        <v>4645</v>
      </c>
    </row>
    <row r="678" spans="1:19" x14ac:dyDescent="0.3">
      <c r="A678" s="1" t="s">
        <v>1109</v>
      </c>
      <c r="B678" s="4">
        <v>45615</v>
      </c>
      <c r="C678" s="1" t="s">
        <v>802</v>
      </c>
      <c r="D678" s="1" t="s">
        <v>48</v>
      </c>
      <c r="E678" s="1" t="s">
        <v>54</v>
      </c>
      <c r="F678" s="1" t="s">
        <v>55</v>
      </c>
      <c r="G678" s="1" t="s">
        <v>24</v>
      </c>
      <c r="H678" s="1" t="s">
        <v>25</v>
      </c>
      <c r="I678" s="1" t="s">
        <v>26</v>
      </c>
      <c r="J678" s="1" t="s">
        <v>27</v>
      </c>
      <c r="K678" s="1" t="s">
        <v>28</v>
      </c>
      <c r="L678">
        <v>1</v>
      </c>
      <c r="M678">
        <v>799</v>
      </c>
      <c r="N678">
        <v>0</v>
      </c>
      <c r="O678">
        <v>799</v>
      </c>
      <c r="P678">
        <v>420</v>
      </c>
      <c r="Q678">
        <v>420</v>
      </c>
      <c r="R678">
        <v>100</v>
      </c>
      <c r="S678">
        <v>279</v>
      </c>
    </row>
    <row r="679" spans="1:19" x14ac:dyDescent="0.3">
      <c r="A679" s="1" t="s">
        <v>1110</v>
      </c>
      <c r="B679" s="4">
        <v>45615</v>
      </c>
      <c r="C679" s="1" t="s">
        <v>744</v>
      </c>
      <c r="D679" s="1" t="s">
        <v>40</v>
      </c>
      <c r="E679" s="1" t="s">
        <v>31</v>
      </c>
      <c r="F679" s="1" t="s">
        <v>32</v>
      </c>
      <c r="G679" s="1" t="s">
        <v>24</v>
      </c>
      <c r="H679" s="1" t="s">
        <v>56</v>
      </c>
      <c r="I679" s="1" t="s">
        <v>26</v>
      </c>
      <c r="J679" s="1" t="s">
        <v>27</v>
      </c>
      <c r="K679" s="1" t="s">
        <v>28</v>
      </c>
      <c r="L679">
        <v>1</v>
      </c>
      <c r="M679">
        <v>799</v>
      </c>
      <c r="N679">
        <v>0.05</v>
      </c>
      <c r="O679">
        <v>759.05</v>
      </c>
      <c r="P679">
        <v>420</v>
      </c>
      <c r="Q679">
        <v>420</v>
      </c>
      <c r="R679">
        <v>0</v>
      </c>
      <c r="S679">
        <v>339.05</v>
      </c>
    </row>
    <row r="680" spans="1:19" x14ac:dyDescent="0.3">
      <c r="A680" s="1" t="s">
        <v>1111</v>
      </c>
      <c r="B680" s="4">
        <v>45615</v>
      </c>
      <c r="C680" s="1" t="s">
        <v>1112</v>
      </c>
      <c r="D680" s="1" t="s">
        <v>48</v>
      </c>
      <c r="E680" s="1" t="s">
        <v>80</v>
      </c>
      <c r="F680" s="1" t="s">
        <v>55</v>
      </c>
      <c r="G680" s="1" t="s">
        <v>42</v>
      </c>
      <c r="H680" s="1" t="s">
        <v>89</v>
      </c>
      <c r="I680" s="1" t="s">
        <v>66</v>
      </c>
      <c r="J680" s="1" t="s">
        <v>67</v>
      </c>
      <c r="K680" s="1" t="s">
        <v>28</v>
      </c>
      <c r="L680">
        <v>1</v>
      </c>
      <c r="M680">
        <v>2499</v>
      </c>
      <c r="N680">
        <v>0.15</v>
      </c>
      <c r="O680">
        <v>2124.15</v>
      </c>
      <c r="P680">
        <v>1450</v>
      </c>
      <c r="Q680">
        <v>1450</v>
      </c>
      <c r="R680">
        <v>100</v>
      </c>
      <c r="S680">
        <v>574.15</v>
      </c>
    </row>
    <row r="681" spans="1:19" x14ac:dyDescent="0.3">
      <c r="A681" s="1" t="s">
        <v>1113</v>
      </c>
      <c r="B681" s="4">
        <v>45616</v>
      </c>
      <c r="C681" s="1" t="s">
        <v>1114</v>
      </c>
      <c r="D681" s="1" t="s">
        <v>48</v>
      </c>
      <c r="E681" s="1" t="s">
        <v>49</v>
      </c>
      <c r="F681" s="1" t="s">
        <v>50</v>
      </c>
      <c r="G681" s="1" t="s">
        <v>42</v>
      </c>
      <c r="H681" s="1" t="s">
        <v>71</v>
      </c>
      <c r="I681" s="1" t="s">
        <v>35</v>
      </c>
      <c r="J681" s="1" t="s">
        <v>36</v>
      </c>
      <c r="K681" s="1" t="s">
        <v>37</v>
      </c>
      <c r="L681">
        <v>1</v>
      </c>
      <c r="M681">
        <v>1299</v>
      </c>
      <c r="N681">
        <v>0</v>
      </c>
      <c r="O681">
        <v>1299</v>
      </c>
      <c r="P681">
        <v>700</v>
      </c>
      <c r="Q681">
        <v>700</v>
      </c>
      <c r="R681">
        <v>80</v>
      </c>
      <c r="S681">
        <v>519</v>
      </c>
    </row>
    <row r="682" spans="1:19" x14ac:dyDescent="0.3">
      <c r="A682" s="1" t="s">
        <v>1115</v>
      </c>
      <c r="B682" s="4">
        <v>45616</v>
      </c>
      <c r="C682" s="1" t="s">
        <v>498</v>
      </c>
      <c r="D682" s="1" t="s">
        <v>40</v>
      </c>
      <c r="E682" s="1" t="s">
        <v>22</v>
      </c>
      <c r="F682" s="1" t="s">
        <v>23</v>
      </c>
      <c r="G682" s="1" t="s">
        <v>33</v>
      </c>
      <c r="H682" s="1" t="s">
        <v>34</v>
      </c>
      <c r="I682" s="1" t="s">
        <v>85</v>
      </c>
      <c r="J682" s="1" t="s">
        <v>86</v>
      </c>
      <c r="K682" s="1" t="s">
        <v>45</v>
      </c>
      <c r="L682">
        <v>1</v>
      </c>
      <c r="M682">
        <v>599</v>
      </c>
      <c r="N682">
        <v>0.2</v>
      </c>
      <c r="O682">
        <v>479.2</v>
      </c>
      <c r="P682">
        <v>240</v>
      </c>
      <c r="Q682">
        <v>240</v>
      </c>
      <c r="R682">
        <v>40</v>
      </c>
      <c r="S682">
        <v>199.2</v>
      </c>
    </row>
    <row r="683" spans="1:19" x14ac:dyDescent="0.3">
      <c r="A683" s="1" t="s">
        <v>1116</v>
      </c>
      <c r="B683" s="4">
        <v>45616</v>
      </c>
      <c r="C683" s="1" t="s">
        <v>1117</v>
      </c>
      <c r="D683" s="1" t="s">
        <v>21</v>
      </c>
      <c r="E683" s="1" t="s">
        <v>120</v>
      </c>
      <c r="F683" s="1" t="s">
        <v>121</v>
      </c>
      <c r="G683" s="1" t="s">
        <v>42</v>
      </c>
      <c r="H683" s="1" t="s">
        <v>56</v>
      </c>
      <c r="I683" s="1" t="s">
        <v>59</v>
      </c>
      <c r="J683" s="1" t="s">
        <v>60</v>
      </c>
      <c r="K683" s="1" t="s">
        <v>61</v>
      </c>
      <c r="L683">
        <v>1</v>
      </c>
      <c r="M683">
        <v>999</v>
      </c>
      <c r="N683">
        <v>0</v>
      </c>
      <c r="O683">
        <v>999</v>
      </c>
      <c r="P683">
        <v>520</v>
      </c>
      <c r="Q683">
        <v>520</v>
      </c>
      <c r="R683">
        <v>0</v>
      </c>
      <c r="S683">
        <v>479</v>
      </c>
    </row>
    <row r="684" spans="1:19" x14ac:dyDescent="0.3">
      <c r="A684" s="1" t="s">
        <v>1118</v>
      </c>
      <c r="B684" s="4">
        <v>45617</v>
      </c>
      <c r="C684" s="1" t="s">
        <v>524</v>
      </c>
      <c r="D684" s="1" t="s">
        <v>21</v>
      </c>
      <c r="E684" s="1" t="s">
        <v>64</v>
      </c>
      <c r="F684" s="1" t="s">
        <v>65</v>
      </c>
      <c r="G684" s="1" t="s">
        <v>33</v>
      </c>
      <c r="H684" s="1" t="s">
        <v>25</v>
      </c>
      <c r="I684" s="1" t="s">
        <v>81</v>
      </c>
      <c r="J684" s="1" t="s">
        <v>82</v>
      </c>
      <c r="K684" s="1" t="s">
        <v>61</v>
      </c>
      <c r="L684">
        <v>1</v>
      </c>
      <c r="M684">
        <v>2999</v>
      </c>
      <c r="N684">
        <v>0</v>
      </c>
      <c r="O684">
        <v>2999</v>
      </c>
      <c r="P684">
        <v>1750</v>
      </c>
      <c r="Q684">
        <v>1750</v>
      </c>
      <c r="R684">
        <v>80</v>
      </c>
      <c r="S684">
        <v>1169</v>
      </c>
    </row>
    <row r="685" spans="1:19" x14ac:dyDescent="0.3">
      <c r="A685" s="1" t="s">
        <v>1119</v>
      </c>
      <c r="B685" s="4">
        <v>45617</v>
      </c>
      <c r="C685" s="1" t="s">
        <v>1120</v>
      </c>
      <c r="D685" s="1" t="s">
        <v>48</v>
      </c>
      <c r="E685" s="1" t="s">
        <v>54</v>
      </c>
      <c r="F685" s="1" t="s">
        <v>55</v>
      </c>
      <c r="G685" s="1" t="s">
        <v>42</v>
      </c>
      <c r="H685" s="1" t="s">
        <v>56</v>
      </c>
      <c r="I685" s="1" t="s">
        <v>59</v>
      </c>
      <c r="J685" s="1" t="s">
        <v>60</v>
      </c>
      <c r="K685" s="1" t="s">
        <v>61</v>
      </c>
      <c r="L685">
        <v>1</v>
      </c>
      <c r="M685">
        <v>999</v>
      </c>
      <c r="N685">
        <v>0.1</v>
      </c>
      <c r="O685">
        <v>899.1</v>
      </c>
      <c r="P685">
        <v>520</v>
      </c>
      <c r="Q685">
        <v>520</v>
      </c>
      <c r="R685">
        <v>0</v>
      </c>
      <c r="S685">
        <v>379.1</v>
      </c>
    </row>
    <row r="686" spans="1:19" x14ac:dyDescent="0.3">
      <c r="A686" s="1" t="s">
        <v>1121</v>
      </c>
      <c r="B686" s="4">
        <v>45618</v>
      </c>
      <c r="C686" s="1" t="s">
        <v>914</v>
      </c>
      <c r="D686" s="1" t="s">
        <v>48</v>
      </c>
      <c r="E686" s="1" t="s">
        <v>96</v>
      </c>
      <c r="F686" s="1" t="s">
        <v>97</v>
      </c>
      <c r="G686" s="1" t="s">
        <v>24</v>
      </c>
      <c r="H686" s="1" t="s">
        <v>71</v>
      </c>
      <c r="I686" s="1" t="s">
        <v>59</v>
      </c>
      <c r="J686" s="1" t="s">
        <v>60</v>
      </c>
      <c r="K686" s="1" t="s">
        <v>61</v>
      </c>
      <c r="L686">
        <v>5</v>
      </c>
      <c r="M686">
        <v>999</v>
      </c>
      <c r="N686">
        <v>0.05</v>
      </c>
      <c r="O686">
        <v>4745.25</v>
      </c>
      <c r="P686">
        <v>520</v>
      </c>
      <c r="Q686">
        <v>2600</v>
      </c>
      <c r="R686">
        <v>80</v>
      </c>
      <c r="S686">
        <v>2065.25</v>
      </c>
    </row>
    <row r="687" spans="1:19" x14ac:dyDescent="0.3">
      <c r="A687" s="1" t="s">
        <v>1122</v>
      </c>
      <c r="B687" s="4">
        <v>45618</v>
      </c>
      <c r="C687" s="1" t="s">
        <v>1123</v>
      </c>
      <c r="D687" s="1" t="s">
        <v>40</v>
      </c>
      <c r="E687" s="1" t="s">
        <v>22</v>
      </c>
      <c r="F687" s="1" t="s">
        <v>23</v>
      </c>
      <c r="G687" s="1" t="s">
        <v>33</v>
      </c>
      <c r="H687" s="1" t="s">
        <v>89</v>
      </c>
      <c r="I687" s="1" t="s">
        <v>66</v>
      </c>
      <c r="J687" s="1" t="s">
        <v>67</v>
      </c>
      <c r="K687" s="1" t="s">
        <v>28</v>
      </c>
      <c r="L687">
        <v>2</v>
      </c>
      <c r="M687">
        <v>2499</v>
      </c>
      <c r="N687">
        <v>0.1</v>
      </c>
      <c r="O687">
        <v>4498.2</v>
      </c>
      <c r="P687">
        <v>1450</v>
      </c>
      <c r="Q687">
        <v>2900</v>
      </c>
      <c r="R687">
        <v>60</v>
      </c>
      <c r="S687">
        <v>1538.2</v>
      </c>
    </row>
    <row r="688" spans="1:19" x14ac:dyDescent="0.3">
      <c r="A688" s="1" t="s">
        <v>1124</v>
      </c>
      <c r="B688" s="4">
        <v>45618</v>
      </c>
      <c r="C688" s="1" t="s">
        <v>925</v>
      </c>
      <c r="D688" s="1" t="s">
        <v>40</v>
      </c>
      <c r="E688" s="1" t="s">
        <v>70</v>
      </c>
      <c r="F688" s="1" t="s">
        <v>70</v>
      </c>
      <c r="G688" s="1" t="s">
        <v>33</v>
      </c>
      <c r="H688" s="1" t="s">
        <v>34</v>
      </c>
      <c r="I688" s="1" t="s">
        <v>66</v>
      </c>
      <c r="J688" s="1" t="s">
        <v>67</v>
      </c>
      <c r="K688" s="1" t="s">
        <v>28</v>
      </c>
      <c r="L688">
        <v>3</v>
      </c>
      <c r="M688">
        <v>2499</v>
      </c>
      <c r="N688">
        <v>0.2</v>
      </c>
      <c r="O688">
        <v>5997.6</v>
      </c>
      <c r="P688">
        <v>1450</v>
      </c>
      <c r="Q688">
        <v>4350</v>
      </c>
      <c r="R688">
        <v>60</v>
      </c>
      <c r="S688">
        <v>1587.6</v>
      </c>
    </row>
    <row r="689" spans="1:19" x14ac:dyDescent="0.3">
      <c r="A689" s="1" t="s">
        <v>1125</v>
      </c>
      <c r="B689" s="4">
        <v>45618</v>
      </c>
      <c r="C689" s="1" t="s">
        <v>936</v>
      </c>
      <c r="D689" s="1" t="s">
        <v>21</v>
      </c>
      <c r="E689" s="1" t="s">
        <v>54</v>
      </c>
      <c r="F689" s="1" t="s">
        <v>55</v>
      </c>
      <c r="G689" s="1" t="s">
        <v>24</v>
      </c>
      <c r="H689" s="1" t="s">
        <v>25</v>
      </c>
      <c r="I689" s="1" t="s">
        <v>66</v>
      </c>
      <c r="J689" s="1" t="s">
        <v>67</v>
      </c>
      <c r="K689" s="1" t="s">
        <v>28</v>
      </c>
      <c r="L689">
        <v>1</v>
      </c>
      <c r="M689">
        <v>2499</v>
      </c>
      <c r="N689">
        <v>0.2</v>
      </c>
      <c r="O689">
        <v>1999.2</v>
      </c>
      <c r="P689">
        <v>1450</v>
      </c>
      <c r="Q689">
        <v>1450</v>
      </c>
      <c r="R689">
        <v>0</v>
      </c>
      <c r="S689">
        <v>549.20000000000005</v>
      </c>
    </row>
    <row r="690" spans="1:19" x14ac:dyDescent="0.3">
      <c r="A690" s="1" t="s">
        <v>1126</v>
      </c>
      <c r="B690" s="4">
        <v>45619</v>
      </c>
      <c r="C690" s="1" t="s">
        <v>936</v>
      </c>
      <c r="D690" s="1" t="s">
        <v>48</v>
      </c>
      <c r="E690" s="1" t="s">
        <v>22</v>
      </c>
      <c r="F690" s="1" t="s">
        <v>23</v>
      </c>
      <c r="G690" s="1" t="s">
        <v>24</v>
      </c>
      <c r="H690" s="1" t="s">
        <v>34</v>
      </c>
      <c r="I690" s="1" t="s">
        <v>35</v>
      </c>
      <c r="J690" s="1" t="s">
        <v>36</v>
      </c>
      <c r="K690" s="1" t="s">
        <v>37</v>
      </c>
      <c r="L690">
        <v>2</v>
      </c>
      <c r="M690">
        <v>1299</v>
      </c>
      <c r="N690">
        <v>0.2</v>
      </c>
      <c r="O690">
        <v>2078.4</v>
      </c>
      <c r="P690">
        <v>700</v>
      </c>
      <c r="Q690">
        <v>1400</v>
      </c>
      <c r="R690">
        <v>0</v>
      </c>
      <c r="S690">
        <v>678.4</v>
      </c>
    </row>
    <row r="691" spans="1:19" x14ac:dyDescent="0.3">
      <c r="A691" s="1" t="s">
        <v>1127</v>
      </c>
      <c r="B691" s="4">
        <v>45619</v>
      </c>
      <c r="C691" s="1" t="s">
        <v>429</v>
      </c>
      <c r="D691" s="1" t="s">
        <v>40</v>
      </c>
      <c r="E691" s="1" t="s">
        <v>31</v>
      </c>
      <c r="F691" s="1" t="s">
        <v>32</v>
      </c>
      <c r="G691" s="1" t="s">
        <v>24</v>
      </c>
      <c r="H691" s="1" t="s">
        <v>56</v>
      </c>
      <c r="I691" s="1" t="s">
        <v>51</v>
      </c>
      <c r="J691" s="1" t="s">
        <v>52</v>
      </c>
      <c r="K691" s="1" t="s">
        <v>37</v>
      </c>
      <c r="L691">
        <v>1</v>
      </c>
      <c r="M691">
        <v>499</v>
      </c>
      <c r="N691">
        <v>0.1</v>
      </c>
      <c r="O691">
        <v>449.1</v>
      </c>
      <c r="P691">
        <v>180</v>
      </c>
      <c r="Q691">
        <v>180</v>
      </c>
      <c r="R691">
        <v>0</v>
      </c>
      <c r="S691">
        <v>269.10000000000002</v>
      </c>
    </row>
    <row r="692" spans="1:19" x14ac:dyDescent="0.3">
      <c r="A692" s="1" t="s">
        <v>1128</v>
      </c>
      <c r="B692" s="4">
        <v>45620</v>
      </c>
      <c r="C692" s="1" t="s">
        <v>167</v>
      </c>
      <c r="D692" s="1" t="s">
        <v>48</v>
      </c>
      <c r="E692" s="1" t="s">
        <v>41</v>
      </c>
      <c r="F692" s="1" t="s">
        <v>32</v>
      </c>
      <c r="G692" s="1" t="s">
        <v>42</v>
      </c>
      <c r="H692" s="1" t="s">
        <v>56</v>
      </c>
      <c r="I692" s="1" t="s">
        <v>66</v>
      </c>
      <c r="J692" s="1" t="s">
        <v>67</v>
      </c>
      <c r="K692" s="1" t="s">
        <v>28</v>
      </c>
      <c r="L692">
        <v>2</v>
      </c>
      <c r="M692">
        <v>2499</v>
      </c>
      <c r="N692">
        <v>0.1</v>
      </c>
      <c r="O692">
        <v>4498.2</v>
      </c>
      <c r="P692">
        <v>1450</v>
      </c>
      <c r="Q692">
        <v>2900</v>
      </c>
      <c r="R692">
        <v>40</v>
      </c>
      <c r="S692">
        <v>1558.2</v>
      </c>
    </row>
    <row r="693" spans="1:19" x14ac:dyDescent="0.3">
      <c r="A693" s="1" t="s">
        <v>1129</v>
      </c>
      <c r="B693" s="4">
        <v>45621</v>
      </c>
      <c r="C693" s="1" t="s">
        <v>544</v>
      </c>
      <c r="D693" s="1" t="s">
        <v>21</v>
      </c>
      <c r="E693" s="1" t="s">
        <v>96</v>
      </c>
      <c r="F693" s="1" t="s">
        <v>97</v>
      </c>
      <c r="G693" s="1" t="s">
        <v>33</v>
      </c>
      <c r="H693" s="1" t="s">
        <v>89</v>
      </c>
      <c r="I693" s="1" t="s">
        <v>72</v>
      </c>
      <c r="J693" s="1" t="s">
        <v>73</v>
      </c>
      <c r="K693" s="1" t="s">
        <v>28</v>
      </c>
      <c r="L693">
        <v>1</v>
      </c>
      <c r="M693">
        <v>2199</v>
      </c>
      <c r="N693">
        <v>0.2</v>
      </c>
      <c r="O693">
        <v>1759.2</v>
      </c>
      <c r="P693">
        <v>1250</v>
      </c>
      <c r="Q693">
        <v>1250</v>
      </c>
      <c r="R693">
        <v>80</v>
      </c>
      <c r="S693">
        <v>429.2</v>
      </c>
    </row>
    <row r="694" spans="1:19" x14ac:dyDescent="0.3">
      <c r="A694" s="1" t="s">
        <v>1130</v>
      </c>
      <c r="B694" s="4">
        <v>45621</v>
      </c>
      <c r="C694" s="1" t="s">
        <v>115</v>
      </c>
      <c r="D694" s="1" t="s">
        <v>48</v>
      </c>
      <c r="E694" s="1" t="s">
        <v>31</v>
      </c>
      <c r="F694" s="1" t="s">
        <v>32</v>
      </c>
      <c r="G694" s="1" t="s">
        <v>42</v>
      </c>
      <c r="H694" s="1" t="s">
        <v>25</v>
      </c>
      <c r="I694" s="1" t="s">
        <v>51</v>
      </c>
      <c r="J694" s="1" t="s">
        <v>52</v>
      </c>
      <c r="K694" s="1" t="s">
        <v>37</v>
      </c>
      <c r="L694">
        <v>2</v>
      </c>
      <c r="M694">
        <v>499</v>
      </c>
      <c r="N694">
        <v>0.1</v>
      </c>
      <c r="O694">
        <v>898.2</v>
      </c>
      <c r="P694">
        <v>180</v>
      </c>
      <c r="Q694">
        <v>360</v>
      </c>
      <c r="R694">
        <v>60</v>
      </c>
      <c r="S694">
        <v>478.2</v>
      </c>
    </row>
    <row r="695" spans="1:19" x14ac:dyDescent="0.3">
      <c r="A695" s="1" t="s">
        <v>1131</v>
      </c>
      <c r="B695" s="4">
        <v>45622</v>
      </c>
      <c r="C695" s="1" t="s">
        <v>200</v>
      </c>
      <c r="D695" s="1" t="s">
        <v>21</v>
      </c>
      <c r="E695" s="1" t="s">
        <v>112</v>
      </c>
      <c r="F695" s="1" t="s">
        <v>113</v>
      </c>
      <c r="G695" s="1" t="s">
        <v>33</v>
      </c>
      <c r="H695" s="1" t="s">
        <v>56</v>
      </c>
      <c r="I695" s="1" t="s">
        <v>26</v>
      </c>
      <c r="J695" s="1" t="s">
        <v>27</v>
      </c>
      <c r="K695" s="1" t="s">
        <v>28</v>
      </c>
      <c r="L695">
        <v>3</v>
      </c>
      <c r="M695">
        <v>799</v>
      </c>
      <c r="N695">
        <v>0.15</v>
      </c>
      <c r="O695">
        <v>2037.45</v>
      </c>
      <c r="P695">
        <v>420</v>
      </c>
      <c r="Q695">
        <v>1260</v>
      </c>
      <c r="R695">
        <v>100</v>
      </c>
      <c r="S695">
        <v>677.45</v>
      </c>
    </row>
    <row r="696" spans="1:19" x14ac:dyDescent="0.3">
      <c r="A696" s="1" t="s">
        <v>1132</v>
      </c>
      <c r="B696" s="4">
        <v>45622</v>
      </c>
      <c r="C696" s="1" t="s">
        <v>1133</v>
      </c>
      <c r="D696" s="1" t="s">
        <v>40</v>
      </c>
      <c r="E696" s="1" t="s">
        <v>80</v>
      </c>
      <c r="F696" s="1" t="s">
        <v>55</v>
      </c>
      <c r="G696" s="1" t="s">
        <v>24</v>
      </c>
      <c r="H696" s="1" t="s">
        <v>89</v>
      </c>
      <c r="I696" s="1" t="s">
        <v>72</v>
      </c>
      <c r="J696" s="1" t="s">
        <v>73</v>
      </c>
      <c r="K696" s="1" t="s">
        <v>28</v>
      </c>
      <c r="L696">
        <v>1</v>
      </c>
      <c r="M696">
        <v>2199</v>
      </c>
      <c r="N696">
        <v>0.15</v>
      </c>
      <c r="O696">
        <v>1869.15</v>
      </c>
      <c r="P696">
        <v>1250</v>
      </c>
      <c r="Q696">
        <v>1250</v>
      </c>
      <c r="R696">
        <v>60</v>
      </c>
      <c r="S696">
        <v>559.15</v>
      </c>
    </row>
    <row r="697" spans="1:19" x14ac:dyDescent="0.3">
      <c r="A697" s="1" t="s">
        <v>1134</v>
      </c>
      <c r="B697" s="4">
        <v>45622</v>
      </c>
      <c r="C697" s="1" t="s">
        <v>91</v>
      </c>
      <c r="D697" s="1" t="s">
        <v>48</v>
      </c>
      <c r="E697" s="1" t="s">
        <v>80</v>
      </c>
      <c r="F697" s="1" t="s">
        <v>55</v>
      </c>
      <c r="G697" s="1" t="s">
        <v>33</v>
      </c>
      <c r="H697" s="1" t="s">
        <v>71</v>
      </c>
      <c r="I697" s="1" t="s">
        <v>59</v>
      </c>
      <c r="J697" s="1" t="s">
        <v>60</v>
      </c>
      <c r="K697" s="1" t="s">
        <v>61</v>
      </c>
      <c r="L697">
        <v>3</v>
      </c>
      <c r="M697">
        <v>999</v>
      </c>
      <c r="N697">
        <v>0.05</v>
      </c>
      <c r="O697">
        <v>2847.15</v>
      </c>
      <c r="P697">
        <v>520</v>
      </c>
      <c r="Q697">
        <v>1560</v>
      </c>
      <c r="R697">
        <v>40</v>
      </c>
      <c r="S697">
        <v>1247.1500000000001</v>
      </c>
    </row>
    <row r="698" spans="1:19" x14ac:dyDescent="0.3">
      <c r="A698" s="1" t="s">
        <v>1135</v>
      </c>
      <c r="B698" s="4">
        <v>45622</v>
      </c>
      <c r="C698" s="1" t="s">
        <v>1036</v>
      </c>
      <c r="D698" s="1" t="s">
        <v>48</v>
      </c>
      <c r="E698" s="1" t="s">
        <v>80</v>
      </c>
      <c r="F698" s="1" t="s">
        <v>55</v>
      </c>
      <c r="G698" s="1" t="s">
        <v>33</v>
      </c>
      <c r="H698" s="1" t="s">
        <v>34</v>
      </c>
      <c r="I698" s="1" t="s">
        <v>59</v>
      </c>
      <c r="J698" s="1" t="s">
        <v>60</v>
      </c>
      <c r="K698" s="1" t="s">
        <v>61</v>
      </c>
      <c r="L698">
        <v>3</v>
      </c>
      <c r="M698">
        <v>999</v>
      </c>
      <c r="N698">
        <v>0.1</v>
      </c>
      <c r="O698">
        <v>2697.3</v>
      </c>
      <c r="P698">
        <v>520</v>
      </c>
      <c r="Q698">
        <v>1560</v>
      </c>
      <c r="R698">
        <v>60</v>
      </c>
      <c r="S698">
        <v>1077.3</v>
      </c>
    </row>
    <row r="699" spans="1:19" x14ac:dyDescent="0.3">
      <c r="A699" s="1" t="s">
        <v>1136</v>
      </c>
      <c r="B699" s="4">
        <v>45623</v>
      </c>
      <c r="C699" s="1" t="s">
        <v>771</v>
      </c>
      <c r="D699" s="1" t="s">
        <v>48</v>
      </c>
      <c r="E699" s="1" t="s">
        <v>54</v>
      </c>
      <c r="F699" s="1" t="s">
        <v>55</v>
      </c>
      <c r="G699" s="1" t="s">
        <v>33</v>
      </c>
      <c r="H699" s="1" t="s">
        <v>34</v>
      </c>
      <c r="I699" s="1" t="s">
        <v>66</v>
      </c>
      <c r="J699" s="1" t="s">
        <v>67</v>
      </c>
      <c r="K699" s="1" t="s">
        <v>28</v>
      </c>
      <c r="L699">
        <v>5</v>
      </c>
      <c r="M699">
        <v>2499</v>
      </c>
      <c r="N699">
        <v>0.1</v>
      </c>
      <c r="O699">
        <v>11245.5</v>
      </c>
      <c r="P699">
        <v>1450</v>
      </c>
      <c r="Q699">
        <v>7250</v>
      </c>
      <c r="R699">
        <v>100</v>
      </c>
      <c r="S699">
        <v>3895.5</v>
      </c>
    </row>
    <row r="700" spans="1:19" x14ac:dyDescent="0.3">
      <c r="A700" s="1" t="s">
        <v>1137</v>
      </c>
      <c r="B700" s="4">
        <v>45623</v>
      </c>
      <c r="C700" s="1" t="s">
        <v>696</v>
      </c>
      <c r="D700" s="1" t="s">
        <v>40</v>
      </c>
      <c r="E700" s="1" t="s">
        <v>49</v>
      </c>
      <c r="F700" s="1" t="s">
        <v>50</v>
      </c>
      <c r="G700" s="1" t="s">
        <v>24</v>
      </c>
      <c r="H700" s="1" t="s">
        <v>25</v>
      </c>
      <c r="I700" s="1" t="s">
        <v>43</v>
      </c>
      <c r="J700" s="1" t="s">
        <v>44</v>
      </c>
      <c r="K700" s="1" t="s">
        <v>45</v>
      </c>
      <c r="L700">
        <v>1</v>
      </c>
      <c r="M700">
        <v>1799</v>
      </c>
      <c r="N700">
        <v>0.05</v>
      </c>
      <c r="O700">
        <v>1709.05</v>
      </c>
      <c r="P700">
        <v>850</v>
      </c>
      <c r="Q700">
        <v>850</v>
      </c>
      <c r="R700">
        <v>60</v>
      </c>
      <c r="S700">
        <v>799.05</v>
      </c>
    </row>
    <row r="701" spans="1:19" x14ac:dyDescent="0.3">
      <c r="A701" s="1" t="s">
        <v>1138</v>
      </c>
      <c r="B701" s="4">
        <v>45624</v>
      </c>
      <c r="C701" s="1" t="s">
        <v>327</v>
      </c>
      <c r="D701" s="1" t="s">
        <v>40</v>
      </c>
      <c r="E701" s="1" t="s">
        <v>49</v>
      </c>
      <c r="F701" s="1" t="s">
        <v>50</v>
      </c>
      <c r="G701" s="1" t="s">
        <v>24</v>
      </c>
      <c r="H701" s="1" t="s">
        <v>71</v>
      </c>
      <c r="I701" s="1" t="s">
        <v>72</v>
      </c>
      <c r="J701" s="1" t="s">
        <v>73</v>
      </c>
      <c r="K701" s="1" t="s">
        <v>28</v>
      </c>
      <c r="L701">
        <v>5</v>
      </c>
      <c r="M701">
        <v>2199</v>
      </c>
      <c r="N701">
        <v>0.15</v>
      </c>
      <c r="O701">
        <v>9345.75</v>
      </c>
      <c r="P701">
        <v>1250</v>
      </c>
      <c r="Q701">
        <v>6250</v>
      </c>
      <c r="R701">
        <v>40</v>
      </c>
      <c r="S701">
        <v>3055.75</v>
      </c>
    </row>
    <row r="702" spans="1:19" x14ac:dyDescent="0.3">
      <c r="A702" s="1" t="s">
        <v>1139</v>
      </c>
      <c r="B702" s="4">
        <v>45624</v>
      </c>
      <c r="C702" s="1" t="s">
        <v>142</v>
      </c>
      <c r="D702" s="1" t="s">
        <v>48</v>
      </c>
      <c r="E702" s="1" t="s">
        <v>70</v>
      </c>
      <c r="F702" s="1" t="s">
        <v>70</v>
      </c>
      <c r="G702" s="1" t="s">
        <v>42</v>
      </c>
      <c r="H702" s="1" t="s">
        <v>25</v>
      </c>
      <c r="I702" s="1" t="s">
        <v>134</v>
      </c>
      <c r="J702" s="1" t="s">
        <v>135</v>
      </c>
      <c r="K702" s="1" t="s">
        <v>136</v>
      </c>
      <c r="L702">
        <v>2</v>
      </c>
      <c r="M702">
        <v>299</v>
      </c>
      <c r="N702">
        <v>0</v>
      </c>
      <c r="O702">
        <v>598</v>
      </c>
      <c r="P702">
        <v>110</v>
      </c>
      <c r="Q702">
        <v>220</v>
      </c>
      <c r="R702">
        <v>40</v>
      </c>
      <c r="S702">
        <v>338</v>
      </c>
    </row>
    <row r="703" spans="1:19" x14ac:dyDescent="0.3">
      <c r="A703" s="1" t="s">
        <v>1140</v>
      </c>
      <c r="B703" s="4">
        <v>45624</v>
      </c>
      <c r="C703" s="1" t="s">
        <v>150</v>
      </c>
      <c r="D703" s="1" t="s">
        <v>21</v>
      </c>
      <c r="E703" s="1" t="s">
        <v>80</v>
      </c>
      <c r="F703" s="1" t="s">
        <v>55</v>
      </c>
      <c r="G703" s="1" t="s">
        <v>33</v>
      </c>
      <c r="H703" s="1" t="s">
        <v>56</v>
      </c>
      <c r="I703" s="1" t="s">
        <v>43</v>
      </c>
      <c r="J703" s="1" t="s">
        <v>44</v>
      </c>
      <c r="K703" s="1" t="s">
        <v>45</v>
      </c>
      <c r="L703">
        <v>2</v>
      </c>
      <c r="M703">
        <v>1799</v>
      </c>
      <c r="N703">
        <v>0</v>
      </c>
      <c r="O703">
        <v>3598</v>
      </c>
      <c r="P703">
        <v>850</v>
      </c>
      <c r="Q703">
        <v>1700</v>
      </c>
      <c r="R703">
        <v>80</v>
      </c>
      <c r="S703">
        <v>1818</v>
      </c>
    </row>
    <row r="704" spans="1:19" x14ac:dyDescent="0.3">
      <c r="A704" s="1" t="s">
        <v>1141</v>
      </c>
      <c r="B704" s="4">
        <v>45624</v>
      </c>
      <c r="C704" s="1" t="s">
        <v>815</v>
      </c>
      <c r="D704" s="1" t="s">
        <v>48</v>
      </c>
      <c r="E704" s="1" t="s">
        <v>124</v>
      </c>
      <c r="F704" s="1" t="s">
        <v>125</v>
      </c>
      <c r="G704" s="1" t="s">
        <v>24</v>
      </c>
      <c r="H704" s="1" t="s">
        <v>71</v>
      </c>
      <c r="I704" s="1" t="s">
        <v>92</v>
      </c>
      <c r="J704" s="1" t="s">
        <v>93</v>
      </c>
      <c r="K704" s="1" t="s">
        <v>28</v>
      </c>
      <c r="L704">
        <v>2</v>
      </c>
      <c r="M704">
        <v>1599</v>
      </c>
      <c r="N704">
        <v>0.05</v>
      </c>
      <c r="O704">
        <v>3038.1</v>
      </c>
      <c r="P704">
        <v>900</v>
      </c>
      <c r="Q704">
        <v>1800</v>
      </c>
      <c r="R704">
        <v>60</v>
      </c>
      <c r="S704">
        <v>1178.0999999999999</v>
      </c>
    </row>
    <row r="705" spans="1:19" x14ac:dyDescent="0.3">
      <c r="A705" s="1" t="s">
        <v>1142</v>
      </c>
      <c r="B705" s="4">
        <v>45625</v>
      </c>
      <c r="C705" s="1" t="s">
        <v>676</v>
      </c>
      <c r="D705" s="1" t="s">
        <v>21</v>
      </c>
      <c r="E705" s="1" t="s">
        <v>120</v>
      </c>
      <c r="F705" s="1" t="s">
        <v>121</v>
      </c>
      <c r="G705" s="1" t="s">
        <v>24</v>
      </c>
      <c r="H705" s="1" t="s">
        <v>34</v>
      </c>
      <c r="I705" s="1" t="s">
        <v>51</v>
      </c>
      <c r="J705" s="1" t="s">
        <v>52</v>
      </c>
      <c r="K705" s="1" t="s">
        <v>37</v>
      </c>
      <c r="L705">
        <v>2</v>
      </c>
      <c r="M705">
        <v>499</v>
      </c>
      <c r="N705">
        <v>0.05</v>
      </c>
      <c r="O705">
        <v>948.1</v>
      </c>
      <c r="P705">
        <v>180</v>
      </c>
      <c r="Q705">
        <v>360</v>
      </c>
      <c r="R705">
        <v>80</v>
      </c>
      <c r="S705">
        <v>508.1</v>
      </c>
    </row>
    <row r="706" spans="1:19" x14ac:dyDescent="0.3">
      <c r="A706" s="1" t="s">
        <v>1143</v>
      </c>
      <c r="B706" s="4">
        <v>45625</v>
      </c>
      <c r="C706" s="1" t="s">
        <v>962</v>
      </c>
      <c r="D706" s="1" t="s">
        <v>48</v>
      </c>
      <c r="E706" s="1" t="s">
        <v>64</v>
      </c>
      <c r="F706" s="1" t="s">
        <v>65</v>
      </c>
      <c r="G706" s="1" t="s">
        <v>42</v>
      </c>
      <c r="H706" s="1" t="s">
        <v>71</v>
      </c>
      <c r="I706" s="1" t="s">
        <v>51</v>
      </c>
      <c r="J706" s="1" t="s">
        <v>52</v>
      </c>
      <c r="K706" s="1" t="s">
        <v>37</v>
      </c>
      <c r="L706">
        <v>2</v>
      </c>
      <c r="M706">
        <v>499</v>
      </c>
      <c r="N706">
        <v>0</v>
      </c>
      <c r="O706">
        <v>998</v>
      </c>
      <c r="P706">
        <v>180</v>
      </c>
      <c r="Q706">
        <v>360</v>
      </c>
      <c r="R706">
        <v>40</v>
      </c>
      <c r="S706">
        <v>598</v>
      </c>
    </row>
    <row r="707" spans="1:19" x14ac:dyDescent="0.3">
      <c r="A707" s="1" t="s">
        <v>1144</v>
      </c>
      <c r="B707" s="4">
        <v>45627</v>
      </c>
      <c r="C707" s="1" t="s">
        <v>255</v>
      </c>
      <c r="D707" s="1" t="s">
        <v>21</v>
      </c>
      <c r="E707" s="1" t="s">
        <v>96</v>
      </c>
      <c r="F707" s="1" t="s">
        <v>97</v>
      </c>
      <c r="G707" s="1" t="s">
        <v>42</v>
      </c>
      <c r="H707" s="1" t="s">
        <v>89</v>
      </c>
      <c r="I707" s="1" t="s">
        <v>85</v>
      </c>
      <c r="J707" s="1" t="s">
        <v>86</v>
      </c>
      <c r="K707" s="1" t="s">
        <v>45</v>
      </c>
      <c r="L707">
        <v>2</v>
      </c>
      <c r="M707">
        <v>599</v>
      </c>
      <c r="N707">
        <v>0.2</v>
      </c>
      <c r="O707">
        <v>958.4</v>
      </c>
      <c r="P707">
        <v>240</v>
      </c>
      <c r="Q707">
        <v>480</v>
      </c>
      <c r="R707">
        <v>40</v>
      </c>
      <c r="S707">
        <v>438.4</v>
      </c>
    </row>
    <row r="708" spans="1:19" x14ac:dyDescent="0.3">
      <c r="A708" s="1" t="s">
        <v>1145</v>
      </c>
      <c r="B708" s="4">
        <v>45627</v>
      </c>
      <c r="C708" s="1" t="s">
        <v>855</v>
      </c>
      <c r="D708" s="1" t="s">
        <v>21</v>
      </c>
      <c r="E708" s="1" t="s">
        <v>31</v>
      </c>
      <c r="F708" s="1" t="s">
        <v>32</v>
      </c>
      <c r="G708" s="1" t="s">
        <v>42</v>
      </c>
      <c r="H708" s="1" t="s">
        <v>25</v>
      </c>
      <c r="I708" s="1" t="s">
        <v>59</v>
      </c>
      <c r="J708" s="1" t="s">
        <v>60</v>
      </c>
      <c r="K708" s="1" t="s">
        <v>61</v>
      </c>
      <c r="L708">
        <v>2</v>
      </c>
      <c r="M708">
        <v>999</v>
      </c>
      <c r="N708">
        <v>0.15</v>
      </c>
      <c r="O708">
        <v>1698.3</v>
      </c>
      <c r="P708">
        <v>520</v>
      </c>
      <c r="Q708">
        <v>1040</v>
      </c>
      <c r="R708">
        <v>40</v>
      </c>
      <c r="S708">
        <v>618.29999999999995</v>
      </c>
    </row>
    <row r="709" spans="1:19" x14ac:dyDescent="0.3">
      <c r="A709" s="1" t="s">
        <v>1146</v>
      </c>
      <c r="B709" s="4">
        <v>45627</v>
      </c>
      <c r="C709" s="1" t="s">
        <v>474</v>
      </c>
      <c r="D709" s="1" t="s">
        <v>40</v>
      </c>
      <c r="E709" s="1" t="s">
        <v>49</v>
      </c>
      <c r="F709" s="1" t="s">
        <v>50</v>
      </c>
      <c r="G709" s="1" t="s">
        <v>24</v>
      </c>
      <c r="H709" s="1" t="s">
        <v>25</v>
      </c>
      <c r="I709" s="1" t="s">
        <v>43</v>
      </c>
      <c r="J709" s="1" t="s">
        <v>44</v>
      </c>
      <c r="K709" s="1" t="s">
        <v>45</v>
      </c>
      <c r="L709">
        <v>2</v>
      </c>
      <c r="M709">
        <v>1799</v>
      </c>
      <c r="N709">
        <v>0</v>
      </c>
      <c r="O709">
        <v>3598</v>
      </c>
      <c r="P709">
        <v>850</v>
      </c>
      <c r="Q709">
        <v>1700</v>
      </c>
      <c r="R709">
        <v>0</v>
      </c>
      <c r="S709">
        <v>1898</v>
      </c>
    </row>
    <row r="710" spans="1:19" x14ac:dyDescent="0.3">
      <c r="A710" s="1" t="s">
        <v>1147</v>
      </c>
      <c r="B710" s="4">
        <v>45628</v>
      </c>
      <c r="C710" s="1" t="s">
        <v>656</v>
      </c>
      <c r="D710" s="1" t="s">
        <v>48</v>
      </c>
      <c r="E710" s="1" t="s">
        <v>49</v>
      </c>
      <c r="F710" s="1" t="s">
        <v>50</v>
      </c>
      <c r="G710" s="1" t="s">
        <v>33</v>
      </c>
      <c r="H710" s="1" t="s">
        <v>25</v>
      </c>
      <c r="I710" s="1" t="s">
        <v>66</v>
      </c>
      <c r="J710" s="1" t="s">
        <v>67</v>
      </c>
      <c r="K710" s="1" t="s">
        <v>28</v>
      </c>
      <c r="L710">
        <v>1</v>
      </c>
      <c r="M710">
        <v>2499</v>
      </c>
      <c r="N710">
        <v>0.15</v>
      </c>
      <c r="O710">
        <v>2124.15</v>
      </c>
      <c r="P710">
        <v>1450</v>
      </c>
      <c r="Q710">
        <v>1450</v>
      </c>
      <c r="R710">
        <v>80</v>
      </c>
      <c r="S710">
        <v>594.15</v>
      </c>
    </row>
    <row r="711" spans="1:19" x14ac:dyDescent="0.3">
      <c r="A711" s="1" t="s">
        <v>1148</v>
      </c>
      <c r="B711" s="4">
        <v>45629</v>
      </c>
      <c r="C711" s="1" t="s">
        <v>425</v>
      </c>
      <c r="D711" s="1" t="s">
        <v>21</v>
      </c>
      <c r="E711" s="1" t="s">
        <v>22</v>
      </c>
      <c r="F711" s="1" t="s">
        <v>23</v>
      </c>
      <c r="G711" s="1" t="s">
        <v>24</v>
      </c>
      <c r="H711" s="1" t="s">
        <v>56</v>
      </c>
      <c r="I711" s="1" t="s">
        <v>35</v>
      </c>
      <c r="J711" s="1" t="s">
        <v>36</v>
      </c>
      <c r="K711" s="1" t="s">
        <v>37</v>
      </c>
      <c r="L711">
        <v>2</v>
      </c>
      <c r="M711">
        <v>1299</v>
      </c>
      <c r="N711">
        <v>0.15</v>
      </c>
      <c r="O711">
        <v>2208.3000000000002</v>
      </c>
      <c r="P711">
        <v>700</v>
      </c>
      <c r="Q711">
        <v>1400</v>
      </c>
      <c r="R711">
        <v>0</v>
      </c>
      <c r="S711">
        <v>808.3</v>
      </c>
    </row>
    <row r="712" spans="1:19" x14ac:dyDescent="0.3">
      <c r="A712" s="1" t="s">
        <v>1149</v>
      </c>
      <c r="B712" s="4">
        <v>45629</v>
      </c>
      <c r="C712" s="1" t="s">
        <v>30</v>
      </c>
      <c r="D712" s="1" t="s">
        <v>48</v>
      </c>
      <c r="E712" s="1" t="s">
        <v>120</v>
      </c>
      <c r="F712" s="1" t="s">
        <v>121</v>
      </c>
      <c r="G712" s="1" t="s">
        <v>33</v>
      </c>
      <c r="H712" s="1" t="s">
        <v>71</v>
      </c>
      <c r="I712" s="1" t="s">
        <v>51</v>
      </c>
      <c r="J712" s="1" t="s">
        <v>52</v>
      </c>
      <c r="K712" s="1" t="s">
        <v>37</v>
      </c>
      <c r="L712">
        <v>1</v>
      </c>
      <c r="M712">
        <v>499</v>
      </c>
      <c r="N712">
        <v>0</v>
      </c>
      <c r="O712">
        <v>499</v>
      </c>
      <c r="P712">
        <v>180</v>
      </c>
      <c r="Q712">
        <v>180</v>
      </c>
      <c r="R712">
        <v>80</v>
      </c>
      <c r="S712">
        <v>239</v>
      </c>
    </row>
    <row r="713" spans="1:19" x14ac:dyDescent="0.3">
      <c r="A713" s="1" t="s">
        <v>1150</v>
      </c>
      <c r="B713" s="4">
        <v>45631</v>
      </c>
      <c r="C713" s="1" t="s">
        <v>1114</v>
      </c>
      <c r="D713" s="1" t="s">
        <v>40</v>
      </c>
      <c r="E713" s="1" t="s">
        <v>31</v>
      </c>
      <c r="F713" s="1" t="s">
        <v>32</v>
      </c>
      <c r="G713" s="1" t="s">
        <v>42</v>
      </c>
      <c r="H713" s="1" t="s">
        <v>89</v>
      </c>
      <c r="I713" s="1" t="s">
        <v>26</v>
      </c>
      <c r="J713" s="1" t="s">
        <v>27</v>
      </c>
      <c r="K713" s="1" t="s">
        <v>28</v>
      </c>
      <c r="L713">
        <v>1</v>
      </c>
      <c r="M713">
        <v>799</v>
      </c>
      <c r="N713">
        <v>0.05</v>
      </c>
      <c r="O713">
        <v>759.05</v>
      </c>
      <c r="P713">
        <v>420</v>
      </c>
      <c r="Q713">
        <v>420</v>
      </c>
      <c r="R713">
        <v>40</v>
      </c>
      <c r="S713">
        <v>299.05</v>
      </c>
    </row>
    <row r="714" spans="1:19" x14ac:dyDescent="0.3">
      <c r="A714" s="1" t="s">
        <v>1151</v>
      </c>
      <c r="B714" s="4">
        <v>45631</v>
      </c>
      <c r="C714" s="1" t="s">
        <v>489</v>
      </c>
      <c r="D714" s="1" t="s">
        <v>48</v>
      </c>
      <c r="E714" s="1" t="s">
        <v>64</v>
      </c>
      <c r="F714" s="1" t="s">
        <v>65</v>
      </c>
      <c r="G714" s="1" t="s">
        <v>42</v>
      </c>
      <c r="H714" s="1" t="s">
        <v>25</v>
      </c>
      <c r="I714" s="1" t="s">
        <v>81</v>
      </c>
      <c r="J714" s="1" t="s">
        <v>82</v>
      </c>
      <c r="K714" s="1" t="s">
        <v>61</v>
      </c>
      <c r="L714">
        <v>1</v>
      </c>
      <c r="M714">
        <v>2999</v>
      </c>
      <c r="N714">
        <v>0.15</v>
      </c>
      <c r="O714">
        <v>2549.15</v>
      </c>
      <c r="P714">
        <v>1750</v>
      </c>
      <c r="Q714">
        <v>1750</v>
      </c>
      <c r="R714">
        <v>100</v>
      </c>
      <c r="S714">
        <v>699.15</v>
      </c>
    </row>
    <row r="715" spans="1:19" x14ac:dyDescent="0.3">
      <c r="A715" s="1" t="s">
        <v>1152</v>
      </c>
      <c r="B715" s="4">
        <v>45631</v>
      </c>
      <c r="C715" s="1" t="s">
        <v>771</v>
      </c>
      <c r="D715" s="1" t="s">
        <v>21</v>
      </c>
      <c r="E715" s="1" t="s">
        <v>96</v>
      </c>
      <c r="F715" s="1" t="s">
        <v>97</v>
      </c>
      <c r="G715" s="1" t="s">
        <v>24</v>
      </c>
      <c r="H715" s="1" t="s">
        <v>34</v>
      </c>
      <c r="I715" s="1" t="s">
        <v>85</v>
      </c>
      <c r="J715" s="1" t="s">
        <v>86</v>
      </c>
      <c r="K715" s="1" t="s">
        <v>45</v>
      </c>
      <c r="L715">
        <v>3</v>
      </c>
      <c r="M715">
        <v>599</v>
      </c>
      <c r="N715">
        <v>0.15</v>
      </c>
      <c r="O715">
        <v>1527.45</v>
      </c>
      <c r="P715">
        <v>240</v>
      </c>
      <c r="Q715">
        <v>720</v>
      </c>
      <c r="R715">
        <v>80</v>
      </c>
      <c r="S715">
        <v>727.45</v>
      </c>
    </row>
    <row r="716" spans="1:19" x14ac:dyDescent="0.3">
      <c r="A716" s="1" t="s">
        <v>1153</v>
      </c>
      <c r="B716" s="4">
        <v>45633</v>
      </c>
      <c r="C716" s="1" t="s">
        <v>1154</v>
      </c>
      <c r="D716" s="1" t="s">
        <v>21</v>
      </c>
      <c r="E716" s="1" t="s">
        <v>64</v>
      </c>
      <c r="F716" s="1" t="s">
        <v>65</v>
      </c>
      <c r="G716" s="1" t="s">
        <v>42</v>
      </c>
      <c r="H716" s="1" t="s">
        <v>25</v>
      </c>
      <c r="I716" s="1" t="s">
        <v>134</v>
      </c>
      <c r="J716" s="1" t="s">
        <v>135</v>
      </c>
      <c r="K716" s="1" t="s">
        <v>136</v>
      </c>
      <c r="L716">
        <v>1</v>
      </c>
      <c r="M716">
        <v>299</v>
      </c>
      <c r="N716">
        <v>0.05</v>
      </c>
      <c r="O716">
        <v>284.05</v>
      </c>
      <c r="P716">
        <v>110</v>
      </c>
      <c r="Q716">
        <v>110</v>
      </c>
      <c r="R716">
        <v>100</v>
      </c>
      <c r="S716">
        <v>74.05</v>
      </c>
    </row>
    <row r="717" spans="1:19" x14ac:dyDescent="0.3">
      <c r="A717" s="1" t="s">
        <v>1155</v>
      </c>
      <c r="B717" s="4">
        <v>45634</v>
      </c>
      <c r="C717" s="1" t="s">
        <v>333</v>
      </c>
      <c r="D717" s="1" t="s">
        <v>21</v>
      </c>
      <c r="E717" s="1" t="s">
        <v>41</v>
      </c>
      <c r="F717" s="1" t="s">
        <v>32</v>
      </c>
      <c r="G717" s="1" t="s">
        <v>24</v>
      </c>
      <c r="H717" s="1" t="s">
        <v>71</v>
      </c>
      <c r="I717" s="1" t="s">
        <v>134</v>
      </c>
      <c r="J717" s="1" t="s">
        <v>135</v>
      </c>
      <c r="K717" s="1" t="s">
        <v>136</v>
      </c>
      <c r="L717">
        <v>1</v>
      </c>
      <c r="M717">
        <v>299</v>
      </c>
      <c r="N717">
        <v>0.1</v>
      </c>
      <c r="O717">
        <v>269.10000000000002</v>
      </c>
      <c r="P717">
        <v>110</v>
      </c>
      <c r="Q717">
        <v>110</v>
      </c>
      <c r="R717">
        <v>40</v>
      </c>
      <c r="S717">
        <v>119.1</v>
      </c>
    </row>
    <row r="718" spans="1:19" x14ac:dyDescent="0.3">
      <c r="A718" s="1" t="s">
        <v>1156</v>
      </c>
      <c r="B718" s="4">
        <v>45634</v>
      </c>
      <c r="C718" s="1" t="s">
        <v>1157</v>
      </c>
      <c r="D718" s="1" t="s">
        <v>40</v>
      </c>
      <c r="E718" s="1" t="s">
        <v>41</v>
      </c>
      <c r="F718" s="1" t="s">
        <v>32</v>
      </c>
      <c r="G718" s="1" t="s">
        <v>42</v>
      </c>
      <c r="H718" s="1" t="s">
        <v>34</v>
      </c>
      <c r="I718" s="1" t="s">
        <v>26</v>
      </c>
      <c r="J718" s="1" t="s">
        <v>27</v>
      </c>
      <c r="K718" s="1" t="s">
        <v>28</v>
      </c>
      <c r="L718">
        <v>1</v>
      </c>
      <c r="M718">
        <v>799</v>
      </c>
      <c r="N718">
        <v>0.15</v>
      </c>
      <c r="O718">
        <v>679.15</v>
      </c>
      <c r="P718">
        <v>420</v>
      </c>
      <c r="Q718">
        <v>420</v>
      </c>
      <c r="R718">
        <v>60</v>
      </c>
      <c r="S718">
        <v>199.15</v>
      </c>
    </row>
    <row r="719" spans="1:19" x14ac:dyDescent="0.3">
      <c r="A719" s="1" t="s">
        <v>1158</v>
      </c>
      <c r="B719" s="4">
        <v>45634</v>
      </c>
      <c r="C719" s="1" t="s">
        <v>593</v>
      </c>
      <c r="D719" s="1" t="s">
        <v>40</v>
      </c>
      <c r="E719" s="1" t="s">
        <v>22</v>
      </c>
      <c r="F719" s="1" t="s">
        <v>23</v>
      </c>
      <c r="G719" s="1" t="s">
        <v>33</v>
      </c>
      <c r="H719" s="1" t="s">
        <v>25</v>
      </c>
      <c r="I719" s="1" t="s">
        <v>35</v>
      </c>
      <c r="J719" s="1" t="s">
        <v>36</v>
      </c>
      <c r="K719" s="1" t="s">
        <v>37</v>
      </c>
      <c r="L719">
        <v>1</v>
      </c>
      <c r="M719">
        <v>1299</v>
      </c>
      <c r="N719">
        <v>0.15</v>
      </c>
      <c r="O719">
        <v>1104.1500000000001</v>
      </c>
      <c r="P719">
        <v>700</v>
      </c>
      <c r="Q719">
        <v>700</v>
      </c>
      <c r="R719">
        <v>100</v>
      </c>
      <c r="S719">
        <v>304.14999999999998</v>
      </c>
    </row>
    <row r="720" spans="1:19" x14ac:dyDescent="0.3">
      <c r="A720" s="1" t="s">
        <v>1159</v>
      </c>
      <c r="B720" s="4">
        <v>45635</v>
      </c>
      <c r="C720" s="1" t="s">
        <v>1014</v>
      </c>
      <c r="D720" s="1" t="s">
        <v>40</v>
      </c>
      <c r="E720" s="1" t="s">
        <v>80</v>
      </c>
      <c r="F720" s="1" t="s">
        <v>55</v>
      </c>
      <c r="G720" s="1" t="s">
        <v>33</v>
      </c>
      <c r="H720" s="1" t="s">
        <v>56</v>
      </c>
      <c r="I720" s="1" t="s">
        <v>134</v>
      </c>
      <c r="J720" s="1" t="s">
        <v>135</v>
      </c>
      <c r="K720" s="1" t="s">
        <v>136</v>
      </c>
      <c r="L720">
        <v>1</v>
      </c>
      <c r="M720">
        <v>299</v>
      </c>
      <c r="N720">
        <v>0.05</v>
      </c>
      <c r="O720">
        <v>284.05</v>
      </c>
      <c r="P720">
        <v>110</v>
      </c>
      <c r="Q720">
        <v>110</v>
      </c>
      <c r="R720">
        <v>40</v>
      </c>
      <c r="S720">
        <v>134.05000000000001</v>
      </c>
    </row>
    <row r="721" spans="1:19" x14ac:dyDescent="0.3">
      <c r="A721" s="1" t="s">
        <v>1160</v>
      </c>
      <c r="B721" s="4">
        <v>45635</v>
      </c>
      <c r="C721" s="1" t="s">
        <v>294</v>
      </c>
      <c r="D721" s="1" t="s">
        <v>40</v>
      </c>
      <c r="E721" s="1" t="s">
        <v>120</v>
      </c>
      <c r="F721" s="1" t="s">
        <v>121</v>
      </c>
      <c r="G721" s="1" t="s">
        <v>24</v>
      </c>
      <c r="H721" s="1" t="s">
        <v>34</v>
      </c>
      <c r="I721" s="1" t="s">
        <v>35</v>
      </c>
      <c r="J721" s="1" t="s">
        <v>36</v>
      </c>
      <c r="K721" s="1" t="s">
        <v>37</v>
      </c>
      <c r="L721">
        <v>2</v>
      </c>
      <c r="M721">
        <v>1299</v>
      </c>
      <c r="N721">
        <v>0.2</v>
      </c>
      <c r="O721">
        <v>2078.4</v>
      </c>
      <c r="P721">
        <v>700</v>
      </c>
      <c r="Q721">
        <v>1400</v>
      </c>
      <c r="R721">
        <v>100</v>
      </c>
      <c r="S721">
        <v>578.4</v>
      </c>
    </row>
    <row r="722" spans="1:19" x14ac:dyDescent="0.3">
      <c r="A722" s="1" t="s">
        <v>1161</v>
      </c>
      <c r="B722" s="4">
        <v>45635</v>
      </c>
      <c r="C722" s="1" t="s">
        <v>720</v>
      </c>
      <c r="D722" s="1" t="s">
        <v>40</v>
      </c>
      <c r="E722" s="1" t="s">
        <v>49</v>
      </c>
      <c r="F722" s="1" t="s">
        <v>50</v>
      </c>
      <c r="G722" s="1" t="s">
        <v>42</v>
      </c>
      <c r="H722" s="1" t="s">
        <v>25</v>
      </c>
      <c r="I722" s="1" t="s">
        <v>66</v>
      </c>
      <c r="J722" s="1" t="s">
        <v>67</v>
      </c>
      <c r="K722" s="1" t="s">
        <v>28</v>
      </c>
      <c r="L722">
        <v>3</v>
      </c>
      <c r="M722">
        <v>2499</v>
      </c>
      <c r="N722">
        <v>0</v>
      </c>
      <c r="O722">
        <v>7497</v>
      </c>
      <c r="P722">
        <v>1450</v>
      </c>
      <c r="Q722">
        <v>4350</v>
      </c>
      <c r="R722">
        <v>60</v>
      </c>
      <c r="S722">
        <v>3087</v>
      </c>
    </row>
    <row r="723" spans="1:19" x14ac:dyDescent="0.3">
      <c r="A723" s="1" t="s">
        <v>1162</v>
      </c>
      <c r="B723" s="4">
        <v>45636</v>
      </c>
      <c r="C723" s="1" t="s">
        <v>824</v>
      </c>
      <c r="D723" s="1" t="s">
        <v>48</v>
      </c>
      <c r="E723" s="1" t="s">
        <v>41</v>
      </c>
      <c r="F723" s="1" t="s">
        <v>32</v>
      </c>
      <c r="G723" s="1" t="s">
        <v>33</v>
      </c>
      <c r="H723" s="1" t="s">
        <v>56</v>
      </c>
      <c r="I723" s="1" t="s">
        <v>35</v>
      </c>
      <c r="J723" s="1" t="s">
        <v>36</v>
      </c>
      <c r="K723" s="1" t="s">
        <v>37</v>
      </c>
      <c r="L723">
        <v>1</v>
      </c>
      <c r="M723">
        <v>1299</v>
      </c>
      <c r="N723">
        <v>0</v>
      </c>
      <c r="O723">
        <v>1299</v>
      </c>
      <c r="P723">
        <v>700</v>
      </c>
      <c r="Q723">
        <v>700</v>
      </c>
      <c r="R723">
        <v>80</v>
      </c>
      <c r="S723">
        <v>519</v>
      </c>
    </row>
    <row r="724" spans="1:19" x14ac:dyDescent="0.3">
      <c r="A724" s="1" t="s">
        <v>1163</v>
      </c>
      <c r="B724" s="4">
        <v>45636</v>
      </c>
      <c r="C724" s="1" t="s">
        <v>63</v>
      </c>
      <c r="D724" s="1" t="s">
        <v>21</v>
      </c>
      <c r="E724" s="1" t="s">
        <v>80</v>
      </c>
      <c r="F724" s="1" t="s">
        <v>55</v>
      </c>
      <c r="G724" s="1" t="s">
        <v>33</v>
      </c>
      <c r="H724" s="1" t="s">
        <v>34</v>
      </c>
      <c r="I724" s="1" t="s">
        <v>134</v>
      </c>
      <c r="J724" s="1" t="s">
        <v>135</v>
      </c>
      <c r="K724" s="1" t="s">
        <v>136</v>
      </c>
      <c r="L724">
        <v>2</v>
      </c>
      <c r="M724">
        <v>299</v>
      </c>
      <c r="N724">
        <v>0</v>
      </c>
      <c r="O724">
        <v>598</v>
      </c>
      <c r="P724">
        <v>110</v>
      </c>
      <c r="Q724">
        <v>220</v>
      </c>
      <c r="R724">
        <v>0</v>
      </c>
      <c r="S724">
        <v>378</v>
      </c>
    </row>
    <row r="725" spans="1:19" x14ac:dyDescent="0.3">
      <c r="A725" s="1" t="s">
        <v>1164</v>
      </c>
      <c r="B725" s="4">
        <v>45637</v>
      </c>
      <c r="C725" s="1" t="s">
        <v>658</v>
      </c>
      <c r="D725" s="1" t="s">
        <v>48</v>
      </c>
      <c r="E725" s="1" t="s">
        <v>120</v>
      </c>
      <c r="F725" s="1" t="s">
        <v>121</v>
      </c>
      <c r="G725" s="1" t="s">
        <v>42</v>
      </c>
      <c r="H725" s="1" t="s">
        <v>25</v>
      </c>
      <c r="I725" s="1" t="s">
        <v>76</v>
      </c>
      <c r="J725" s="1" t="s">
        <v>77</v>
      </c>
      <c r="K725" s="1" t="s">
        <v>37</v>
      </c>
      <c r="L725">
        <v>2</v>
      </c>
      <c r="M725">
        <v>6999</v>
      </c>
      <c r="N725">
        <v>0</v>
      </c>
      <c r="O725">
        <v>13998</v>
      </c>
      <c r="P725">
        <v>4900</v>
      </c>
      <c r="Q725">
        <v>9800</v>
      </c>
      <c r="R725">
        <v>60</v>
      </c>
      <c r="S725">
        <v>4138</v>
      </c>
    </row>
    <row r="726" spans="1:19" x14ac:dyDescent="0.3">
      <c r="A726" s="1" t="s">
        <v>1165</v>
      </c>
      <c r="B726" s="4">
        <v>45637</v>
      </c>
      <c r="C726" s="1" t="s">
        <v>1061</v>
      </c>
      <c r="D726" s="1" t="s">
        <v>21</v>
      </c>
      <c r="E726" s="1" t="s">
        <v>120</v>
      </c>
      <c r="F726" s="1" t="s">
        <v>121</v>
      </c>
      <c r="G726" s="1" t="s">
        <v>33</v>
      </c>
      <c r="H726" s="1" t="s">
        <v>71</v>
      </c>
      <c r="I726" s="1" t="s">
        <v>59</v>
      </c>
      <c r="J726" s="1" t="s">
        <v>60</v>
      </c>
      <c r="K726" s="1" t="s">
        <v>61</v>
      </c>
      <c r="L726">
        <v>1</v>
      </c>
      <c r="M726">
        <v>999</v>
      </c>
      <c r="N726">
        <v>0</v>
      </c>
      <c r="O726">
        <v>999</v>
      </c>
      <c r="P726">
        <v>520</v>
      </c>
      <c r="Q726">
        <v>520</v>
      </c>
      <c r="R726">
        <v>0</v>
      </c>
      <c r="S726">
        <v>479</v>
      </c>
    </row>
    <row r="727" spans="1:19" x14ac:dyDescent="0.3">
      <c r="A727" s="1" t="s">
        <v>1166</v>
      </c>
      <c r="B727" s="4">
        <v>45637</v>
      </c>
      <c r="C727" s="1" t="s">
        <v>474</v>
      </c>
      <c r="D727" s="1" t="s">
        <v>40</v>
      </c>
      <c r="E727" s="1" t="s">
        <v>124</v>
      </c>
      <c r="F727" s="1" t="s">
        <v>125</v>
      </c>
      <c r="G727" s="1" t="s">
        <v>33</v>
      </c>
      <c r="H727" s="1" t="s">
        <v>34</v>
      </c>
      <c r="I727" s="1" t="s">
        <v>134</v>
      </c>
      <c r="J727" s="1" t="s">
        <v>135</v>
      </c>
      <c r="K727" s="1" t="s">
        <v>136</v>
      </c>
      <c r="L727">
        <v>1</v>
      </c>
      <c r="M727">
        <v>299</v>
      </c>
      <c r="N727">
        <v>0.05</v>
      </c>
      <c r="O727">
        <v>284.05</v>
      </c>
      <c r="P727">
        <v>110</v>
      </c>
      <c r="Q727">
        <v>110</v>
      </c>
      <c r="R727">
        <v>60</v>
      </c>
      <c r="S727">
        <v>114.05</v>
      </c>
    </row>
    <row r="728" spans="1:19" x14ac:dyDescent="0.3">
      <c r="A728" s="1" t="s">
        <v>1167</v>
      </c>
      <c r="B728" s="4">
        <v>45638</v>
      </c>
      <c r="C728" s="1" t="s">
        <v>226</v>
      </c>
      <c r="D728" s="1" t="s">
        <v>48</v>
      </c>
      <c r="E728" s="1" t="s">
        <v>70</v>
      </c>
      <c r="F728" s="1" t="s">
        <v>70</v>
      </c>
      <c r="G728" s="1" t="s">
        <v>42</v>
      </c>
      <c r="H728" s="1" t="s">
        <v>71</v>
      </c>
      <c r="I728" s="1" t="s">
        <v>72</v>
      </c>
      <c r="J728" s="1" t="s">
        <v>73</v>
      </c>
      <c r="K728" s="1" t="s">
        <v>28</v>
      </c>
      <c r="L728">
        <v>1</v>
      </c>
      <c r="M728">
        <v>2199</v>
      </c>
      <c r="N728">
        <v>0.1</v>
      </c>
      <c r="O728">
        <v>1979.1</v>
      </c>
      <c r="P728">
        <v>1250</v>
      </c>
      <c r="Q728">
        <v>1250</v>
      </c>
      <c r="R728">
        <v>0</v>
      </c>
      <c r="S728">
        <v>729.1</v>
      </c>
    </row>
    <row r="729" spans="1:19" x14ac:dyDescent="0.3">
      <c r="A729" s="1" t="s">
        <v>1168</v>
      </c>
      <c r="B729" s="4">
        <v>45639</v>
      </c>
      <c r="C729" s="1" t="s">
        <v>558</v>
      </c>
      <c r="D729" s="1" t="s">
        <v>21</v>
      </c>
      <c r="E729" s="1" t="s">
        <v>41</v>
      </c>
      <c r="F729" s="1" t="s">
        <v>32</v>
      </c>
      <c r="G729" s="1" t="s">
        <v>42</v>
      </c>
      <c r="H729" s="1" t="s">
        <v>34</v>
      </c>
      <c r="I729" s="1" t="s">
        <v>43</v>
      </c>
      <c r="J729" s="1" t="s">
        <v>44</v>
      </c>
      <c r="K729" s="1" t="s">
        <v>45</v>
      </c>
      <c r="L729">
        <v>2</v>
      </c>
      <c r="M729">
        <v>1799</v>
      </c>
      <c r="N729">
        <v>0</v>
      </c>
      <c r="O729">
        <v>3598</v>
      </c>
      <c r="P729">
        <v>850</v>
      </c>
      <c r="Q729">
        <v>1700</v>
      </c>
      <c r="R729">
        <v>60</v>
      </c>
      <c r="S729">
        <v>1838</v>
      </c>
    </row>
    <row r="730" spans="1:19" x14ac:dyDescent="0.3">
      <c r="A730" s="1" t="s">
        <v>1169</v>
      </c>
      <c r="B730" s="4">
        <v>45639</v>
      </c>
      <c r="C730" s="1" t="s">
        <v>679</v>
      </c>
      <c r="D730" s="1" t="s">
        <v>48</v>
      </c>
      <c r="E730" s="1" t="s">
        <v>112</v>
      </c>
      <c r="F730" s="1" t="s">
        <v>113</v>
      </c>
      <c r="G730" s="1" t="s">
        <v>42</v>
      </c>
      <c r="H730" s="1" t="s">
        <v>89</v>
      </c>
      <c r="I730" s="1" t="s">
        <v>76</v>
      </c>
      <c r="J730" s="1" t="s">
        <v>77</v>
      </c>
      <c r="K730" s="1" t="s">
        <v>37</v>
      </c>
      <c r="L730">
        <v>3</v>
      </c>
      <c r="M730">
        <v>6999</v>
      </c>
      <c r="N730">
        <v>0.05</v>
      </c>
      <c r="O730">
        <v>19947.150000000001</v>
      </c>
      <c r="P730">
        <v>4900</v>
      </c>
      <c r="Q730">
        <v>14700</v>
      </c>
      <c r="R730">
        <v>80</v>
      </c>
      <c r="S730">
        <v>5167.1499999999996</v>
      </c>
    </row>
    <row r="731" spans="1:19" x14ac:dyDescent="0.3">
      <c r="A731" s="1" t="s">
        <v>1170</v>
      </c>
      <c r="B731" s="4">
        <v>45639</v>
      </c>
      <c r="C731" s="1" t="s">
        <v>1171</v>
      </c>
      <c r="D731" s="1" t="s">
        <v>21</v>
      </c>
      <c r="E731" s="1" t="s">
        <v>96</v>
      </c>
      <c r="F731" s="1" t="s">
        <v>97</v>
      </c>
      <c r="G731" s="1" t="s">
        <v>33</v>
      </c>
      <c r="H731" s="1" t="s">
        <v>89</v>
      </c>
      <c r="I731" s="1" t="s">
        <v>51</v>
      </c>
      <c r="J731" s="1" t="s">
        <v>52</v>
      </c>
      <c r="K731" s="1" t="s">
        <v>37</v>
      </c>
      <c r="L731">
        <v>1</v>
      </c>
      <c r="M731">
        <v>499</v>
      </c>
      <c r="N731">
        <v>0.2</v>
      </c>
      <c r="O731">
        <v>399.2</v>
      </c>
      <c r="P731">
        <v>180</v>
      </c>
      <c r="Q731">
        <v>180</v>
      </c>
      <c r="R731">
        <v>80</v>
      </c>
      <c r="S731">
        <v>139.19999999999999</v>
      </c>
    </row>
    <row r="732" spans="1:19" x14ac:dyDescent="0.3">
      <c r="A732" s="1" t="s">
        <v>1172</v>
      </c>
      <c r="B732" s="4">
        <v>45639</v>
      </c>
      <c r="C732" s="1" t="s">
        <v>220</v>
      </c>
      <c r="D732" s="1" t="s">
        <v>40</v>
      </c>
      <c r="E732" s="1" t="s">
        <v>112</v>
      </c>
      <c r="F732" s="1" t="s">
        <v>113</v>
      </c>
      <c r="G732" s="1" t="s">
        <v>24</v>
      </c>
      <c r="H732" s="1" t="s">
        <v>89</v>
      </c>
      <c r="I732" s="1" t="s">
        <v>26</v>
      </c>
      <c r="J732" s="1" t="s">
        <v>27</v>
      </c>
      <c r="K732" s="1" t="s">
        <v>28</v>
      </c>
      <c r="L732">
        <v>1</v>
      </c>
      <c r="M732">
        <v>799</v>
      </c>
      <c r="N732">
        <v>0.2</v>
      </c>
      <c r="O732">
        <v>639.20000000000005</v>
      </c>
      <c r="P732">
        <v>420</v>
      </c>
      <c r="Q732">
        <v>420</v>
      </c>
      <c r="R732">
        <v>0</v>
      </c>
      <c r="S732">
        <v>219.2</v>
      </c>
    </row>
    <row r="733" spans="1:19" x14ac:dyDescent="0.3">
      <c r="A733" s="1" t="s">
        <v>1173</v>
      </c>
      <c r="B733" s="4">
        <v>45640</v>
      </c>
      <c r="C733" s="1" t="s">
        <v>1174</v>
      </c>
      <c r="D733" s="1" t="s">
        <v>48</v>
      </c>
      <c r="E733" s="1" t="s">
        <v>124</v>
      </c>
      <c r="F733" s="1" t="s">
        <v>125</v>
      </c>
      <c r="G733" s="1" t="s">
        <v>33</v>
      </c>
      <c r="H733" s="1" t="s">
        <v>34</v>
      </c>
      <c r="I733" s="1" t="s">
        <v>134</v>
      </c>
      <c r="J733" s="1" t="s">
        <v>135</v>
      </c>
      <c r="K733" s="1" t="s">
        <v>136</v>
      </c>
      <c r="L733">
        <v>3</v>
      </c>
      <c r="M733">
        <v>299</v>
      </c>
      <c r="N733">
        <v>0.15</v>
      </c>
      <c r="O733">
        <v>762.45</v>
      </c>
      <c r="P733">
        <v>110</v>
      </c>
      <c r="Q733">
        <v>330</v>
      </c>
      <c r="R733">
        <v>80</v>
      </c>
      <c r="S733">
        <v>352.45</v>
      </c>
    </row>
    <row r="734" spans="1:19" x14ac:dyDescent="0.3">
      <c r="A734" s="1" t="s">
        <v>1175</v>
      </c>
      <c r="B734" s="4">
        <v>45641</v>
      </c>
      <c r="C734" s="1" t="s">
        <v>88</v>
      </c>
      <c r="D734" s="1" t="s">
        <v>21</v>
      </c>
      <c r="E734" s="1" t="s">
        <v>31</v>
      </c>
      <c r="F734" s="1" t="s">
        <v>32</v>
      </c>
      <c r="G734" s="1" t="s">
        <v>24</v>
      </c>
      <c r="H734" s="1" t="s">
        <v>89</v>
      </c>
      <c r="I734" s="1" t="s">
        <v>51</v>
      </c>
      <c r="J734" s="1" t="s">
        <v>52</v>
      </c>
      <c r="K734" s="1" t="s">
        <v>37</v>
      </c>
      <c r="L734">
        <v>2</v>
      </c>
      <c r="M734">
        <v>499</v>
      </c>
      <c r="N734">
        <v>0.2</v>
      </c>
      <c r="O734">
        <v>798.4</v>
      </c>
      <c r="P734">
        <v>180</v>
      </c>
      <c r="Q734">
        <v>360</v>
      </c>
      <c r="R734">
        <v>80</v>
      </c>
      <c r="S734">
        <v>358.4</v>
      </c>
    </row>
    <row r="735" spans="1:19" x14ac:dyDescent="0.3">
      <c r="A735" s="1" t="s">
        <v>1176</v>
      </c>
      <c r="B735" s="4">
        <v>45641</v>
      </c>
      <c r="C735" s="1" t="s">
        <v>372</v>
      </c>
      <c r="D735" s="1" t="s">
        <v>40</v>
      </c>
      <c r="E735" s="1" t="s">
        <v>96</v>
      </c>
      <c r="F735" s="1" t="s">
        <v>97</v>
      </c>
      <c r="G735" s="1" t="s">
        <v>42</v>
      </c>
      <c r="H735" s="1" t="s">
        <v>89</v>
      </c>
      <c r="I735" s="1" t="s">
        <v>72</v>
      </c>
      <c r="J735" s="1" t="s">
        <v>73</v>
      </c>
      <c r="K735" s="1" t="s">
        <v>28</v>
      </c>
      <c r="L735">
        <v>3</v>
      </c>
      <c r="M735">
        <v>2199</v>
      </c>
      <c r="N735">
        <v>0.1</v>
      </c>
      <c r="O735">
        <v>5937.3</v>
      </c>
      <c r="P735">
        <v>1250</v>
      </c>
      <c r="Q735">
        <v>3750</v>
      </c>
      <c r="R735">
        <v>80</v>
      </c>
      <c r="S735">
        <v>2107.3000000000002</v>
      </c>
    </row>
    <row r="736" spans="1:19" x14ac:dyDescent="0.3">
      <c r="A736" s="1" t="s">
        <v>1177</v>
      </c>
      <c r="B736" s="4">
        <v>45641</v>
      </c>
      <c r="C736" s="1" t="s">
        <v>88</v>
      </c>
      <c r="D736" s="1" t="s">
        <v>40</v>
      </c>
      <c r="E736" s="1" t="s">
        <v>54</v>
      </c>
      <c r="F736" s="1" t="s">
        <v>55</v>
      </c>
      <c r="G736" s="1" t="s">
        <v>24</v>
      </c>
      <c r="H736" s="1" t="s">
        <v>25</v>
      </c>
      <c r="I736" s="1" t="s">
        <v>51</v>
      </c>
      <c r="J736" s="1" t="s">
        <v>52</v>
      </c>
      <c r="K736" s="1" t="s">
        <v>37</v>
      </c>
      <c r="L736">
        <v>2</v>
      </c>
      <c r="M736">
        <v>499</v>
      </c>
      <c r="N736">
        <v>0.15</v>
      </c>
      <c r="O736">
        <v>848.3</v>
      </c>
      <c r="P736">
        <v>180</v>
      </c>
      <c r="Q736">
        <v>360</v>
      </c>
      <c r="R736">
        <v>60</v>
      </c>
      <c r="S736">
        <v>428.3</v>
      </c>
    </row>
    <row r="737" spans="1:19" x14ac:dyDescent="0.3">
      <c r="A737" s="1" t="s">
        <v>1178</v>
      </c>
      <c r="B737" s="4">
        <v>45641</v>
      </c>
      <c r="C737" s="1" t="s">
        <v>457</v>
      </c>
      <c r="D737" s="1" t="s">
        <v>21</v>
      </c>
      <c r="E737" s="1" t="s">
        <v>124</v>
      </c>
      <c r="F737" s="1" t="s">
        <v>125</v>
      </c>
      <c r="G737" s="1" t="s">
        <v>42</v>
      </c>
      <c r="H737" s="1" t="s">
        <v>34</v>
      </c>
      <c r="I737" s="1" t="s">
        <v>43</v>
      </c>
      <c r="J737" s="1" t="s">
        <v>44</v>
      </c>
      <c r="K737" s="1" t="s">
        <v>45</v>
      </c>
      <c r="L737">
        <v>3</v>
      </c>
      <c r="M737">
        <v>1799</v>
      </c>
      <c r="N737">
        <v>0.05</v>
      </c>
      <c r="O737">
        <v>5127.1499999999996</v>
      </c>
      <c r="P737">
        <v>850</v>
      </c>
      <c r="Q737">
        <v>2550</v>
      </c>
      <c r="R737">
        <v>60</v>
      </c>
      <c r="S737">
        <v>2517.15</v>
      </c>
    </row>
    <row r="738" spans="1:19" x14ac:dyDescent="0.3">
      <c r="A738" s="1" t="s">
        <v>1179</v>
      </c>
      <c r="B738" s="4">
        <v>45641</v>
      </c>
      <c r="C738" s="1" t="s">
        <v>668</v>
      </c>
      <c r="D738" s="1" t="s">
        <v>40</v>
      </c>
      <c r="E738" s="1" t="s">
        <v>80</v>
      </c>
      <c r="F738" s="1" t="s">
        <v>55</v>
      </c>
      <c r="G738" s="1" t="s">
        <v>24</v>
      </c>
      <c r="H738" s="1" t="s">
        <v>89</v>
      </c>
      <c r="I738" s="1" t="s">
        <v>43</v>
      </c>
      <c r="J738" s="1" t="s">
        <v>44</v>
      </c>
      <c r="K738" s="1" t="s">
        <v>45</v>
      </c>
      <c r="L738">
        <v>1</v>
      </c>
      <c r="M738">
        <v>1799</v>
      </c>
      <c r="N738">
        <v>0</v>
      </c>
      <c r="O738">
        <v>1799</v>
      </c>
      <c r="P738">
        <v>850</v>
      </c>
      <c r="Q738">
        <v>850</v>
      </c>
      <c r="R738">
        <v>40</v>
      </c>
      <c r="S738">
        <v>909</v>
      </c>
    </row>
    <row r="739" spans="1:19" x14ac:dyDescent="0.3">
      <c r="A739" s="1" t="s">
        <v>1180</v>
      </c>
      <c r="B739" s="4">
        <v>45643</v>
      </c>
      <c r="C739" s="1" t="s">
        <v>1133</v>
      </c>
      <c r="D739" s="1" t="s">
        <v>40</v>
      </c>
      <c r="E739" s="1" t="s">
        <v>64</v>
      </c>
      <c r="F739" s="1" t="s">
        <v>65</v>
      </c>
      <c r="G739" s="1" t="s">
        <v>42</v>
      </c>
      <c r="H739" s="1" t="s">
        <v>34</v>
      </c>
      <c r="I739" s="1" t="s">
        <v>51</v>
      </c>
      <c r="J739" s="1" t="s">
        <v>52</v>
      </c>
      <c r="K739" s="1" t="s">
        <v>37</v>
      </c>
      <c r="L739">
        <v>2</v>
      </c>
      <c r="M739">
        <v>499</v>
      </c>
      <c r="N739">
        <v>0.05</v>
      </c>
      <c r="O739">
        <v>948.1</v>
      </c>
      <c r="P739">
        <v>180</v>
      </c>
      <c r="Q739">
        <v>360</v>
      </c>
      <c r="R739">
        <v>100</v>
      </c>
      <c r="S739">
        <v>488.1</v>
      </c>
    </row>
    <row r="740" spans="1:19" x14ac:dyDescent="0.3">
      <c r="A740" s="1" t="s">
        <v>1181</v>
      </c>
      <c r="B740" s="4">
        <v>45643</v>
      </c>
      <c r="C740" s="1" t="s">
        <v>1182</v>
      </c>
      <c r="D740" s="1" t="s">
        <v>48</v>
      </c>
      <c r="E740" s="1" t="s">
        <v>54</v>
      </c>
      <c r="F740" s="1" t="s">
        <v>55</v>
      </c>
      <c r="G740" s="1" t="s">
        <v>33</v>
      </c>
      <c r="H740" s="1" t="s">
        <v>34</v>
      </c>
      <c r="I740" s="1" t="s">
        <v>72</v>
      </c>
      <c r="J740" s="1" t="s">
        <v>73</v>
      </c>
      <c r="K740" s="1" t="s">
        <v>28</v>
      </c>
      <c r="L740">
        <v>1</v>
      </c>
      <c r="M740">
        <v>2199</v>
      </c>
      <c r="N740">
        <v>0.2</v>
      </c>
      <c r="O740">
        <v>1759.2</v>
      </c>
      <c r="P740">
        <v>1250</v>
      </c>
      <c r="Q740">
        <v>1250</v>
      </c>
      <c r="R740">
        <v>40</v>
      </c>
      <c r="S740">
        <v>469.2</v>
      </c>
    </row>
    <row r="741" spans="1:19" x14ac:dyDescent="0.3">
      <c r="A741" s="1" t="s">
        <v>1183</v>
      </c>
      <c r="B741" s="4">
        <v>45644</v>
      </c>
      <c r="C741" s="1" t="s">
        <v>722</v>
      </c>
      <c r="D741" s="1" t="s">
        <v>40</v>
      </c>
      <c r="E741" s="1" t="s">
        <v>64</v>
      </c>
      <c r="F741" s="1" t="s">
        <v>65</v>
      </c>
      <c r="G741" s="1" t="s">
        <v>33</v>
      </c>
      <c r="H741" s="1" t="s">
        <v>71</v>
      </c>
      <c r="I741" s="1" t="s">
        <v>35</v>
      </c>
      <c r="J741" s="1" t="s">
        <v>36</v>
      </c>
      <c r="K741" s="1" t="s">
        <v>37</v>
      </c>
      <c r="L741">
        <v>2</v>
      </c>
      <c r="M741">
        <v>1299</v>
      </c>
      <c r="N741">
        <v>0</v>
      </c>
      <c r="O741">
        <v>2598</v>
      </c>
      <c r="P741">
        <v>700</v>
      </c>
      <c r="Q741">
        <v>1400</v>
      </c>
      <c r="R741">
        <v>80</v>
      </c>
      <c r="S741">
        <v>1118</v>
      </c>
    </row>
    <row r="742" spans="1:19" x14ac:dyDescent="0.3">
      <c r="A742" s="1" t="s">
        <v>1184</v>
      </c>
      <c r="B742" s="4">
        <v>45644</v>
      </c>
      <c r="C742" s="1" t="s">
        <v>660</v>
      </c>
      <c r="D742" s="1" t="s">
        <v>40</v>
      </c>
      <c r="E742" s="1" t="s">
        <v>120</v>
      </c>
      <c r="F742" s="1" t="s">
        <v>121</v>
      </c>
      <c r="G742" s="1" t="s">
        <v>42</v>
      </c>
      <c r="H742" s="1" t="s">
        <v>34</v>
      </c>
      <c r="I742" s="1" t="s">
        <v>92</v>
      </c>
      <c r="J742" s="1" t="s">
        <v>93</v>
      </c>
      <c r="K742" s="1" t="s">
        <v>28</v>
      </c>
      <c r="L742">
        <v>1</v>
      </c>
      <c r="M742">
        <v>1599</v>
      </c>
      <c r="N742">
        <v>0.15</v>
      </c>
      <c r="O742">
        <v>1359.15</v>
      </c>
      <c r="P742">
        <v>900</v>
      </c>
      <c r="Q742">
        <v>900</v>
      </c>
      <c r="R742">
        <v>40</v>
      </c>
      <c r="S742">
        <v>419.15</v>
      </c>
    </row>
    <row r="743" spans="1:19" x14ac:dyDescent="0.3">
      <c r="A743" s="1" t="s">
        <v>1185</v>
      </c>
      <c r="B743" s="4">
        <v>45644</v>
      </c>
      <c r="C743" s="1" t="s">
        <v>1186</v>
      </c>
      <c r="D743" s="1" t="s">
        <v>21</v>
      </c>
      <c r="E743" s="1" t="s">
        <v>31</v>
      </c>
      <c r="F743" s="1" t="s">
        <v>32</v>
      </c>
      <c r="G743" s="1" t="s">
        <v>42</v>
      </c>
      <c r="H743" s="1" t="s">
        <v>56</v>
      </c>
      <c r="I743" s="1" t="s">
        <v>59</v>
      </c>
      <c r="J743" s="1" t="s">
        <v>60</v>
      </c>
      <c r="K743" s="1" t="s">
        <v>61</v>
      </c>
      <c r="L743">
        <v>1</v>
      </c>
      <c r="M743">
        <v>999</v>
      </c>
      <c r="N743">
        <v>0.2</v>
      </c>
      <c r="O743">
        <v>799.2</v>
      </c>
      <c r="P743">
        <v>520</v>
      </c>
      <c r="Q743">
        <v>520</v>
      </c>
      <c r="R743">
        <v>80</v>
      </c>
      <c r="S743">
        <v>199.2</v>
      </c>
    </row>
    <row r="744" spans="1:19" x14ac:dyDescent="0.3">
      <c r="A744" s="1" t="s">
        <v>1187</v>
      </c>
      <c r="B744" s="4">
        <v>45647</v>
      </c>
      <c r="C744" s="1" t="s">
        <v>654</v>
      </c>
      <c r="D744" s="1" t="s">
        <v>40</v>
      </c>
      <c r="E744" s="1" t="s">
        <v>112</v>
      </c>
      <c r="F744" s="1" t="s">
        <v>113</v>
      </c>
      <c r="G744" s="1" t="s">
        <v>33</v>
      </c>
      <c r="H744" s="1" t="s">
        <v>56</v>
      </c>
      <c r="I744" s="1" t="s">
        <v>35</v>
      </c>
      <c r="J744" s="1" t="s">
        <v>36</v>
      </c>
      <c r="K744" s="1" t="s">
        <v>37</v>
      </c>
      <c r="L744">
        <v>1</v>
      </c>
      <c r="M744">
        <v>1299</v>
      </c>
      <c r="N744">
        <v>0</v>
      </c>
      <c r="O744">
        <v>1299</v>
      </c>
      <c r="P744">
        <v>700</v>
      </c>
      <c r="Q744">
        <v>700</v>
      </c>
      <c r="R744">
        <v>80</v>
      </c>
      <c r="S744">
        <v>519</v>
      </c>
    </row>
    <row r="745" spans="1:19" x14ac:dyDescent="0.3">
      <c r="A745" s="1" t="s">
        <v>1188</v>
      </c>
      <c r="B745" s="4">
        <v>45647</v>
      </c>
      <c r="C745" s="1" t="s">
        <v>1189</v>
      </c>
      <c r="D745" s="1" t="s">
        <v>48</v>
      </c>
      <c r="E745" s="1" t="s">
        <v>54</v>
      </c>
      <c r="F745" s="1" t="s">
        <v>55</v>
      </c>
      <c r="G745" s="1" t="s">
        <v>24</v>
      </c>
      <c r="H745" s="1" t="s">
        <v>71</v>
      </c>
      <c r="I745" s="1" t="s">
        <v>43</v>
      </c>
      <c r="J745" s="1" t="s">
        <v>44</v>
      </c>
      <c r="K745" s="1" t="s">
        <v>45</v>
      </c>
      <c r="L745">
        <v>5</v>
      </c>
      <c r="M745">
        <v>1799</v>
      </c>
      <c r="N745">
        <v>0.15</v>
      </c>
      <c r="O745">
        <v>7645.75</v>
      </c>
      <c r="P745">
        <v>850</v>
      </c>
      <c r="Q745">
        <v>4250</v>
      </c>
      <c r="R745">
        <v>100</v>
      </c>
      <c r="S745">
        <v>3295.75</v>
      </c>
    </row>
    <row r="746" spans="1:19" x14ac:dyDescent="0.3">
      <c r="A746" s="1" t="s">
        <v>1190</v>
      </c>
      <c r="B746" s="4">
        <v>45648</v>
      </c>
      <c r="C746" s="1" t="s">
        <v>242</v>
      </c>
      <c r="D746" s="1" t="s">
        <v>48</v>
      </c>
      <c r="E746" s="1" t="s">
        <v>49</v>
      </c>
      <c r="F746" s="1" t="s">
        <v>50</v>
      </c>
      <c r="G746" s="1" t="s">
        <v>24</v>
      </c>
      <c r="H746" s="1" t="s">
        <v>71</v>
      </c>
      <c r="I746" s="1" t="s">
        <v>66</v>
      </c>
      <c r="J746" s="1" t="s">
        <v>67</v>
      </c>
      <c r="K746" s="1" t="s">
        <v>28</v>
      </c>
      <c r="L746">
        <v>2</v>
      </c>
      <c r="M746">
        <v>2499</v>
      </c>
      <c r="N746">
        <v>0</v>
      </c>
      <c r="O746">
        <v>4998</v>
      </c>
      <c r="P746">
        <v>1450</v>
      </c>
      <c r="Q746">
        <v>2900</v>
      </c>
      <c r="R746">
        <v>40</v>
      </c>
      <c r="S746">
        <v>2058</v>
      </c>
    </row>
    <row r="747" spans="1:19" x14ac:dyDescent="0.3">
      <c r="A747" s="1" t="s">
        <v>1191</v>
      </c>
      <c r="B747" s="4">
        <v>45648</v>
      </c>
      <c r="C747" s="1" t="s">
        <v>242</v>
      </c>
      <c r="D747" s="1" t="s">
        <v>48</v>
      </c>
      <c r="E747" s="1" t="s">
        <v>22</v>
      </c>
      <c r="F747" s="1" t="s">
        <v>23</v>
      </c>
      <c r="G747" s="1" t="s">
        <v>42</v>
      </c>
      <c r="H747" s="1" t="s">
        <v>25</v>
      </c>
      <c r="I747" s="1" t="s">
        <v>66</v>
      </c>
      <c r="J747" s="1" t="s">
        <v>67</v>
      </c>
      <c r="K747" s="1" t="s">
        <v>28</v>
      </c>
      <c r="L747">
        <v>1</v>
      </c>
      <c r="M747">
        <v>2499</v>
      </c>
      <c r="N747">
        <v>0.1</v>
      </c>
      <c r="O747">
        <v>2249.1</v>
      </c>
      <c r="P747">
        <v>1450</v>
      </c>
      <c r="Q747">
        <v>1450</v>
      </c>
      <c r="R747">
        <v>60</v>
      </c>
      <c r="S747">
        <v>739.1</v>
      </c>
    </row>
    <row r="748" spans="1:19" x14ac:dyDescent="0.3">
      <c r="A748" s="1" t="s">
        <v>1192</v>
      </c>
      <c r="B748" s="4">
        <v>45649</v>
      </c>
      <c r="C748" s="1" t="s">
        <v>1193</v>
      </c>
      <c r="D748" s="1" t="s">
        <v>40</v>
      </c>
      <c r="E748" s="1" t="s">
        <v>49</v>
      </c>
      <c r="F748" s="1" t="s">
        <v>50</v>
      </c>
      <c r="G748" s="1" t="s">
        <v>33</v>
      </c>
      <c r="H748" s="1" t="s">
        <v>56</v>
      </c>
      <c r="I748" s="1" t="s">
        <v>81</v>
      </c>
      <c r="J748" s="1" t="s">
        <v>82</v>
      </c>
      <c r="K748" s="1" t="s">
        <v>61</v>
      </c>
      <c r="L748">
        <v>2</v>
      </c>
      <c r="M748">
        <v>2999</v>
      </c>
      <c r="N748">
        <v>0.2</v>
      </c>
      <c r="O748">
        <v>4798.3999999999996</v>
      </c>
      <c r="P748">
        <v>1750</v>
      </c>
      <c r="Q748">
        <v>3500</v>
      </c>
      <c r="R748">
        <v>40</v>
      </c>
      <c r="S748">
        <v>1258.4000000000001</v>
      </c>
    </row>
    <row r="749" spans="1:19" x14ac:dyDescent="0.3">
      <c r="A749" s="1" t="s">
        <v>1194</v>
      </c>
      <c r="B749" s="4">
        <v>45650</v>
      </c>
      <c r="C749" s="1" t="s">
        <v>325</v>
      </c>
      <c r="D749" s="1" t="s">
        <v>40</v>
      </c>
      <c r="E749" s="1" t="s">
        <v>70</v>
      </c>
      <c r="F749" s="1" t="s">
        <v>70</v>
      </c>
      <c r="G749" s="1" t="s">
        <v>42</v>
      </c>
      <c r="H749" s="1" t="s">
        <v>56</v>
      </c>
      <c r="I749" s="1" t="s">
        <v>134</v>
      </c>
      <c r="J749" s="1" t="s">
        <v>135</v>
      </c>
      <c r="K749" s="1" t="s">
        <v>136</v>
      </c>
      <c r="L749">
        <v>3</v>
      </c>
      <c r="M749">
        <v>299</v>
      </c>
      <c r="N749">
        <v>0.1</v>
      </c>
      <c r="O749">
        <v>807.3</v>
      </c>
      <c r="P749">
        <v>110</v>
      </c>
      <c r="Q749">
        <v>330</v>
      </c>
      <c r="R749">
        <v>100</v>
      </c>
      <c r="S749">
        <v>377.3</v>
      </c>
    </row>
    <row r="750" spans="1:19" x14ac:dyDescent="0.3">
      <c r="A750" s="1" t="s">
        <v>1195</v>
      </c>
      <c r="B750" s="4">
        <v>45650</v>
      </c>
      <c r="C750" s="1" t="s">
        <v>727</v>
      </c>
      <c r="D750" s="1" t="s">
        <v>48</v>
      </c>
      <c r="E750" s="1" t="s">
        <v>70</v>
      </c>
      <c r="F750" s="1" t="s">
        <v>70</v>
      </c>
      <c r="G750" s="1" t="s">
        <v>42</v>
      </c>
      <c r="H750" s="1" t="s">
        <v>71</v>
      </c>
      <c r="I750" s="1" t="s">
        <v>35</v>
      </c>
      <c r="J750" s="1" t="s">
        <v>36</v>
      </c>
      <c r="K750" s="1" t="s">
        <v>37</v>
      </c>
      <c r="L750">
        <v>5</v>
      </c>
      <c r="M750">
        <v>1299</v>
      </c>
      <c r="N750">
        <v>0.2</v>
      </c>
      <c r="O750">
        <v>5196</v>
      </c>
      <c r="P750">
        <v>700</v>
      </c>
      <c r="Q750">
        <v>3500</v>
      </c>
      <c r="R750">
        <v>80</v>
      </c>
      <c r="S750">
        <v>1616</v>
      </c>
    </row>
    <row r="751" spans="1:19" x14ac:dyDescent="0.3">
      <c r="A751" s="1" t="s">
        <v>1196</v>
      </c>
      <c r="B751" s="4">
        <v>45651</v>
      </c>
      <c r="C751" s="1" t="s">
        <v>1050</v>
      </c>
      <c r="D751" s="1" t="s">
        <v>48</v>
      </c>
      <c r="E751" s="1" t="s">
        <v>31</v>
      </c>
      <c r="F751" s="1" t="s">
        <v>32</v>
      </c>
      <c r="G751" s="1" t="s">
        <v>24</v>
      </c>
      <c r="H751" s="1" t="s">
        <v>56</v>
      </c>
      <c r="I751" s="1" t="s">
        <v>76</v>
      </c>
      <c r="J751" s="1" t="s">
        <v>77</v>
      </c>
      <c r="K751" s="1" t="s">
        <v>37</v>
      </c>
      <c r="L751">
        <v>5</v>
      </c>
      <c r="M751">
        <v>6999</v>
      </c>
      <c r="N751">
        <v>0</v>
      </c>
      <c r="O751">
        <v>34995</v>
      </c>
      <c r="P751">
        <v>4900</v>
      </c>
      <c r="Q751">
        <v>24500</v>
      </c>
      <c r="R751">
        <v>100</v>
      </c>
      <c r="S751">
        <v>10395</v>
      </c>
    </row>
    <row r="752" spans="1:19" x14ac:dyDescent="0.3">
      <c r="A752" s="1" t="s">
        <v>1197</v>
      </c>
      <c r="B752" s="4">
        <v>45652</v>
      </c>
      <c r="C752" s="1" t="s">
        <v>150</v>
      </c>
      <c r="D752" s="1" t="s">
        <v>21</v>
      </c>
      <c r="E752" s="1" t="s">
        <v>70</v>
      </c>
      <c r="F752" s="1" t="s">
        <v>70</v>
      </c>
      <c r="G752" s="1" t="s">
        <v>24</v>
      </c>
      <c r="H752" s="1" t="s">
        <v>89</v>
      </c>
      <c r="I752" s="1" t="s">
        <v>76</v>
      </c>
      <c r="J752" s="1" t="s">
        <v>77</v>
      </c>
      <c r="K752" s="1" t="s">
        <v>37</v>
      </c>
      <c r="L752">
        <v>3</v>
      </c>
      <c r="M752">
        <v>6999</v>
      </c>
      <c r="N752">
        <v>0</v>
      </c>
      <c r="O752">
        <v>20997</v>
      </c>
      <c r="P752">
        <v>4900</v>
      </c>
      <c r="Q752">
        <v>14700</v>
      </c>
      <c r="R752">
        <v>60</v>
      </c>
      <c r="S752">
        <v>6237</v>
      </c>
    </row>
    <row r="753" spans="1:19" x14ac:dyDescent="0.3">
      <c r="A753" s="1" t="s">
        <v>1198</v>
      </c>
      <c r="B753" s="4">
        <v>45652</v>
      </c>
      <c r="C753" s="1" t="s">
        <v>536</v>
      </c>
      <c r="D753" s="1" t="s">
        <v>21</v>
      </c>
      <c r="E753" s="1" t="s">
        <v>70</v>
      </c>
      <c r="F753" s="1" t="s">
        <v>70</v>
      </c>
      <c r="G753" s="1" t="s">
        <v>33</v>
      </c>
      <c r="H753" s="1" t="s">
        <v>56</v>
      </c>
      <c r="I753" s="1" t="s">
        <v>85</v>
      </c>
      <c r="J753" s="1" t="s">
        <v>86</v>
      </c>
      <c r="K753" s="1" t="s">
        <v>45</v>
      </c>
      <c r="L753">
        <v>1</v>
      </c>
      <c r="M753">
        <v>599</v>
      </c>
      <c r="N753">
        <v>0.05</v>
      </c>
      <c r="O753">
        <v>569.04999999999995</v>
      </c>
      <c r="P753">
        <v>240</v>
      </c>
      <c r="Q753">
        <v>240</v>
      </c>
      <c r="R753">
        <v>0</v>
      </c>
      <c r="S753">
        <v>329.05</v>
      </c>
    </row>
    <row r="754" spans="1:19" x14ac:dyDescent="0.3">
      <c r="A754" s="1" t="s">
        <v>1199</v>
      </c>
      <c r="B754" s="4">
        <v>45653</v>
      </c>
      <c r="C754" s="1" t="s">
        <v>466</v>
      </c>
      <c r="D754" s="1" t="s">
        <v>48</v>
      </c>
      <c r="E754" s="1" t="s">
        <v>70</v>
      </c>
      <c r="F754" s="1" t="s">
        <v>70</v>
      </c>
      <c r="G754" s="1" t="s">
        <v>42</v>
      </c>
      <c r="H754" s="1" t="s">
        <v>25</v>
      </c>
      <c r="I754" s="1" t="s">
        <v>59</v>
      </c>
      <c r="J754" s="1" t="s">
        <v>60</v>
      </c>
      <c r="K754" s="1" t="s">
        <v>61</v>
      </c>
      <c r="L754">
        <v>3</v>
      </c>
      <c r="M754">
        <v>999</v>
      </c>
      <c r="N754">
        <v>0.05</v>
      </c>
      <c r="O754">
        <v>2847.15</v>
      </c>
      <c r="P754">
        <v>520</v>
      </c>
      <c r="Q754">
        <v>1560</v>
      </c>
      <c r="R754">
        <v>80</v>
      </c>
      <c r="S754">
        <v>1207.1500000000001</v>
      </c>
    </row>
    <row r="755" spans="1:19" x14ac:dyDescent="0.3">
      <c r="A755" s="1" t="s">
        <v>1200</v>
      </c>
      <c r="B755" s="4">
        <v>45653</v>
      </c>
      <c r="C755" s="1" t="s">
        <v>516</v>
      </c>
      <c r="D755" s="1" t="s">
        <v>48</v>
      </c>
      <c r="E755" s="1" t="s">
        <v>31</v>
      </c>
      <c r="F755" s="1" t="s">
        <v>32</v>
      </c>
      <c r="G755" s="1" t="s">
        <v>33</v>
      </c>
      <c r="H755" s="1" t="s">
        <v>56</v>
      </c>
      <c r="I755" s="1" t="s">
        <v>81</v>
      </c>
      <c r="J755" s="1" t="s">
        <v>82</v>
      </c>
      <c r="K755" s="1" t="s">
        <v>61</v>
      </c>
      <c r="L755">
        <v>2</v>
      </c>
      <c r="M755">
        <v>2999</v>
      </c>
      <c r="N755">
        <v>0.1</v>
      </c>
      <c r="O755">
        <v>5398.2</v>
      </c>
      <c r="P755">
        <v>1750</v>
      </c>
      <c r="Q755">
        <v>3500</v>
      </c>
      <c r="R755">
        <v>80</v>
      </c>
      <c r="S755">
        <v>1818.2</v>
      </c>
    </row>
    <row r="756" spans="1:19" x14ac:dyDescent="0.3">
      <c r="A756" s="1" t="s">
        <v>1201</v>
      </c>
      <c r="B756" s="4">
        <v>45653</v>
      </c>
      <c r="C756" s="1" t="s">
        <v>757</v>
      </c>
      <c r="D756" s="1" t="s">
        <v>40</v>
      </c>
      <c r="E756" s="1" t="s">
        <v>96</v>
      </c>
      <c r="F756" s="1" t="s">
        <v>97</v>
      </c>
      <c r="G756" s="1" t="s">
        <v>33</v>
      </c>
      <c r="H756" s="1" t="s">
        <v>25</v>
      </c>
      <c r="I756" s="1" t="s">
        <v>85</v>
      </c>
      <c r="J756" s="1" t="s">
        <v>86</v>
      </c>
      <c r="K756" s="1" t="s">
        <v>45</v>
      </c>
      <c r="L756">
        <v>3</v>
      </c>
      <c r="M756">
        <v>599</v>
      </c>
      <c r="N756">
        <v>0</v>
      </c>
      <c r="O756">
        <v>1797</v>
      </c>
      <c r="P756">
        <v>240</v>
      </c>
      <c r="Q756">
        <v>720</v>
      </c>
      <c r="R756">
        <v>40</v>
      </c>
      <c r="S756">
        <v>1037</v>
      </c>
    </row>
    <row r="757" spans="1:19" x14ac:dyDescent="0.3">
      <c r="A757" s="1" t="s">
        <v>1202</v>
      </c>
      <c r="B757" s="4">
        <v>45654</v>
      </c>
      <c r="C757" s="1" t="s">
        <v>335</v>
      </c>
      <c r="D757" s="1" t="s">
        <v>40</v>
      </c>
      <c r="E757" s="1" t="s">
        <v>96</v>
      </c>
      <c r="F757" s="1" t="s">
        <v>97</v>
      </c>
      <c r="G757" s="1" t="s">
        <v>33</v>
      </c>
      <c r="H757" s="1" t="s">
        <v>56</v>
      </c>
      <c r="I757" s="1" t="s">
        <v>51</v>
      </c>
      <c r="J757" s="1" t="s">
        <v>52</v>
      </c>
      <c r="K757" s="1" t="s">
        <v>37</v>
      </c>
      <c r="L757">
        <v>4</v>
      </c>
      <c r="M757">
        <v>499</v>
      </c>
      <c r="N757">
        <v>0.05</v>
      </c>
      <c r="O757">
        <v>1896.2</v>
      </c>
      <c r="P757">
        <v>180</v>
      </c>
      <c r="Q757">
        <v>720</v>
      </c>
      <c r="R757">
        <v>40</v>
      </c>
      <c r="S757">
        <v>1136.2</v>
      </c>
    </row>
    <row r="758" spans="1:19" x14ac:dyDescent="0.3">
      <c r="A758" s="1" t="s">
        <v>1203</v>
      </c>
      <c r="B758" s="4">
        <v>45655</v>
      </c>
      <c r="C758" s="1" t="s">
        <v>427</v>
      </c>
      <c r="D758" s="1" t="s">
        <v>48</v>
      </c>
      <c r="E758" s="1" t="s">
        <v>70</v>
      </c>
      <c r="F758" s="1" t="s">
        <v>70</v>
      </c>
      <c r="G758" s="1" t="s">
        <v>24</v>
      </c>
      <c r="H758" s="1" t="s">
        <v>89</v>
      </c>
      <c r="I758" s="1" t="s">
        <v>26</v>
      </c>
      <c r="J758" s="1" t="s">
        <v>27</v>
      </c>
      <c r="K758" s="1" t="s">
        <v>28</v>
      </c>
      <c r="L758">
        <v>3</v>
      </c>
      <c r="M758">
        <v>799</v>
      </c>
      <c r="N758">
        <v>0.15</v>
      </c>
      <c r="O758">
        <v>2037.45</v>
      </c>
      <c r="P758">
        <v>420</v>
      </c>
      <c r="Q758">
        <v>1260</v>
      </c>
      <c r="R758">
        <v>60</v>
      </c>
      <c r="S758">
        <v>717.45</v>
      </c>
    </row>
    <row r="759" spans="1:19" x14ac:dyDescent="0.3">
      <c r="A759" s="1" t="s">
        <v>1204</v>
      </c>
      <c r="B759" s="4">
        <v>45656</v>
      </c>
      <c r="C759" s="1" t="s">
        <v>152</v>
      </c>
      <c r="D759" s="1" t="s">
        <v>48</v>
      </c>
      <c r="E759" s="1" t="s">
        <v>22</v>
      </c>
      <c r="F759" s="1" t="s">
        <v>23</v>
      </c>
      <c r="G759" s="1" t="s">
        <v>24</v>
      </c>
      <c r="H759" s="1" t="s">
        <v>89</v>
      </c>
      <c r="I759" s="1" t="s">
        <v>51</v>
      </c>
      <c r="J759" s="1" t="s">
        <v>52</v>
      </c>
      <c r="K759" s="1" t="s">
        <v>37</v>
      </c>
      <c r="L759">
        <v>3</v>
      </c>
      <c r="M759">
        <v>499</v>
      </c>
      <c r="N759">
        <v>0.05</v>
      </c>
      <c r="O759">
        <v>1422.15</v>
      </c>
      <c r="P759">
        <v>180</v>
      </c>
      <c r="Q759">
        <v>540</v>
      </c>
      <c r="R759">
        <v>40</v>
      </c>
      <c r="S759">
        <v>842.15</v>
      </c>
    </row>
    <row r="760" spans="1:19" x14ac:dyDescent="0.3">
      <c r="A760" s="1" t="s">
        <v>1205</v>
      </c>
      <c r="B760" s="4">
        <v>45657</v>
      </c>
      <c r="C760" s="1" t="s">
        <v>210</v>
      </c>
      <c r="D760" s="1" t="s">
        <v>40</v>
      </c>
      <c r="E760" s="1" t="s">
        <v>41</v>
      </c>
      <c r="F760" s="1" t="s">
        <v>32</v>
      </c>
      <c r="G760" s="1" t="s">
        <v>33</v>
      </c>
      <c r="H760" s="1" t="s">
        <v>71</v>
      </c>
      <c r="I760" s="1" t="s">
        <v>92</v>
      </c>
      <c r="J760" s="1" t="s">
        <v>93</v>
      </c>
      <c r="K760" s="1" t="s">
        <v>28</v>
      </c>
      <c r="L760">
        <v>1</v>
      </c>
      <c r="M760">
        <v>1599</v>
      </c>
      <c r="N760">
        <v>0.05</v>
      </c>
      <c r="O760">
        <v>1519.05</v>
      </c>
      <c r="P760">
        <v>900</v>
      </c>
      <c r="Q760">
        <v>900</v>
      </c>
      <c r="R760">
        <v>80</v>
      </c>
      <c r="S760">
        <v>539.04999999999995</v>
      </c>
    </row>
    <row r="761" spans="1:19" x14ac:dyDescent="0.3">
      <c r="A761" s="1" t="s">
        <v>1206</v>
      </c>
      <c r="B761" s="4">
        <v>45657</v>
      </c>
      <c r="C761" s="1" t="s">
        <v>1207</v>
      </c>
      <c r="D761" s="1" t="s">
        <v>48</v>
      </c>
      <c r="E761" s="1" t="s">
        <v>124</v>
      </c>
      <c r="F761" s="1" t="s">
        <v>125</v>
      </c>
      <c r="G761" s="1" t="s">
        <v>42</v>
      </c>
      <c r="H761" s="1" t="s">
        <v>56</v>
      </c>
      <c r="I761" s="1" t="s">
        <v>43</v>
      </c>
      <c r="J761" s="1" t="s">
        <v>44</v>
      </c>
      <c r="K761" s="1" t="s">
        <v>45</v>
      </c>
      <c r="L761">
        <v>1</v>
      </c>
      <c r="M761">
        <v>1799</v>
      </c>
      <c r="N761">
        <v>0.15</v>
      </c>
      <c r="O761">
        <v>1529.15</v>
      </c>
      <c r="P761">
        <v>850</v>
      </c>
      <c r="Q761">
        <v>850</v>
      </c>
      <c r="R761">
        <v>80</v>
      </c>
      <c r="S761">
        <v>599.15</v>
      </c>
    </row>
    <row r="762" spans="1:19" x14ac:dyDescent="0.3">
      <c r="A762" s="1" t="s">
        <v>1208</v>
      </c>
      <c r="B762" s="4">
        <v>45658</v>
      </c>
      <c r="C762" s="1" t="s">
        <v>822</v>
      </c>
      <c r="D762" s="1" t="s">
        <v>48</v>
      </c>
      <c r="E762" s="1" t="s">
        <v>49</v>
      </c>
      <c r="F762" s="1" t="s">
        <v>50</v>
      </c>
      <c r="G762" s="1" t="s">
        <v>42</v>
      </c>
      <c r="H762" s="1" t="s">
        <v>89</v>
      </c>
      <c r="I762" s="1" t="s">
        <v>66</v>
      </c>
      <c r="J762" s="1" t="s">
        <v>67</v>
      </c>
      <c r="K762" s="1" t="s">
        <v>28</v>
      </c>
      <c r="L762">
        <v>3</v>
      </c>
      <c r="M762">
        <v>2499</v>
      </c>
      <c r="N762">
        <v>0.05</v>
      </c>
      <c r="O762">
        <v>7122.15</v>
      </c>
      <c r="P762">
        <v>1450</v>
      </c>
      <c r="Q762">
        <v>4350</v>
      </c>
      <c r="R762">
        <v>100</v>
      </c>
      <c r="S762">
        <v>2672.15</v>
      </c>
    </row>
    <row r="763" spans="1:19" x14ac:dyDescent="0.3">
      <c r="A763" s="1" t="s">
        <v>1209</v>
      </c>
      <c r="B763" s="4">
        <v>45659</v>
      </c>
      <c r="C763" s="1" t="s">
        <v>824</v>
      </c>
      <c r="D763" s="1" t="s">
        <v>40</v>
      </c>
      <c r="E763" s="1" t="s">
        <v>64</v>
      </c>
      <c r="F763" s="1" t="s">
        <v>65</v>
      </c>
      <c r="G763" s="1" t="s">
        <v>33</v>
      </c>
      <c r="H763" s="1" t="s">
        <v>34</v>
      </c>
      <c r="I763" s="1" t="s">
        <v>134</v>
      </c>
      <c r="J763" s="1" t="s">
        <v>135</v>
      </c>
      <c r="K763" s="1" t="s">
        <v>136</v>
      </c>
      <c r="L763">
        <v>1</v>
      </c>
      <c r="M763">
        <v>299</v>
      </c>
      <c r="N763">
        <v>0.2</v>
      </c>
      <c r="O763">
        <v>239.2</v>
      </c>
      <c r="P763">
        <v>110</v>
      </c>
      <c r="Q763">
        <v>110</v>
      </c>
      <c r="R763">
        <v>40</v>
      </c>
      <c r="S763">
        <v>89.2</v>
      </c>
    </row>
    <row r="764" spans="1:19" x14ac:dyDescent="0.3">
      <c r="A764" s="1" t="s">
        <v>1210</v>
      </c>
      <c r="B764" s="4">
        <v>45659</v>
      </c>
      <c r="C764" s="1" t="s">
        <v>957</v>
      </c>
      <c r="D764" s="1" t="s">
        <v>21</v>
      </c>
      <c r="E764" s="1" t="s">
        <v>64</v>
      </c>
      <c r="F764" s="1" t="s">
        <v>65</v>
      </c>
      <c r="G764" s="1" t="s">
        <v>42</v>
      </c>
      <c r="H764" s="1" t="s">
        <v>34</v>
      </c>
      <c r="I764" s="1" t="s">
        <v>35</v>
      </c>
      <c r="J764" s="1" t="s">
        <v>36</v>
      </c>
      <c r="K764" s="1" t="s">
        <v>37</v>
      </c>
      <c r="L764">
        <v>1</v>
      </c>
      <c r="M764">
        <v>1299</v>
      </c>
      <c r="N764">
        <v>0</v>
      </c>
      <c r="O764">
        <v>1299</v>
      </c>
      <c r="P764">
        <v>700</v>
      </c>
      <c r="Q764">
        <v>700</v>
      </c>
      <c r="R764">
        <v>0</v>
      </c>
      <c r="S764">
        <v>599</v>
      </c>
    </row>
    <row r="765" spans="1:19" x14ac:dyDescent="0.3">
      <c r="A765" s="1" t="s">
        <v>1211</v>
      </c>
      <c r="B765" s="4">
        <v>45660</v>
      </c>
      <c r="C765" s="1" t="s">
        <v>157</v>
      </c>
      <c r="D765" s="1" t="s">
        <v>21</v>
      </c>
      <c r="E765" s="1" t="s">
        <v>64</v>
      </c>
      <c r="F765" s="1" t="s">
        <v>65</v>
      </c>
      <c r="G765" s="1" t="s">
        <v>33</v>
      </c>
      <c r="H765" s="1" t="s">
        <v>34</v>
      </c>
      <c r="I765" s="1" t="s">
        <v>92</v>
      </c>
      <c r="J765" s="1" t="s">
        <v>93</v>
      </c>
      <c r="K765" s="1" t="s">
        <v>28</v>
      </c>
      <c r="L765">
        <v>2</v>
      </c>
      <c r="M765">
        <v>1599</v>
      </c>
      <c r="N765">
        <v>0.05</v>
      </c>
      <c r="O765">
        <v>3038.1</v>
      </c>
      <c r="P765">
        <v>900</v>
      </c>
      <c r="Q765">
        <v>1800</v>
      </c>
      <c r="R765">
        <v>80</v>
      </c>
      <c r="S765">
        <v>1158.0999999999999</v>
      </c>
    </row>
    <row r="766" spans="1:19" x14ac:dyDescent="0.3">
      <c r="A766" s="1" t="s">
        <v>1212</v>
      </c>
      <c r="B766" s="4">
        <v>45662</v>
      </c>
      <c r="C766" s="1" t="s">
        <v>1213</v>
      </c>
      <c r="D766" s="1" t="s">
        <v>48</v>
      </c>
      <c r="E766" s="1" t="s">
        <v>112</v>
      </c>
      <c r="F766" s="1" t="s">
        <v>113</v>
      </c>
      <c r="G766" s="1" t="s">
        <v>42</v>
      </c>
      <c r="H766" s="1" t="s">
        <v>89</v>
      </c>
      <c r="I766" s="1" t="s">
        <v>76</v>
      </c>
      <c r="J766" s="1" t="s">
        <v>77</v>
      </c>
      <c r="K766" s="1" t="s">
        <v>37</v>
      </c>
      <c r="L766">
        <v>2</v>
      </c>
      <c r="M766">
        <v>6999</v>
      </c>
      <c r="N766">
        <v>0</v>
      </c>
      <c r="O766">
        <v>13998</v>
      </c>
      <c r="P766">
        <v>4900</v>
      </c>
      <c r="Q766">
        <v>9800</v>
      </c>
      <c r="R766">
        <v>80</v>
      </c>
      <c r="S766">
        <v>4118</v>
      </c>
    </row>
    <row r="767" spans="1:19" x14ac:dyDescent="0.3">
      <c r="A767" s="1" t="s">
        <v>1214</v>
      </c>
      <c r="B767" s="4">
        <v>45662</v>
      </c>
      <c r="C767" s="1" t="s">
        <v>749</v>
      </c>
      <c r="D767" s="1" t="s">
        <v>21</v>
      </c>
      <c r="E767" s="1" t="s">
        <v>54</v>
      </c>
      <c r="F767" s="1" t="s">
        <v>55</v>
      </c>
      <c r="G767" s="1" t="s">
        <v>24</v>
      </c>
      <c r="H767" s="1" t="s">
        <v>34</v>
      </c>
      <c r="I767" s="1" t="s">
        <v>85</v>
      </c>
      <c r="J767" s="1" t="s">
        <v>86</v>
      </c>
      <c r="K767" s="1" t="s">
        <v>45</v>
      </c>
      <c r="L767">
        <v>3</v>
      </c>
      <c r="M767">
        <v>599</v>
      </c>
      <c r="N767">
        <v>0.2</v>
      </c>
      <c r="O767">
        <v>1437.6</v>
      </c>
      <c r="P767">
        <v>240</v>
      </c>
      <c r="Q767">
        <v>720</v>
      </c>
      <c r="R767">
        <v>40</v>
      </c>
      <c r="S767">
        <v>677.6</v>
      </c>
    </row>
    <row r="768" spans="1:19" x14ac:dyDescent="0.3">
      <c r="A768" s="1" t="s">
        <v>1215</v>
      </c>
      <c r="B768" s="4">
        <v>45662</v>
      </c>
      <c r="C768" s="1" t="s">
        <v>1216</v>
      </c>
      <c r="D768" s="1" t="s">
        <v>21</v>
      </c>
      <c r="E768" s="1" t="s">
        <v>49</v>
      </c>
      <c r="F768" s="1" t="s">
        <v>50</v>
      </c>
      <c r="G768" s="1" t="s">
        <v>42</v>
      </c>
      <c r="H768" s="1" t="s">
        <v>71</v>
      </c>
      <c r="I768" s="1" t="s">
        <v>85</v>
      </c>
      <c r="J768" s="1" t="s">
        <v>86</v>
      </c>
      <c r="K768" s="1" t="s">
        <v>45</v>
      </c>
      <c r="L768">
        <v>1</v>
      </c>
      <c r="M768">
        <v>599</v>
      </c>
      <c r="N768">
        <v>0</v>
      </c>
      <c r="O768">
        <v>599</v>
      </c>
      <c r="P768">
        <v>240</v>
      </c>
      <c r="Q768">
        <v>240</v>
      </c>
      <c r="R768">
        <v>40</v>
      </c>
      <c r="S768">
        <v>319</v>
      </c>
    </row>
    <row r="769" spans="1:19" x14ac:dyDescent="0.3">
      <c r="A769" s="1" t="s">
        <v>1217</v>
      </c>
      <c r="B769" s="4">
        <v>45663</v>
      </c>
      <c r="C769" s="1" t="s">
        <v>658</v>
      </c>
      <c r="D769" s="1" t="s">
        <v>40</v>
      </c>
      <c r="E769" s="1" t="s">
        <v>22</v>
      </c>
      <c r="F769" s="1" t="s">
        <v>23</v>
      </c>
      <c r="G769" s="1" t="s">
        <v>33</v>
      </c>
      <c r="H769" s="1" t="s">
        <v>56</v>
      </c>
      <c r="I769" s="1" t="s">
        <v>81</v>
      </c>
      <c r="J769" s="1" t="s">
        <v>82</v>
      </c>
      <c r="K769" s="1" t="s">
        <v>61</v>
      </c>
      <c r="L769">
        <v>3</v>
      </c>
      <c r="M769">
        <v>2999</v>
      </c>
      <c r="N769">
        <v>0</v>
      </c>
      <c r="O769">
        <v>8997</v>
      </c>
      <c r="P769">
        <v>1750</v>
      </c>
      <c r="Q769">
        <v>5250</v>
      </c>
      <c r="R769">
        <v>40</v>
      </c>
      <c r="S769">
        <v>3707</v>
      </c>
    </row>
    <row r="770" spans="1:19" x14ac:dyDescent="0.3">
      <c r="A770" s="1" t="s">
        <v>1218</v>
      </c>
      <c r="B770" s="4">
        <v>45664</v>
      </c>
      <c r="C770" s="1" t="s">
        <v>1219</v>
      </c>
      <c r="D770" s="1" t="s">
        <v>48</v>
      </c>
      <c r="E770" s="1" t="s">
        <v>31</v>
      </c>
      <c r="F770" s="1" t="s">
        <v>32</v>
      </c>
      <c r="G770" s="1" t="s">
        <v>42</v>
      </c>
      <c r="H770" s="1" t="s">
        <v>71</v>
      </c>
      <c r="I770" s="1" t="s">
        <v>59</v>
      </c>
      <c r="J770" s="1" t="s">
        <v>60</v>
      </c>
      <c r="K770" s="1" t="s">
        <v>61</v>
      </c>
      <c r="L770">
        <v>1</v>
      </c>
      <c r="M770">
        <v>999</v>
      </c>
      <c r="N770">
        <v>0.2</v>
      </c>
      <c r="O770">
        <v>799.2</v>
      </c>
      <c r="P770">
        <v>520</v>
      </c>
      <c r="Q770">
        <v>520</v>
      </c>
      <c r="R770">
        <v>60</v>
      </c>
      <c r="S770">
        <v>219.2</v>
      </c>
    </row>
    <row r="771" spans="1:19" x14ac:dyDescent="0.3">
      <c r="A771" s="1" t="s">
        <v>1220</v>
      </c>
      <c r="B771" s="4">
        <v>45666</v>
      </c>
      <c r="C771" s="1" t="s">
        <v>214</v>
      </c>
      <c r="D771" s="1" t="s">
        <v>48</v>
      </c>
      <c r="E771" s="1" t="s">
        <v>70</v>
      </c>
      <c r="F771" s="1" t="s">
        <v>70</v>
      </c>
      <c r="G771" s="1" t="s">
        <v>24</v>
      </c>
      <c r="H771" s="1" t="s">
        <v>25</v>
      </c>
      <c r="I771" s="1" t="s">
        <v>43</v>
      </c>
      <c r="J771" s="1" t="s">
        <v>44</v>
      </c>
      <c r="K771" s="1" t="s">
        <v>45</v>
      </c>
      <c r="L771">
        <v>2</v>
      </c>
      <c r="M771">
        <v>1799</v>
      </c>
      <c r="N771">
        <v>0.05</v>
      </c>
      <c r="O771">
        <v>3418.1</v>
      </c>
      <c r="P771">
        <v>850</v>
      </c>
      <c r="Q771">
        <v>1700</v>
      </c>
      <c r="R771">
        <v>60</v>
      </c>
      <c r="S771">
        <v>1658.1</v>
      </c>
    </row>
    <row r="772" spans="1:19" x14ac:dyDescent="0.3">
      <c r="A772" s="1" t="s">
        <v>1221</v>
      </c>
      <c r="B772" s="4">
        <v>45666</v>
      </c>
      <c r="C772" s="1" t="s">
        <v>955</v>
      </c>
      <c r="D772" s="1" t="s">
        <v>21</v>
      </c>
      <c r="E772" s="1" t="s">
        <v>64</v>
      </c>
      <c r="F772" s="1" t="s">
        <v>65</v>
      </c>
      <c r="G772" s="1" t="s">
        <v>24</v>
      </c>
      <c r="H772" s="1" t="s">
        <v>56</v>
      </c>
      <c r="I772" s="1" t="s">
        <v>85</v>
      </c>
      <c r="J772" s="1" t="s">
        <v>86</v>
      </c>
      <c r="K772" s="1" t="s">
        <v>45</v>
      </c>
      <c r="L772">
        <v>3</v>
      </c>
      <c r="M772">
        <v>599</v>
      </c>
      <c r="N772">
        <v>0.05</v>
      </c>
      <c r="O772">
        <v>1707.15</v>
      </c>
      <c r="P772">
        <v>240</v>
      </c>
      <c r="Q772">
        <v>720</v>
      </c>
      <c r="R772">
        <v>0</v>
      </c>
      <c r="S772">
        <v>987.15</v>
      </c>
    </row>
    <row r="773" spans="1:19" x14ac:dyDescent="0.3">
      <c r="A773" s="1" t="s">
        <v>1222</v>
      </c>
      <c r="B773" s="4">
        <v>45666</v>
      </c>
      <c r="C773" s="1" t="s">
        <v>411</v>
      </c>
      <c r="D773" s="1" t="s">
        <v>40</v>
      </c>
      <c r="E773" s="1" t="s">
        <v>54</v>
      </c>
      <c r="F773" s="1" t="s">
        <v>55</v>
      </c>
      <c r="G773" s="1" t="s">
        <v>42</v>
      </c>
      <c r="H773" s="1" t="s">
        <v>71</v>
      </c>
      <c r="I773" s="1" t="s">
        <v>85</v>
      </c>
      <c r="J773" s="1" t="s">
        <v>86</v>
      </c>
      <c r="K773" s="1" t="s">
        <v>45</v>
      </c>
      <c r="L773">
        <v>2</v>
      </c>
      <c r="M773">
        <v>599</v>
      </c>
      <c r="N773">
        <v>0.1</v>
      </c>
      <c r="O773">
        <v>1078.2</v>
      </c>
      <c r="P773">
        <v>240</v>
      </c>
      <c r="Q773">
        <v>480</v>
      </c>
      <c r="R773">
        <v>0</v>
      </c>
      <c r="S773">
        <v>598.20000000000005</v>
      </c>
    </row>
    <row r="774" spans="1:19" x14ac:dyDescent="0.3">
      <c r="A774" s="1" t="s">
        <v>1223</v>
      </c>
      <c r="B774" s="4">
        <v>45668</v>
      </c>
      <c r="C774" s="1" t="s">
        <v>455</v>
      </c>
      <c r="D774" s="1" t="s">
        <v>40</v>
      </c>
      <c r="E774" s="1" t="s">
        <v>96</v>
      </c>
      <c r="F774" s="1" t="s">
        <v>97</v>
      </c>
      <c r="G774" s="1" t="s">
        <v>24</v>
      </c>
      <c r="H774" s="1" t="s">
        <v>56</v>
      </c>
      <c r="I774" s="1" t="s">
        <v>35</v>
      </c>
      <c r="J774" s="1" t="s">
        <v>36</v>
      </c>
      <c r="K774" s="1" t="s">
        <v>37</v>
      </c>
      <c r="L774">
        <v>1</v>
      </c>
      <c r="M774">
        <v>1299</v>
      </c>
      <c r="N774">
        <v>0.15</v>
      </c>
      <c r="O774">
        <v>1104.1500000000001</v>
      </c>
      <c r="P774">
        <v>700</v>
      </c>
      <c r="Q774">
        <v>700</v>
      </c>
      <c r="R774">
        <v>0</v>
      </c>
      <c r="S774">
        <v>404.15</v>
      </c>
    </row>
    <row r="775" spans="1:19" x14ac:dyDescent="0.3">
      <c r="A775" s="1" t="s">
        <v>1224</v>
      </c>
      <c r="B775" s="4">
        <v>45668</v>
      </c>
      <c r="C775" s="1" t="s">
        <v>406</v>
      </c>
      <c r="D775" s="1" t="s">
        <v>48</v>
      </c>
      <c r="E775" s="1" t="s">
        <v>64</v>
      </c>
      <c r="F775" s="1" t="s">
        <v>65</v>
      </c>
      <c r="G775" s="1" t="s">
        <v>24</v>
      </c>
      <c r="H775" s="1" t="s">
        <v>34</v>
      </c>
      <c r="I775" s="1" t="s">
        <v>85</v>
      </c>
      <c r="J775" s="1" t="s">
        <v>86</v>
      </c>
      <c r="K775" s="1" t="s">
        <v>45</v>
      </c>
      <c r="L775">
        <v>1</v>
      </c>
      <c r="M775">
        <v>599</v>
      </c>
      <c r="N775">
        <v>0.1</v>
      </c>
      <c r="O775">
        <v>539.1</v>
      </c>
      <c r="P775">
        <v>240</v>
      </c>
      <c r="Q775">
        <v>240</v>
      </c>
      <c r="R775">
        <v>80</v>
      </c>
      <c r="S775">
        <v>219.1</v>
      </c>
    </row>
    <row r="776" spans="1:19" x14ac:dyDescent="0.3">
      <c r="A776" s="1" t="s">
        <v>1225</v>
      </c>
      <c r="B776" s="4">
        <v>45668</v>
      </c>
      <c r="C776" s="1" t="s">
        <v>1226</v>
      </c>
      <c r="D776" s="1" t="s">
        <v>40</v>
      </c>
      <c r="E776" s="1" t="s">
        <v>49</v>
      </c>
      <c r="F776" s="1" t="s">
        <v>50</v>
      </c>
      <c r="G776" s="1" t="s">
        <v>24</v>
      </c>
      <c r="H776" s="1" t="s">
        <v>25</v>
      </c>
      <c r="I776" s="1" t="s">
        <v>81</v>
      </c>
      <c r="J776" s="1" t="s">
        <v>82</v>
      </c>
      <c r="K776" s="1" t="s">
        <v>61</v>
      </c>
      <c r="L776">
        <v>1</v>
      </c>
      <c r="M776">
        <v>2999</v>
      </c>
      <c r="N776">
        <v>0.1</v>
      </c>
      <c r="O776">
        <v>2699.1</v>
      </c>
      <c r="P776">
        <v>1750</v>
      </c>
      <c r="Q776">
        <v>1750</v>
      </c>
      <c r="R776">
        <v>0</v>
      </c>
      <c r="S776">
        <v>949.1</v>
      </c>
    </row>
    <row r="777" spans="1:19" x14ac:dyDescent="0.3">
      <c r="A777" s="1" t="s">
        <v>1227</v>
      </c>
      <c r="B777" s="4">
        <v>45669</v>
      </c>
      <c r="C777" s="1" t="s">
        <v>1228</v>
      </c>
      <c r="D777" s="1" t="s">
        <v>21</v>
      </c>
      <c r="E777" s="1" t="s">
        <v>80</v>
      </c>
      <c r="F777" s="1" t="s">
        <v>55</v>
      </c>
      <c r="G777" s="1" t="s">
        <v>42</v>
      </c>
      <c r="H777" s="1" t="s">
        <v>25</v>
      </c>
      <c r="I777" s="1" t="s">
        <v>59</v>
      </c>
      <c r="J777" s="1" t="s">
        <v>60</v>
      </c>
      <c r="K777" s="1" t="s">
        <v>61</v>
      </c>
      <c r="L777">
        <v>3</v>
      </c>
      <c r="M777">
        <v>999</v>
      </c>
      <c r="N777">
        <v>0.1</v>
      </c>
      <c r="O777">
        <v>2697.3</v>
      </c>
      <c r="P777">
        <v>520</v>
      </c>
      <c r="Q777">
        <v>1560</v>
      </c>
      <c r="R777">
        <v>100</v>
      </c>
      <c r="S777">
        <v>1037.3</v>
      </c>
    </row>
    <row r="778" spans="1:19" x14ac:dyDescent="0.3">
      <c r="A778" s="1" t="s">
        <v>1229</v>
      </c>
      <c r="B778" s="4">
        <v>45669</v>
      </c>
      <c r="C778" s="1" t="s">
        <v>176</v>
      </c>
      <c r="D778" s="1" t="s">
        <v>48</v>
      </c>
      <c r="E778" s="1" t="s">
        <v>22</v>
      </c>
      <c r="F778" s="1" t="s">
        <v>23</v>
      </c>
      <c r="G778" s="1" t="s">
        <v>33</v>
      </c>
      <c r="H778" s="1" t="s">
        <v>25</v>
      </c>
      <c r="I778" s="1" t="s">
        <v>26</v>
      </c>
      <c r="J778" s="1" t="s">
        <v>27</v>
      </c>
      <c r="K778" s="1" t="s">
        <v>28</v>
      </c>
      <c r="L778">
        <v>1</v>
      </c>
      <c r="M778">
        <v>799</v>
      </c>
      <c r="N778">
        <v>0</v>
      </c>
      <c r="O778">
        <v>799</v>
      </c>
      <c r="P778">
        <v>420</v>
      </c>
      <c r="Q778">
        <v>420</v>
      </c>
      <c r="R778">
        <v>80</v>
      </c>
      <c r="S778">
        <v>299</v>
      </c>
    </row>
    <row r="779" spans="1:19" x14ac:dyDescent="0.3">
      <c r="A779" s="1" t="s">
        <v>1230</v>
      </c>
      <c r="B779" s="4">
        <v>45670</v>
      </c>
      <c r="C779" s="1" t="s">
        <v>263</v>
      </c>
      <c r="D779" s="1" t="s">
        <v>48</v>
      </c>
      <c r="E779" s="1" t="s">
        <v>64</v>
      </c>
      <c r="F779" s="1" t="s">
        <v>65</v>
      </c>
      <c r="G779" s="1" t="s">
        <v>42</v>
      </c>
      <c r="H779" s="1" t="s">
        <v>71</v>
      </c>
      <c r="I779" s="1" t="s">
        <v>92</v>
      </c>
      <c r="J779" s="1" t="s">
        <v>93</v>
      </c>
      <c r="K779" s="1" t="s">
        <v>28</v>
      </c>
      <c r="L779">
        <v>1</v>
      </c>
      <c r="M779">
        <v>1599</v>
      </c>
      <c r="N779">
        <v>0.2</v>
      </c>
      <c r="O779">
        <v>1279.2</v>
      </c>
      <c r="P779">
        <v>900</v>
      </c>
      <c r="Q779">
        <v>900</v>
      </c>
      <c r="R779">
        <v>40</v>
      </c>
      <c r="S779">
        <v>339.2</v>
      </c>
    </row>
    <row r="780" spans="1:19" x14ac:dyDescent="0.3">
      <c r="A780" s="1" t="s">
        <v>1231</v>
      </c>
      <c r="B780" s="4">
        <v>45670</v>
      </c>
      <c r="C780" s="1" t="s">
        <v>686</v>
      </c>
      <c r="D780" s="1" t="s">
        <v>40</v>
      </c>
      <c r="E780" s="1" t="s">
        <v>49</v>
      </c>
      <c r="F780" s="1" t="s">
        <v>50</v>
      </c>
      <c r="G780" s="1" t="s">
        <v>33</v>
      </c>
      <c r="H780" s="1" t="s">
        <v>56</v>
      </c>
      <c r="I780" s="1" t="s">
        <v>66</v>
      </c>
      <c r="J780" s="1" t="s">
        <v>67</v>
      </c>
      <c r="K780" s="1" t="s">
        <v>28</v>
      </c>
      <c r="L780">
        <v>1</v>
      </c>
      <c r="M780">
        <v>2499</v>
      </c>
      <c r="N780">
        <v>0.1</v>
      </c>
      <c r="O780">
        <v>2249.1</v>
      </c>
      <c r="P780">
        <v>1450</v>
      </c>
      <c r="Q780">
        <v>1450</v>
      </c>
      <c r="R780">
        <v>80</v>
      </c>
      <c r="S780">
        <v>719.1</v>
      </c>
    </row>
    <row r="781" spans="1:19" x14ac:dyDescent="0.3">
      <c r="A781" s="1" t="s">
        <v>1232</v>
      </c>
      <c r="B781" s="4">
        <v>45671</v>
      </c>
      <c r="C781" s="1" t="s">
        <v>290</v>
      </c>
      <c r="D781" s="1" t="s">
        <v>21</v>
      </c>
      <c r="E781" s="1" t="s">
        <v>64</v>
      </c>
      <c r="F781" s="1" t="s">
        <v>65</v>
      </c>
      <c r="G781" s="1" t="s">
        <v>33</v>
      </c>
      <c r="H781" s="1" t="s">
        <v>56</v>
      </c>
      <c r="I781" s="1" t="s">
        <v>85</v>
      </c>
      <c r="J781" s="1" t="s">
        <v>86</v>
      </c>
      <c r="K781" s="1" t="s">
        <v>45</v>
      </c>
      <c r="L781">
        <v>2</v>
      </c>
      <c r="M781">
        <v>599</v>
      </c>
      <c r="N781">
        <v>0.05</v>
      </c>
      <c r="O781">
        <v>1138.0999999999999</v>
      </c>
      <c r="P781">
        <v>240</v>
      </c>
      <c r="Q781">
        <v>480</v>
      </c>
      <c r="R781">
        <v>40</v>
      </c>
      <c r="S781">
        <v>618.1</v>
      </c>
    </row>
    <row r="782" spans="1:19" x14ac:dyDescent="0.3">
      <c r="A782" s="1" t="s">
        <v>1233</v>
      </c>
      <c r="B782" s="4">
        <v>45671</v>
      </c>
      <c r="C782" s="1" t="s">
        <v>325</v>
      </c>
      <c r="D782" s="1" t="s">
        <v>21</v>
      </c>
      <c r="E782" s="1" t="s">
        <v>22</v>
      </c>
      <c r="F782" s="1" t="s">
        <v>23</v>
      </c>
      <c r="G782" s="1" t="s">
        <v>33</v>
      </c>
      <c r="H782" s="1" t="s">
        <v>56</v>
      </c>
      <c r="I782" s="1" t="s">
        <v>59</v>
      </c>
      <c r="J782" s="1" t="s">
        <v>60</v>
      </c>
      <c r="K782" s="1" t="s">
        <v>61</v>
      </c>
      <c r="L782">
        <v>1</v>
      </c>
      <c r="M782">
        <v>999</v>
      </c>
      <c r="N782">
        <v>0.1</v>
      </c>
      <c r="O782">
        <v>899.1</v>
      </c>
      <c r="P782">
        <v>520</v>
      </c>
      <c r="Q782">
        <v>520</v>
      </c>
      <c r="R782">
        <v>0</v>
      </c>
      <c r="S782">
        <v>379.1</v>
      </c>
    </row>
    <row r="783" spans="1:19" x14ac:dyDescent="0.3">
      <c r="A783" s="1" t="s">
        <v>1234</v>
      </c>
      <c r="B783" s="4">
        <v>45671</v>
      </c>
      <c r="C783" s="1" t="s">
        <v>361</v>
      </c>
      <c r="D783" s="1" t="s">
        <v>21</v>
      </c>
      <c r="E783" s="1" t="s">
        <v>41</v>
      </c>
      <c r="F783" s="1" t="s">
        <v>32</v>
      </c>
      <c r="G783" s="1" t="s">
        <v>24</v>
      </c>
      <c r="H783" s="1" t="s">
        <v>71</v>
      </c>
      <c r="I783" s="1" t="s">
        <v>76</v>
      </c>
      <c r="J783" s="1" t="s">
        <v>77</v>
      </c>
      <c r="K783" s="1" t="s">
        <v>37</v>
      </c>
      <c r="L783">
        <v>2</v>
      </c>
      <c r="M783">
        <v>6999</v>
      </c>
      <c r="N783">
        <v>0.2</v>
      </c>
      <c r="O783">
        <v>11198.4</v>
      </c>
      <c r="P783">
        <v>4900</v>
      </c>
      <c r="Q783">
        <v>9800</v>
      </c>
      <c r="R783">
        <v>0</v>
      </c>
      <c r="S783">
        <v>1398.4</v>
      </c>
    </row>
    <row r="784" spans="1:19" x14ac:dyDescent="0.3">
      <c r="A784" s="1" t="s">
        <v>1235</v>
      </c>
      <c r="B784" s="4">
        <v>45671</v>
      </c>
      <c r="C784" s="1" t="s">
        <v>942</v>
      </c>
      <c r="D784" s="1" t="s">
        <v>48</v>
      </c>
      <c r="E784" s="1" t="s">
        <v>22</v>
      </c>
      <c r="F784" s="1" t="s">
        <v>23</v>
      </c>
      <c r="G784" s="1" t="s">
        <v>24</v>
      </c>
      <c r="H784" s="1" t="s">
        <v>89</v>
      </c>
      <c r="I784" s="1" t="s">
        <v>66</v>
      </c>
      <c r="J784" s="1" t="s">
        <v>67</v>
      </c>
      <c r="K784" s="1" t="s">
        <v>28</v>
      </c>
      <c r="L784">
        <v>2</v>
      </c>
      <c r="M784">
        <v>2499</v>
      </c>
      <c r="N784">
        <v>0</v>
      </c>
      <c r="O784">
        <v>4998</v>
      </c>
      <c r="P784">
        <v>1450</v>
      </c>
      <c r="Q784">
        <v>2900</v>
      </c>
      <c r="R784">
        <v>0</v>
      </c>
      <c r="S784">
        <v>2098</v>
      </c>
    </row>
    <row r="785" spans="1:19" x14ac:dyDescent="0.3">
      <c r="A785" s="1" t="s">
        <v>1236</v>
      </c>
      <c r="B785" s="4">
        <v>45672</v>
      </c>
      <c r="C785" s="1" t="s">
        <v>583</v>
      </c>
      <c r="D785" s="1" t="s">
        <v>21</v>
      </c>
      <c r="E785" s="1" t="s">
        <v>41</v>
      </c>
      <c r="F785" s="1" t="s">
        <v>32</v>
      </c>
      <c r="G785" s="1" t="s">
        <v>24</v>
      </c>
      <c r="H785" s="1" t="s">
        <v>25</v>
      </c>
      <c r="I785" s="1" t="s">
        <v>66</v>
      </c>
      <c r="J785" s="1" t="s">
        <v>67</v>
      </c>
      <c r="K785" s="1" t="s">
        <v>28</v>
      </c>
      <c r="L785">
        <v>1</v>
      </c>
      <c r="M785">
        <v>2499</v>
      </c>
      <c r="N785">
        <v>0.1</v>
      </c>
      <c r="O785">
        <v>2249.1</v>
      </c>
      <c r="P785">
        <v>1450</v>
      </c>
      <c r="Q785">
        <v>1450</v>
      </c>
      <c r="R785">
        <v>0</v>
      </c>
      <c r="S785">
        <v>799.1</v>
      </c>
    </row>
    <row r="786" spans="1:19" x14ac:dyDescent="0.3">
      <c r="A786" s="1" t="s">
        <v>1237</v>
      </c>
      <c r="B786" s="4">
        <v>45672</v>
      </c>
      <c r="C786" s="1" t="s">
        <v>163</v>
      </c>
      <c r="D786" s="1" t="s">
        <v>40</v>
      </c>
      <c r="E786" s="1" t="s">
        <v>80</v>
      </c>
      <c r="F786" s="1" t="s">
        <v>55</v>
      </c>
      <c r="G786" s="1" t="s">
        <v>42</v>
      </c>
      <c r="H786" s="1" t="s">
        <v>71</v>
      </c>
      <c r="I786" s="1" t="s">
        <v>85</v>
      </c>
      <c r="J786" s="1" t="s">
        <v>86</v>
      </c>
      <c r="K786" s="1" t="s">
        <v>45</v>
      </c>
      <c r="L786">
        <v>4</v>
      </c>
      <c r="M786">
        <v>599</v>
      </c>
      <c r="N786">
        <v>0.2</v>
      </c>
      <c r="O786">
        <v>1916.8</v>
      </c>
      <c r="P786">
        <v>240</v>
      </c>
      <c r="Q786">
        <v>960</v>
      </c>
      <c r="R786">
        <v>100</v>
      </c>
      <c r="S786">
        <v>856.8</v>
      </c>
    </row>
    <row r="787" spans="1:19" x14ac:dyDescent="0.3">
      <c r="A787" s="1" t="s">
        <v>1238</v>
      </c>
      <c r="B787" s="4">
        <v>45672</v>
      </c>
      <c r="C787" s="1" t="s">
        <v>1239</v>
      </c>
      <c r="D787" s="1" t="s">
        <v>48</v>
      </c>
      <c r="E787" s="1" t="s">
        <v>64</v>
      </c>
      <c r="F787" s="1" t="s">
        <v>65</v>
      </c>
      <c r="G787" s="1" t="s">
        <v>33</v>
      </c>
      <c r="H787" s="1" t="s">
        <v>34</v>
      </c>
      <c r="I787" s="1" t="s">
        <v>134</v>
      </c>
      <c r="J787" s="1" t="s">
        <v>135</v>
      </c>
      <c r="K787" s="1" t="s">
        <v>136</v>
      </c>
      <c r="L787">
        <v>1</v>
      </c>
      <c r="M787">
        <v>299</v>
      </c>
      <c r="N787">
        <v>0.15</v>
      </c>
      <c r="O787">
        <v>254.15</v>
      </c>
      <c r="P787">
        <v>110</v>
      </c>
      <c r="Q787">
        <v>110</v>
      </c>
      <c r="R787">
        <v>60</v>
      </c>
      <c r="S787">
        <v>84.15</v>
      </c>
    </row>
    <row r="788" spans="1:19" x14ac:dyDescent="0.3">
      <c r="A788" s="1" t="s">
        <v>1240</v>
      </c>
      <c r="B788" s="4">
        <v>45673</v>
      </c>
      <c r="C788" s="1" t="s">
        <v>246</v>
      </c>
      <c r="D788" s="1" t="s">
        <v>48</v>
      </c>
      <c r="E788" s="1" t="s">
        <v>64</v>
      </c>
      <c r="F788" s="1" t="s">
        <v>65</v>
      </c>
      <c r="G788" s="1" t="s">
        <v>42</v>
      </c>
      <c r="H788" s="1" t="s">
        <v>56</v>
      </c>
      <c r="I788" s="1" t="s">
        <v>26</v>
      </c>
      <c r="J788" s="1" t="s">
        <v>27</v>
      </c>
      <c r="K788" s="1" t="s">
        <v>28</v>
      </c>
      <c r="L788">
        <v>1</v>
      </c>
      <c r="M788">
        <v>799</v>
      </c>
      <c r="N788">
        <v>0.05</v>
      </c>
      <c r="O788">
        <v>759.05</v>
      </c>
      <c r="P788">
        <v>420</v>
      </c>
      <c r="Q788">
        <v>420</v>
      </c>
      <c r="R788">
        <v>60</v>
      </c>
      <c r="S788">
        <v>279.05</v>
      </c>
    </row>
    <row r="789" spans="1:19" x14ac:dyDescent="0.3">
      <c r="A789" s="1" t="s">
        <v>1241</v>
      </c>
      <c r="B789" s="4">
        <v>45673</v>
      </c>
      <c r="C789" s="1" t="s">
        <v>1242</v>
      </c>
      <c r="D789" s="1" t="s">
        <v>21</v>
      </c>
      <c r="E789" s="1" t="s">
        <v>49</v>
      </c>
      <c r="F789" s="1" t="s">
        <v>50</v>
      </c>
      <c r="G789" s="1" t="s">
        <v>24</v>
      </c>
      <c r="H789" s="1" t="s">
        <v>34</v>
      </c>
      <c r="I789" s="1" t="s">
        <v>72</v>
      </c>
      <c r="J789" s="1" t="s">
        <v>73</v>
      </c>
      <c r="K789" s="1" t="s">
        <v>28</v>
      </c>
      <c r="L789">
        <v>3</v>
      </c>
      <c r="M789">
        <v>2199</v>
      </c>
      <c r="N789">
        <v>0</v>
      </c>
      <c r="O789">
        <v>6597</v>
      </c>
      <c r="P789">
        <v>1250</v>
      </c>
      <c r="Q789">
        <v>3750</v>
      </c>
      <c r="R789">
        <v>0</v>
      </c>
      <c r="S789">
        <v>2847</v>
      </c>
    </row>
    <row r="790" spans="1:19" x14ac:dyDescent="0.3">
      <c r="A790" s="1" t="s">
        <v>1243</v>
      </c>
      <c r="B790" s="4">
        <v>45673</v>
      </c>
      <c r="C790" s="1" t="s">
        <v>599</v>
      </c>
      <c r="D790" s="1" t="s">
        <v>21</v>
      </c>
      <c r="E790" s="1" t="s">
        <v>64</v>
      </c>
      <c r="F790" s="1" t="s">
        <v>65</v>
      </c>
      <c r="G790" s="1" t="s">
        <v>24</v>
      </c>
      <c r="H790" s="1" t="s">
        <v>34</v>
      </c>
      <c r="I790" s="1" t="s">
        <v>81</v>
      </c>
      <c r="J790" s="1" t="s">
        <v>82</v>
      </c>
      <c r="K790" s="1" t="s">
        <v>61</v>
      </c>
      <c r="L790">
        <v>1</v>
      </c>
      <c r="M790">
        <v>2999</v>
      </c>
      <c r="N790">
        <v>0.1</v>
      </c>
      <c r="O790">
        <v>2699.1</v>
      </c>
      <c r="P790">
        <v>1750</v>
      </c>
      <c r="Q790">
        <v>1750</v>
      </c>
      <c r="R790">
        <v>80</v>
      </c>
      <c r="S790">
        <v>869.1</v>
      </c>
    </row>
    <row r="791" spans="1:19" x14ac:dyDescent="0.3">
      <c r="A791" s="1" t="s">
        <v>1244</v>
      </c>
      <c r="B791" s="4">
        <v>45674</v>
      </c>
      <c r="C791" s="1" t="s">
        <v>925</v>
      </c>
      <c r="D791" s="1" t="s">
        <v>48</v>
      </c>
      <c r="E791" s="1" t="s">
        <v>31</v>
      </c>
      <c r="F791" s="1" t="s">
        <v>32</v>
      </c>
      <c r="G791" s="1" t="s">
        <v>33</v>
      </c>
      <c r="H791" s="1" t="s">
        <v>34</v>
      </c>
      <c r="I791" s="1" t="s">
        <v>72</v>
      </c>
      <c r="J791" s="1" t="s">
        <v>73</v>
      </c>
      <c r="K791" s="1" t="s">
        <v>28</v>
      </c>
      <c r="L791">
        <v>1</v>
      </c>
      <c r="M791">
        <v>2199</v>
      </c>
      <c r="N791">
        <v>0.1</v>
      </c>
      <c r="O791">
        <v>1979.1</v>
      </c>
      <c r="P791">
        <v>1250</v>
      </c>
      <c r="Q791">
        <v>1250</v>
      </c>
      <c r="R791">
        <v>80</v>
      </c>
      <c r="S791">
        <v>649.1</v>
      </c>
    </row>
    <row r="792" spans="1:19" x14ac:dyDescent="0.3">
      <c r="A792" s="1" t="s">
        <v>1245</v>
      </c>
      <c r="B792" s="4">
        <v>45674</v>
      </c>
      <c r="C792" s="1" t="s">
        <v>445</v>
      </c>
      <c r="D792" s="1" t="s">
        <v>40</v>
      </c>
      <c r="E792" s="1" t="s">
        <v>70</v>
      </c>
      <c r="F792" s="1" t="s">
        <v>70</v>
      </c>
      <c r="G792" s="1" t="s">
        <v>33</v>
      </c>
      <c r="H792" s="1" t="s">
        <v>34</v>
      </c>
      <c r="I792" s="1" t="s">
        <v>134</v>
      </c>
      <c r="J792" s="1" t="s">
        <v>135</v>
      </c>
      <c r="K792" s="1" t="s">
        <v>136</v>
      </c>
      <c r="L792">
        <v>4</v>
      </c>
      <c r="M792">
        <v>299</v>
      </c>
      <c r="N792">
        <v>0</v>
      </c>
      <c r="O792">
        <v>1196</v>
      </c>
      <c r="P792">
        <v>110</v>
      </c>
      <c r="Q792">
        <v>440</v>
      </c>
      <c r="R792">
        <v>60</v>
      </c>
      <c r="S792">
        <v>696</v>
      </c>
    </row>
    <row r="793" spans="1:19" x14ac:dyDescent="0.3">
      <c r="A793" s="1" t="s">
        <v>1246</v>
      </c>
      <c r="B793" s="4">
        <v>45674</v>
      </c>
      <c r="C793" s="1" t="s">
        <v>1247</v>
      </c>
      <c r="D793" s="1" t="s">
        <v>40</v>
      </c>
      <c r="E793" s="1" t="s">
        <v>120</v>
      </c>
      <c r="F793" s="1" t="s">
        <v>121</v>
      </c>
      <c r="G793" s="1" t="s">
        <v>33</v>
      </c>
      <c r="H793" s="1" t="s">
        <v>71</v>
      </c>
      <c r="I793" s="1" t="s">
        <v>66</v>
      </c>
      <c r="J793" s="1" t="s">
        <v>67</v>
      </c>
      <c r="K793" s="1" t="s">
        <v>28</v>
      </c>
      <c r="L793">
        <v>1</v>
      </c>
      <c r="M793">
        <v>2499</v>
      </c>
      <c r="N793">
        <v>0.2</v>
      </c>
      <c r="O793">
        <v>1999.2</v>
      </c>
      <c r="P793">
        <v>1450</v>
      </c>
      <c r="Q793">
        <v>1450</v>
      </c>
      <c r="R793">
        <v>40</v>
      </c>
      <c r="S793">
        <v>509.2</v>
      </c>
    </row>
    <row r="794" spans="1:19" x14ac:dyDescent="0.3">
      <c r="A794" s="1" t="s">
        <v>1248</v>
      </c>
      <c r="B794" s="4">
        <v>45674</v>
      </c>
      <c r="C794" s="1" t="s">
        <v>190</v>
      </c>
      <c r="D794" s="1" t="s">
        <v>48</v>
      </c>
      <c r="E794" s="1" t="s">
        <v>124</v>
      </c>
      <c r="F794" s="1" t="s">
        <v>125</v>
      </c>
      <c r="G794" s="1" t="s">
        <v>24</v>
      </c>
      <c r="H794" s="1" t="s">
        <v>25</v>
      </c>
      <c r="I794" s="1" t="s">
        <v>35</v>
      </c>
      <c r="J794" s="1" t="s">
        <v>36</v>
      </c>
      <c r="K794" s="1" t="s">
        <v>37</v>
      </c>
      <c r="L794">
        <v>3</v>
      </c>
      <c r="M794">
        <v>1299</v>
      </c>
      <c r="N794">
        <v>0.05</v>
      </c>
      <c r="O794">
        <v>3702.15</v>
      </c>
      <c r="P794">
        <v>700</v>
      </c>
      <c r="Q794">
        <v>2100</v>
      </c>
      <c r="R794">
        <v>0</v>
      </c>
      <c r="S794">
        <v>1602.15</v>
      </c>
    </row>
    <row r="795" spans="1:19" x14ac:dyDescent="0.3">
      <c r="A795" s="1" t="s">
        <v>1249</v>
      </c>
      <c r="B795" s="4">
        <v>45675</v>
      </c>
      <c r="C795" s="1" t="s">
        <v>300</v>
      </c>
      <c r="D795" s="1" t="s">
        <v>21</v>
      </c>
      <c r="E795" s="1" t="s">
        <v>96</v>
      </c>
      <c r="F795" s="1" t="s">
        <v>97</v>
      </c>
      <c r="G795" s="1" t="s">
        <v>24</v>
      </c>
      <c r="H795" s="1" t="s">
        <v>71</v>
      </c>
      <c r="I795" s="1" t="s">
        <v>92</v>
      </c>
      <c r="J795" s="1" t="s">
        <v>93</v>
      </c>
      <c r="K795" s="1" t="s">
        <v>28</v>
      </c>
      <c r="L795">
        <v>2</v>
      </c>
      <c r="M795">
        <v>1599</v>
      </c>
      <c r="N795">
        <v>0</v>
      </c>
      <c r="O795">
        <v>3198</v>
      </c>
      <c r="P795">
        <v>900</v>
      </c>
      <c r="Q795">
        <v>1800</v>
      </c>
      <c r="R795">
        <v>60</v>
      </c>
      <c r="S795">
        <v>1338</v>
      </c>
    </row>
    <row r="796" spans="1:19" x14ac:dyDescent="0.3">
      <c r="A796" s="1" t="s">
        <v>1250</v>
      </c>
      <c r="B796" s="4">
        <v>45675</v>
      </c>
      <c r="C796" s="1" t="s">
        <v>346</v>
      </c>
      <c r="D796" s="1" t="s">
        <v>21</v>
      </c>
      <c r="E796" s="1" t="s">
        <v>54</v>
      </c>
      <c r="F796" s="1" t="s">
        <v>55</v>
      </c>
      <c r="G796" s="1" t="s">
        <v>42</v>
      </c>
      <c r="H796" s="1" t="s">
        <v>25</v>
      </c>
      <c r="I796" s="1" t="s">
        <v>51</v>
      </c>
      <c r="J796" s="1" t="s">
        <v>52</v>
      </c>
      <c r="K796" s="1" t="s">
        <v>37</v>
      </c>
      <c r="L796">
        <v>1</v>
      </c>
      <c r="M796">
        <v>499</v>
      </c>
      <c r="N796">
        <v>0</v>
      </c>
      <c r="O796">
        <v>499</v>
      </c>
      <c r="P796">
        <v>180</v>
      </c>
      <c r="Q796">
        <v>180</v>
      </c>
      <c r="R796">
        <v>80</v>
      </c>
      <c r="S796">
        <v>239</v>
      </c>
    </row>
    <row r="797" spans="1:19" x14ac:dyDescent="0.3">
      <c r="A797" s="1" t="s">
        <v>1251</v>
      </c>
      <c r="B797" s="4">
        <v>45676</v>
      </c>
      <c r="C797" s="1" t="s">
        <v>306</v>
      </c>
      <c r="D797" s="1" t="s">
        <v>40</v>
      </c>
      <c r="E797" s="1" t="s">
        <v>70</v>
      </c>
      <c r="F797" s="1" t="s">
        <v>70</v>
      </c>
      <c r="G797" s="1" t="s">
        <v>42</v>
      </c>
      <c r="H797" s="1" t="s">
        <v>71</v>
      </c>
      <c r="I797" s="1" t="s">
        <v>66</v>
      </c>
      <c r="J797" s="1" t="s">
        <v>67</v>
      </c>
      <c r="K797" s="1" t="s">
        <v>28</v>
      </c>
      <c r="L797">
        <v>3</v>
      </c>
      <c r="M797">
        <v>2499</v>
      </c>
      <c r="N797">
        <v>0.15</v>
      </c>
      <c r="O797">
        <v>6372.45</v>
      </c>
      <c r="P797">
        <v>1450</v>
      </c>
      <c r="Q797">
        <v>4350</v>
      </c>
      <c r="R797">
        <v>40</v>
      </c>
      <c r="S797">
        <v>1982.45</v>
      </c>
    </row>
    <row r="798" spans="1:19" x14ac:dyDescent="0.3">
      <c r="A798" s="1" t="s">
        <v>1252</v>
      </c>
      <c r="B798" s="4">
        <v>45676</v>
      </c>
      <c r="C798" s="1" t="s">
        <v>204</v>
      </c>
      <c r="D798" s="1" t="s">
        <v>40</v>
      </c>
      <c r="E798" s="1" t="s">
        <v>124</v>
      </c>
      <c r="F798" s="1" t="s">
        <v>125</v>
      </c>
      <c r="G798" s="1" t="s">
        <v>33</v>
      </c>
      <c r="H798" s="1" t="s">
        <v>89</v>
      </c>
      <c r="I798" s="1" t="s">
        <v>76</v>
      </c>
      <c r="J798" s="1" t="s">
        <v>77</v>
      </c>
      <c r="K798" s="1" t="s">
        <v>37</v>
      </c>
      <c r="L798">
        <v>1</v>
      </c>
      <c r="M798">
        <v>6999</v>
      </c>
      <c r="N798">
        <v>0.05</v>
      </c>
      <c r="O798">
        <v>6649.05</v>
      </c>
      <c r="P798">
        <v>4900</v>
      </c>
      <c r="Q798">
        <v>4900</v>
      </c>
      <c r="R798">
        <v>80</v>
      </c>
      <c r="S798">
        <v>1669.05</v>
      </c>
    </row>
    <row r="799" spans="1:19" x14ac:dyDescent="0.3">
      <c r="A799" s="1" t="s">
        <v>1253</v>
      </c>
      <c r="B799" s="4">
        <v>45676</v>
      </c>
      <c r="C799" s="1" t="s">
        <v>573</v>
      </c>
      <c r="D799" s="1" t="s">
        <v>21</v>
      </c>
      <c r="E799" s="1" t="s">
        <v>64</v>
      </c>
      <c r="F799" s="1" t="s">
        <v>65</v>
      </c>
      <c r="G799" s="1" t="s">
        <v>42</v>
      </c>
      <c r="H799" s="1" t="s">
        <v>25</v>
      </c>
      <c r="I799" s="1" t="s">
        <v>85</v>
      </c>
      <c r="J799" s="1" t="s">
        <v>86</v>
      </c>
      <c r="K799" s="1" t="s">
        <v>45</v>
      </c>
      <c r="L799">
        <v>4</v>
      </c>
      <c r="M799">
        <v>599</v>
      </c>
      <c r="N799">
        <v>0.05</v>
      </c>
      <c r="O799">
        <v>2276.1999999999998</v>
      </c>
      <c r="P799">
        <v>240</v>
      </c>
      <c r="Q799">
        <v>960</v>
      </c>
      <c r="R799">
        <v>60</v>
      </c>
      <c r="S799">
        <v>1256.2</v>
      </c>
    </row>
    <row r="800" spans="1:19" x14ac:dyDescent="0.3">
      <c r="A800" s="1" t="s">
        <v>1254</v>
      </c>
      <c r="B800" s="4">
        <v>45676</v>
      </c>
      <c r="C800" s="1" t="s">
        <v>1112</v>
      </c>
      <c r="D800" s="1" t="s">
        <v>21</v>
      </c>
      <c r="E800" s="1" t="s">
        <v>54</v>
      </c>
      <c r="F800" s="1" t="s">
        <v>55</v>
      </c>
      <c r="G800" s="1" t="s">
        <v>42</v>
      </c>
      <c r="H800" s="1" t="s">
        <v>89</v>
      </c>
      <c r="I800" s="1" t="s">
        <v>51</v>
      </c>
      <c r="J800" s="1" t="s">
        <v>52</v>
      </c>
      <c r="K800" s="1" t="s">
        <v>37</v>
      </c>
      <c r="L800">
        <v>1</v>
      </c>
      <c r="M800">
        <v>499</v>
      </c>
      <c r="N800">
        <v>0</v>
      </c>
      <c r="O800">
        <v>499</v>
      </c>
      <c r="P800">
        <v>180</v>
      </c>
      <c r="Q800">
        <v>180</v>
      </c>
      <c r="R800">
        <v>60</v>
      </c>
      <c r="S800">
        <v>259</v>
      </c>
    </row>
    <row r="801" spans="1:19" x14ac:dyDescent="0.3">
      <c r="A801" s="1" t="s">
        <v>1255</v>
      </c>
      <c r="B801" s="4">
        <v>45677</v>
      </c>
      <c r="C801" s="1" t="s">
        <v>69</v>
      </c>
      <c r="D801" s="1" t="s">
        <v>48</v>
      </c>
      <c r="E801" s="1" t="s">
        <v>96</v>
      </c>
      <c r="F801" s="1" t="s">
        <v>97</v>
      </c>
      <c r="G801" s="1" t="s">
        <v>24</v>
      </c>
      <c r="H801" s="1" t="s">
        <v>71</v>
      </c>
      <c r="I801" s="1" t="s">
        <v>43</v>
      </c>
      <c r="J801" s="1" t="s">
        <v>44</v>
      </c>
      <c r="K801" s="1" t="s">
        <v>45</v>
      </c>
      <c r="L801">
        <v>2</v>
      </c>
      <c r="M801">
        <v>1799</v>
      </c>
      <c r="N801">
        <v>0</v>
      </c>
      <c r="O801">
        <v>3598</v>
      </c>
      <c r="P801">
        <v>850</v>
      </c>
      <c r="Q801">
        <v>1700</v>
      </c>
      <c r="R801">
        <v>100</v>
      </c>
      <c r="S801">
        <v>1798</v>
      </c>
    </row>
    <row r="802" spans="1:19" x14ac:dyDescent="0.3">
      <c r="A802" s="1" t="s">
        <v>1256</v>
      </c>
      <c r="B802" s="4">
        <v>45678</v>
      </c>
      <c r="C802" s="1" t="s">
        <v>620</v>
      </c>
      <c r="D802" s="1" t="s">
        <v>40</v>
      </c>
      <c r="E802" s="1" t="s">
        <v>70</v>
      </c>
      <c r="F802" s="1" t="s">
        <v>70</v>
      </c>
      <c r="G802" s="1" t="s">
        <v>33</v>
      </c>
      <c r="H802" s="1" t="s">
        <v>56</v>
      </c>
      <c r="I802" s="1" t="s">
        <v>59</v>
      </c>
      <c r="J802" s="1" t="s">
        <v>60</v>
      </c>
      <c r="K802" s="1" t="s">
        <v>61</v>
      </c>
      <c r="L802">
        <v>1</v>
      </c>
      <c r="M802">
        <v>999</v>
      </c>
      <c r="N802">
        <v>0</v>
      </c>
      <c r="O802">
        <v>999</v>
      </c>
      <c r="P802">
        <v>520</v>
      </c>
      <c r="Q802">
        <v>520</v>
      </c>
      <c r="R802">
        <v>0</v>
      </c>
      <c r="S802">
        <v>479</v>
      </c>
    </row>
    <row r="803" spans="1:19" x14ac:dyDescent="0.3">
      <c r="A803" s="1" t="s">
        <v>1257</v>
      </c>
      <c r="B803" s="4">
        <v>45678</v>
      </c>
      <c r="C803" s="1" t="s">
        <v>232</v>
      </c>
      <c r="D803" s="1" t="s">
        <v>48</v>
      </c>
      <c r="E803" s="1" t="s">
        <v>64</v>
      </c>
      <c r="F803" s="1" t="s">
        <v>65</v>
      </c>
      <c r="G803" s="1" t="s">
        <v>42</v>
      </c>
      <c r="H803" s="1" t="s">
        <v>71</v>
      </c>
      <c r="I803" s="1" t="s">
        <v>76</v>
      </c>
      <c r="J803" s="1" t="s">
        <v>77</v>
      </c>
      <c r="K803" s="1" t="s">
        <v>37</v>
      </c>
      <c r="L803">
        <v>1</v>
      </c>
      <c r="M803">
        <v>6999</v>
      </c>
      <c r="N803">
        <v>0.05</v>
      </c>
      <c r="O803">
        <v>6649.05</v>
      </c>
      <c r="P803">
        <v>4900</v>
      </c>
      <c r="Q803">
        <v>4900</v>
      </c>
      <c r="R803">
        <v>100</v>
      </c>
      <c r="S803">
        <v>1649.05</v>
      </c>
    </row>
    <row r="804" spans="1:19" x14ac:dyDescent="0.3">
      <c r="A804" s="1" t="s">
        <v>1258</v>
      </c>
      <c r="B804" s="4">
        <v>45678</v>
      </c>
      <c r="C804" s="1" t="s">
        <v>580</v>
      </c>
      <c r="D804" s="1" t="s">
        <v>21</v>
      </c>
      <c r="E804" s="1" t="s">
        <v>70</v>
      </c>
      <c r="F804" s="1" t="s">
        <v>70</v>
      </c>
      <c r="G804" s="1" t="s">
        <v>42</v>
      </c>
      <c r="H804" s="1" t="s">
        <v>71</v>
      </c>
      <c r="I804" s="1" t="s">
        <v>81</v>
      </c>
      <c r="J804" s="1" t="s">
        <v>82</v>
      </c>
      <c r="K804" s="1" t="s">
        <v>61</v>
      </c>
      <c r="L804">
        <v>4</v>
      </c>
      <c r="M804">
        <v>2999</v>
      </c>
      <c r="N804">
        <v>0.2</v>
      </c>
      <c r="O804">
        <v>9596.7999999999993</v>
      </c>
      <c r="P804">
        <v>1750</v>
      </c>
      <c r="Q804">
        <v>7000</v>
      </c>
      <c r="R804">
        <v>0</v>
      </c>
      <c r="S804">
        <v>2596.8000000000002</v>
      </c>
    </row>
    <row r="805" spans="1:19" x14ac:dyDescent="0.3">
      <c r="A805" s="1" t="s">
        <v>1259</v>
      </c>
      <c r="B805" s="4">
        <v>45679</v>
      </c>
      <c r="C805" s="1" t="s">
        <v>1260</v>
      </c>
      <c r="D805" s="1" t="s">
        <v>21</v>
      </c>
      <c r="E805" s="1" t="s">
        <v>80</v>
      </c>
      <c r="F805" s="1" t="s">
        <v>55</v>
      </c>
      <c r="G805" s="1" t="s">
        <v>24</v>
      </c>
      <c r="H805" s="1" t="s">
        <v>34</v>
      </c>
      <c r="I805" s="1" t="s">
        <v>134</v>
      </c>
      <c r="J805" s="1" t="s">
        <v>135</v>
      </c>
      <c r="K805" s="1" t="s">
        <v>136</v>
      </c>
      <c r="L805">
        <v>1</v>
      </c>
      <c r="M805">
        <v>299</v>
      </c>
      <c r="N805">
        <v>0.05</v>
      </c>
      <c r="O805">
        <v>284.05</v>
      </c>
      <c r="P805">
        <v>110</v>
      </c>
      <c r="Q805">
        <v>110</v>
      </c>
      <c r="R805">
        <v>60</v>
      </c>
      <c r="S805">
        <v>114.05</v>
      </c>
    </row>
    <row r="806" spans="1:19" x14ac:dyDescent="0.3">
      <c r="A806" s="1" t="s">
        <v>1261</v>
      </c>
      <c r="B806" s="4">
        <v>45679</v>
      </c>
      <c r="C806" s="1" t="s">
        <v>532</v>
      </c>
      <c r="D806" s="1" t="s">
        <v>21</v>
      </c>
      <c r="E806" s="1" t="s">
        <v>120</v>
      </c>
      <c r="F806" s="1" t="s">
        <v>121</v>
      </c>
      <c r="G806" s="1" t="s">
        <v>24</v>
      </c>
      <c r="H806" s="1" t="s">
        <v>34</v>
      </c>
      <c r="I806" s="1" t="s">
        <v>66</v>
      </c>
      <c r="J806" s="1" t="s">
        <v>67</v>
      </c>
      <c r="K806" s="1" t="s">
        <v>28</v>
      </c>
      <c r="L806">
        <v>3</v>
      </c>
      <c r="M806">
        <v>2499</v>
      </c>
      <c r="N806">
        <v>0</v>
      </c>
      <c r="O806">
        <v>7497</v>
      </c>
      <c r="P806">
        <v>1450</v>
      </c>
      <c r="Q806">
        <v>4350</v>
      </c>
      <c r="R806">
        <v>40</v>
      </c>
      <c r="S806">
        <v>3107</v>
      </c>
    </row>
    <row r="807" spans="1:19" x14ac:dyDescent="0.3">
      <c r="A807" s="1" t="s">
        <v>1262</v>
      </c>
      <c r="B807" s="4">
        <v>45680</v>
      </c>
      <c r="C807" s="1" t="s">
        <v>238</v>
      </c>
      <c r="D807" s="1" t="s">
        <v>48</v>
      </c>
      <c r="E807" s="1" t="s">
        <v>124</v>
      </c>
      <c r="F807" s="1" t="s">
        <v>125</v>
      </c>
      <c r="G807" s="1" t="s">
        <v>42</v>
      </c>
      <c r="H807" s="1" t="s">
        <v>71</v>
      </c>
      <c r="I807" s="1" t="s">
        <v>72</v>
      </c>
      <c r="J807" s="1" t="s">
        <v>73</v>
      </c>
      <c r="K807" s="1" t="s">
        <v>28</v>
      </c>
      <c r="L807">
        <v>1</v>
      </c>
      <c r="M807">
        <v>2199</v>
      </c>
      <c r="N807">
        <v>0</v>
      </c>
      <c r="O807">
        <v>2199</v>
      </c>
      <c r="P807">
        <v>1250</v>
      </c>
      <c r="Q807">
        <v>1250</v>
      </c>
      <c r="R807">
        <v>100</v>
      </c>
      <c r="S807">
        <v>849</v>
      </c>
    </row>
    <row r="808" spans="1:19" x14ac:dyDescent="0.3">
      <c r="A808" s="1" t="s">
        <v>1263</v>
      </c>
      <c r="B808" s="4">
        <v>45680</v>
      </c>
      <c r="C808" s="1" t="s">
        <v>794</v>
      </c>
      <c r="D808" s="1" t="s">
        <v>21</v>
      </c>
      <c r="E808" s="1" t="s">
        <v>49</v>
      </c>
      <c r="F808" s="1" t="s">
        <v>50</v>
      </c>
      <c r="G808" s="1" t="s">
        <v>42</v>
      </c>
      <c r="H808" s="1" t="s">
        <v>56</v>
      </c>
      <c r="I808" s="1" t="s">
        <v>35</v>
      </c>
      <c r="J808" s="1" t="s">
        <v>36</v>
      </c>
      <c r="K808" s="1" t="s">
        <v>37</v>
      </c>
      <c r="L808">
        <v>5</v>
      </c>
      <c r="M808">
        <v>1299</v>
      </c>
      <c r="N808">
        <v>0.2</v>
      </c>
      <c r="O808">
        <v>5196</v>
      </c>
      <c r="P808">
        <v>700</v>
      </c>
      <c r="Q808">
        <v>3500</v>
      </c>
      <c r="R808">
        <v>100</v>
      </c>
      <c r="S808">
        <v>1596</v>
      </c>
    </row>
    <row r="809" spans="1:19" x14ac:dyDescent="0.3">
      <c r="A809" s="1" t="s">
        <v>1264</v>
      </c>
      <c r="B809" s="4">
        <v>45680</v>
      </c>
      <c r="C809" s="1" t="s">
        <v>486</v>
      </c>
      <c r="D809" s="1" t="s">
        <v>40</v>
      </c>
      <c r="E809" s="1" t="s">
        <v>22</v>
      </c>
      <c r="F809" s="1" t="s">
        <v>23</v>
      </c>
      <c r="G809" s="1" t="s">
        <v>42</v>
      </c>
      <c r="H809" s="1" t="s">
        <v>71</v>
      </c>
      <c r="I809" s="1" t="s">
        <v>81</v>
      </c>
      <c r="J809" s="1" t="s">
        <v>82</v>
      </c>
      <c r="K809" s="1" t="s">
        <v>61</v>
      </c>
      <c r="L809">
        <v>2</v>
      </c>
      <c r="M809">
        <v>2999</v>
      </c>
      <c r="N809">
        <v>0.15</v>
      </c>
      <c r="O809">
        <v>5098.3</v>
      </c>
      <c r="P809">
        <v>1750</v>
      </c>
      <c r="Q809">
        <v>3500</v>
      </c>
      <c r="R809">
        <v>100</v>
      </c>
      <c r="S809">
        <v>1498.3</v>
      </c>
    </row>
    <row r="810" spans="1:19" x14ac:dyDescent="0.3">
      <c r="A810" s="1" t="s">
        <v>1265</v>
      </c>
      <c r="B810" s="4">
        <v>45681</v>
      </c>
      <c r="C810" s="1" t="s">
        <v>1266</v>
      </c>
      <c r="D810" s="1" t="s">
        <v>40</v>
      </c>
      <c r="E810" s="1" t="s">
        <v>31</v>
      </c>
      <c r="F810" s="1" t="s">
        <v>32</v>
      </c>
      <c r="G810" s="1" t="s">
        <v>42</v>
      </c>
      <c r="H810" s="1" t="s">
        <v>25</v>
      </c>
      <c r="I810" s="1" t="s">
        <v>92</v>
      </c>
      <c r="J810" s="1" t="s">
        <v>93</v>
      </c>
      <c r="K810" s="1" t="s">
        <v>28</v>
      </c>
      <c r="L810">
        <v>3</v>
      </c>
      <c r="M810">
        <v>1599</v>
      </c>
      <c r="N810">
        <v>0</v>
      </c>
      <c r="O810">
        <v>4797</v>
      </c>
      <c r="P810">
        <v>900</v>
      </c>
      <c r="Q810">
        <v>2700</v>
      </c>
      <c r="R810">
        <v>0</v>
      </c>
      <c r="S810">
        <v>2097</v>
      </c>
    </row>
    <row r="811" spans="1:19" x14ac:dyDescent="0.3">
      <c r="A811" s="1" t="s">
        <v>1267</v>
      </c>
      <c r="B811" s="4">
        <v>45681</v>
      </c>
      <c r="C811" s="1" t="s">
        <v>744</v>
      </c>
      <c r="D811" s="1" t="s">
        <v>40</v>
      </c>
      <c r="E811" s="1" t="s">
        <v>22</v>
      </c>
      <c r="F811" s="1" t="s">
        <v>23</v>
      </c>
      <c r="G811" s="1" t="s">
        <v>24</v>
      </c>
      <c r="H811" s="1" t="s">
        <v>34</v>
      </c>
      <c r="I811" s="1" t="s">
        <v>66</v>
      </c>
      <c r="J811" s="1" t="s">
        <v>67</v>
      </c>
      <c r="K811" s="1" t="s">
        <v>28</v>
      </c>
      <c r="L811">
        <v>1</v>
      </c>
      <c r="M811">
        <v>2499</v>
      </c>
      <c r="N811">
        <v>0.05</v>
      </c>
      <c r="O811">
        <v>2374.0500000000002</v>
      </c>
      <c r="P811">
        <v>1450</v>
      </c>
      <c r="Q811">
        <v>1450</v>
      </c>
      <c r="R811">
        <v>100</v>
      </c>
      <c r="S811">
        <v>824.05</v>
      </c>
    </row>
    <row r="812" spans="1:19" x14ac:dyDescent="0.3">
      <c r="A812" s="1" t="s">
        <v>1268</v>
      </c>
      <c r="B812" s="4">
        <v>45681</v>
      </c>
      <c r="C812" s="1" t="s">
        <v>722</v>
      </c>
      <c r="D812" s="1" t="s">
        <v>21</v>
      </c>
      <c r="E812" s="1" t="s">
        <v>70</v>
      </c>
      <c r="F812" s="1" t="s">
        <v>70</v>
      </c>
      <c r="G812" s="1" t="s">
        <v>24</v>
      </c>
      <c r="H812" s="1" t="s">
        <v>56</v>
      </c>
      <c r="I812" s="1" t="s">
        <v>81</v>
      </c>
      <c r="J812" s="1" t="s">
        <v>82</v>
      </c>
      <c r="K812" s="1" t="s">
        <v>61</v>
      </c>
      <c r="L812">
        <v>2</v>
      </c>
      <c r="M812">
        <v>2999</v>
      </c>
      <c r="N812">
        <v>0.1</v>
      </c>
      <c r="O812">
        <v>5398.2</v>
      </c>
      <c r="P812">
        <v>1750</v>
      </c>
      <c r="Q812">
        <v>3500</v>
      </c>
      <c r="R812">
        <v>100</v>
      </c>
      <c r="S812">
        <v>1798.2</v>
      </c>
    </row>
    <row r="813" spans="1:19" x14ac:dyDescent="0.3">
      <c r="A813" s="1" t="s">
        <v>1269</v>
      </c>
      <c r="B813" s="4">
        <v>45682</v>
      </c>
      <c r="C813" s="1" t="s">
        <v>1061</v>
      </c>
      <c r="D813" s="1" t="s">
        <v>21</v>
      </c>
      <c r="E813" s="1" t="s">
        <v>49</v>
      </c>
      <c r="F813" s="1" t="s">
        <v>50</v>
      </c>
      <c r="G813" s="1" t="s">
        <v>42</v>
      </c>
      <c r="H813" s="1" t="s">
        <v>71</v>
      </c>
      <c r="I813" s="1" t="s">
        <v>76</v>
      </c>
      <c r="J813" s="1" t="s">
        <v>77</v>
      </c>
      <c r="K813" s="1" t="s">
        <v>37</v>
      </c>
      <c r="L813">
        <v>2</v>
      </c>
      <c r="M813">
        <v>6999</v>
      </c>
      <c r="N813">
        <v>0.15</v>
      </c>
      <c r="O813">
        <v>11898.3</v>
      </c>
      <c r="P813">
        <v>4900</v>
      </c>
      <c r="Q813">
        <v>9800</v>
      </c>
      <c r="R813">
        <v>80</v>
      </c>
      <c r="S813">
        <v>2018.3</v>
      </c>
    </row>
    <row r="814" spans="1:19" x14ac:dyDescent="0.3">
      <c r="A814" s="1" t="s">
        <v>1270</v>
      </c>
      <c r="B814" s="4">
        <v>45682</v>
      </c>
      <c r="C814" s="1" t="s">
        <v>828</v>
      </c>
      <c r="D814" s="1" t="s">
        <v>21</v>
      </c>
      <c r="E814" s="1" t="s">
        <v>54</v>
      </c>
      <c r="F814" s="1" t="s">
        <v>55</v>
      </c>
      <c r="G814" s="1" t="s">
        <v>24</v>
      </c>
      <c r="H814" s="1" t="s">
        <v>89</v>
      </c>
      <c r="I814" s="1" t="s">
        <v>66</v>
      </c>
      <c r="J814" s="1" t="s">
        <v>67</v>
      </c>
      <c r="K814" s="1" t="s">
        <v>28</v>
      </c>
      <c r="L814">
        <v>1</v>
      </c>
      <c r="M814">
        <v>2499</v>
      </c>
      <c r="N814">
        <v>0.15</v>
      </c>
      <c r="O814">
        <v>2124.15</v>
      </c>
      <c r="P814">
        <v>1450</v>
      </c>
      <c r="Q814">
        <v>1450</v>
      </c>
      <c r="R814">
        <v>60</v>
      </c>
      <c r="S814">
        <v>614.15</v>
      </c>
    </row>
    <row r="815" spans="1:19" x14ac:dyDescent="0.3">
      <c r="A815" s="1" t="s">
        <v>1271</v>
      </c>
      <c r="B815" s="4">
        <v>45682</v>
      </c>
      <c r="C815" s="1" t="s">
        <v>1272</v>
      </c>
      <c r="D815" s="1" t="s">
        <v>21</v>
      </c>
      <c r="E815" s="1" t="s">
        <v>80</v>
      </c>
      <c r="F815" s="1" t="s">
        <v>55</v>
      </c>
      <c r="G815" s="1" t="s">
        <v>42</v>
      </c>
      <c r="H815" s="1" t="s">
        <v>56</v>
      </c>
      <c r="I815" s="1" t="s">
        <v>85</v>
      </c>
      <c r="J815" s="1" t="s">
        <v>86</v>
      </c>
      <c r="K815" s="1" t="s">
        <v>45</v>
      </c>
      <c r="L815">
        <v>1</v>
      </c>
      <c r="M815">
        <v>599</v>
      </c>
      <c r="N815">
        <v>0.1</v>
      </c>
      <c r="O815">
        <v>539.1</v>
      </c>
      <c r="P815">
        <v>240</v>
      </c>
      <c r="Q815">
        <v>240</v>
      </c>
      <c r="R815">
        <v>0</v>
      </c>
      <c r="S815">
        <v>299.10000000000002</v>
      </c>
    </row>
    <row r="816" spans="1:19" x14ac:dyDescent="0.3">
      <c r="A816" s="1" t="s">
        <v>1273</v>
      </c>
      <c r="B816" s="4">
        <v>45683</v>
      </c>
      <c r="C816" s="1" t="s">
        <v>377</v>
      </c>
      <c r="D816" s="1" t="s">
        <v>21</v>
      </c>
      <c r="E816" s="1" t="s">
        <v>22</v>
      </c>
      <c r="F816" s="1" t="s">
        <v>23</v>
      </c>
      <c r="G816" s="1" t="s">
        <v>42</v>
      </c>
      <c r="H816" s="1" t="s">
        <v>34</v>
      </c>
      <c r="I816" s="1" t="s">
        <v>59</v>
      </c>
      <c r="J816" s="1" t="s">
        <v>60</v>
      </c>
      <c r="K816" s="1" t="s">
        <v>61</v>
      </c>
      <c r="L816">
        <v>1</v>
      </c>
      <c r="M816">
        <v>999</v>
      </c>
      <c r="N816">
        <v>0</v>
      </c>
      <c r="O816">
        <v>999</v>
      </c>
      <c r="P816">
        <v>520</v>
      </c>
      <c r="Q816">
        <v>520</v>
      </c>
      <c r="R816">
        <v>60</v>
      </c>
      <c r="S816">
        <v>419</v>
      </c>
    </row>
    <row r="817" spans="1:19" x14ac:dyDescent="0.3">
      <c r="A817" s="1" t="s">
        <v>1274</v>
      </c>
      <c r="B817" s="4">
        <v>45684</v>
      </c>
      <c r="C817" s="1" t="s">
        <v>323</v>
      </c>
      <c r="D817" s="1" t="s">
        <v>40</v>
      </c>
      <c r="E817" s="1" t="s">
        <v>64</v>
      </c>
      <c r="F817" s="1" t="s">
        <v>65</v>
      </c>
      <c r="G817" s="1" t="s">
        <v>42</v>
      </c>
      <c r="H817" s="1" t="s">
        <v>89</v>
      </c>
      <c r="I817" s="1" t="s">
        <v>43</v>
      </c>
      <c r="J817" s="1" t="s">
        <v>44</v>
      </c>
      <c r="K817" s="1" t="s">
        <v>45</v>
      </c>
      <c r="L817">
        <v>1</v>
      </c>
      <c r="M817">
        <v>1799</v>
      </c>
      <c r="N817">
        <v>0.1</v>
      </c>
      <c r="O817">
        <v>1619.1</v>
      </c>
      <c r="P817">
        <v>850</v>
      </c>
      <c r="Q817">
        <v>850</v>
      </c>
      <c r="R817">
        <v>80</v>
      </c>
      <c r="S817">
        <v>689.1</v>
      </c>
    </row>
    <row r="818" spans="1:19" x14ac:dyDescent="0.3">
      <c r="A818" s="1" t="s">
        <v>1275</v>
      </c>
      <c r="B818" s="4">
        <v>45684</v>
      </c>
      <c r="C818" s="1" t="s">
        <v>236</v>
      </c>
      <c r="D818" s="1" t="s">
        <v>21</v>
      </c>
      <c r="E818" s="1" t="s">
        <v>124</v>
      </c>
      <c r="F818" s="1" t="s">
        <v>125</v>
      </c>
      <c r="G818" s="1" t="s">
        <v>42</v>
      </c>
      <c r="H818" s="1" t="s">
        <v>34</v>
      </c>
      <c r="I818" s="1" t="s">
        <v>66</v>
      </c>
      <c r="J818" s="1" t="s">
        <v>67</v>
      </c>
      <c r="K818" s="1" t="s">
        <v>28</v>
      </c>
      <c r="L818">
        <v>3</v>
      </c>
      <c r="M818">
        <v>2499</v>
      </c>
      <c r="N818">
        <v>0</v>
      </c>
      <c r="O818">
        <v>7497</v>
      </c>
      <c r="P818">
        <v>1450</v>
      </c>
      <c r="Q818">
        <v>4350</v>
      </c>
      <c r="R818">
        <v>0</v>
      </c>
      <c r="S818">
        <v>3147</v>
      </c>
    </row>
    <row r="819" spans="1:19" x14ac:dyDescent="0.3">
      <c r="A819" s="1" t="s">
        <v>1276</v>
      </c>
      <c r="B819" s="4">
        <v>45684</v>
      </c>
      <c r="C819" s="1" t="s">
        <v>1277</v>
      </c>
      <c r="D819" s="1" t="s">
        <v>21</v>
      </c>
      <c r="E819" s="1" t="s">
        <v>112</v>
      </c>
      <c r="F819" s="1" t="s">
        <v>113</v>
      </c>
      <c r="G819" s="1" t="s">
        <v>24</v>
      </c>
      <c r="H819" s="1" t="s">
        <v>34</v>
      </c>
      <c r="I819" s="1" t="s">
        <v>72</v>
      </c>
      <c r="J819" s="1" t="s">
        <v>73</v>
      </c>
      <c r="K819" s="1" t="s">
        <v>28</v>
      </c>
      <c r="L819">
        <v>1</v>
      </c>
      <c r="M819">
        <v>2199</v>
      </c>
      <c r="N819">
        <v>0</v>
      </c>
      <c r="O819">
        <v>2199</v>
      </c>
      <c r="P819">
        <v>1250</v>
      </c>
      <c r="Q819">
        <v>1250</v>
      </c>
      <c r="R819">
        <v>0</v>
      </c>
      <c r="S819">
        <v>949</v>
      </c>
    </row>
    <row r="820" spans="1:19" x14ac:dyDescent="0.3">
      <c r="A820" s="1" t="s">
        <v>1278</v>
      </c>
      <c r="B820" s="4">
        <v>45685</v>
      </c>
      <c r="C820" s="1" t="s">
        <v>1279</v>
      </c>
      <c r="D820" s="1" t="s">
        <v>40</v>
      </c>
      <c r="E820" s="1" t="s">
        <v>112</v>
      </c>
      <c r="F820" s="1" t="s">
        <v>113</v>
      </c>
      <c r="G820" s="1" t="s">
        <v>33</v>
      </c>
      <c r="H820" s="1" t="s">
        <v>89</v>
      </c>
      <c r="I820" s="1" t="s">
        <v>43</v>
      </c>
      <c r="J820" s="1" t="s">
        <v>44</v>
      </c>
      <c r="K820" s="1" t="s">
        <v>45</v>
      </c>
      <c r="L820">
        <v>1</v>
      </c>
      <c r="M820">
        <v>1799</v>
      </c>
      <c r="N820">
        <v>0.15</v>
      </c>
      <c r="O820">
        <v>1529.15</v>
      </c>
      <c r="P820">
        <v>850</v>
      </c>
      <c r="Q820">
        <v>850</v>
      </c>
      <c r="R820">
        <v>0</v>
      </c>
      <c r="S820">
        <v>679.15</v>
      </c>
    </row>
    <row r="821" spans="1:19" x14ac:dyDescent="0.3">
      <c r="A821" s="1" t="s">
        <v>1280</v>
      </c>
      <c r="B821" s="4">
        <v>45685</v>
      </c>
      <c r="C821" s="1" t="s">
        <v>374</v>
      </c>
      <c r="D821" s="1" t="s">
        <v>21</v>
      </c>
      <c r="E821" s="1" t="s">
        <v>41</v>
      </c>
      <c r="F821" s="1" t="s">
        <v>32</v>
      </c>
      <c r="G821" s="1" t="s">
        <v>24</v>
      </c>
      <c r="H821" s="1" t="s">
        <v>34</v>
      </c>
      <c r="I821" s="1" t="s">
        <v>85</v>
      </c>
      <c r="J821" s="1" t="s">
        <v>86</v>
      </c>
      <c r="K821" s="1" t="s">
        <v>45</v>
      </c>
      <c r="L821">
        <v>2</v>
      </c>
      <c r="M821">
        <v>599</v>
      </c>
      <c r="N821">
        <v>0.1</v>
      </c>
      <c r="O821">
        <v>1078.2</v>
      </c>
      <c r="P821">
        <v>240</v>
      </c>
      <c r="Q821">
        <v>480</v>
      </c>
      <c r="R821">
        <v>80</v>
      </c>
      <c r="S821">
        <v>518.20000000000005</v>
      </c>
    </row>
    <row r="822" spans="1:19" x14ac:dyDescent="0.3">
      <c r="A822" s="1" t="s">
        <v>1281</v>
      </c>
      <c r="B822" s="4">
        <v>45685</v>
      </c>
      <c r="C822" s="1" t="s">
        <v>1282</v>
      </c>
      <c r="D822" s="1" t="s">
        <v>40</v>
      </c>
      <c r="E822" s="1" t="s">
        <v>96</v>
      </c>
      <c r="F822" s="1" t="s">
        <v>97</v>
      </c>
      <c r="G822" s="1" t="s">
        <v>33</v>
      </c>
      <c r="H822" s="1" t="s">
        <v>89</v>
      </c>
      <c r="I822" s="1" t="s">
        <v>81</v>
      </c>
      <c r="J822" s="1" t="s">
        <v>82</v>
      </c>
      <c r="K822" s="1" t="s">
        <v>61</v>
      </c>
      <c r="L822">
        <v>3</v>
      </c>
      <c r="M822">
        <v>2999</v>
      </c>
      <c r="N822">
        <v>0</v>
      </c>
      <c r="O822">
        <v>8997</v>
      </c>
      <c r="P822">
        <v>1750</v>
      </c>
      <c r="Q822">
        <v>5250</v>
      </c>
      <c r="R822">
        <v>0</v>
      </c>
      <c r="S822">
        <v>3747</v>
      </c>
    </row>
    <row r="823" spans="1:19" x14ac:dyDescent="0.3">
      <c r="A823" s="1" t="s">
        <v>1283</v>
      </c>
      <c r="B823" s="4">
        <v>45686</v>
      </c>
      <c r="C823" s="1" t="s">
        <v>415</v>
      </c>
      <c r="D823" s="1" t="s">
        <v>48</v>
      </c>
      <c r="E823" s="1" t="s">
        <v>41</v>
      </c>
      <c r="F823" s="1" t="s">
        <v>32</v>
      </c>
      <c r="G823" s="1" t="s">
        <v>24</v>
      </c>
      <c r="H823" s="1" t="s">
        <v>25</v>
      </c>
      <c r="I823" s="1" t="s">
        <v>92</v>
      </c>
      <c r="J823" s="1" t="s">
        <v>93</v>
      </c>
      <c r="K823" s="1" t="s">
        <v>28</v>
      </c>
      <c r="L823">
        <v>1</v>
      </c>
      <c r="M823">
        <v>1599</v>
      </c>
      <c r="N823">
        <v>0.05</v>
      </c>
      <c r="O823">
        <v>1519.05</v>
      </c>
      <c r="P823">
        <v>900</v>
      </c>
      <c r="Q823">
        <v>900</v>
      </c>
      <c r="R823">
        <v>40</v>
      </c>
      <c r="S823">
        <v>579.04999999999995</v>
      </c>
    </row>
    <row r="824" spans="1:19" x14ac:dyDescent="0.3">
      <c r="A824" s="1" t="s">
        <v>1284</v>
      </c>
      <c r="B824" s="4">
        <v>45686</v>
      </c>
      <c r="C824" s="1" t="s">
        <v>232</v>
      </c>
      <c r="D824" s="1" t="s">
        <v>48</v>
      </c>
      <c r="E824" s="1" t="s">
        <v>120</v>
      </c>
      <c r="F824" s="1" t="s">
        <v>121</v>
      </c>
      <c r="G824" s="1" t="s">
        <v>24</v>
      </c>
      <c r="H824" s="1" t="s">
        <v>89</v>
      </c>
      <c r="I824" s="1" t="s">
        <v>35</v>
      </c>
      <c r="J824" s="1" t="s">
        <v>36</v>
      </c>
      <c r="K824" s="1" t="s">
        <v>37</v>
      </c>
      <c r="L824">
        <v>2</v>
      </c>
      <c r="M824">
        <v>1299</v>
      </c>
      <c r="N824">
        <v>0.2</v>
      </c>
      <c r="O824">
        <v>2078.4</v>
      </c>
      <c r="P824">
        <v>700</v>
      </c>
      <c r="Q824">
        <v>1400</v>
      </c>
      <c r="R824">
        <v>40</v>
      </c>
      <c r="S824">
        <v>638.4</v>
      </c>
    </row>
    <row r="825" spans="1:19" x14ac:dyDescent="0.3">
      <c r="A825" s="1" t="s">
        <v>1285</v>
      </c>
      <c r="B825" s="4">
        <v>45688</v>
      </c>
      <c r="C825" s="1" t="s">
        <v>927</v>
      </c>
      <c r="D825" s="1" t="s">
        <v>21</v>
      </c>
      <c r="E825" s="1" t="s">
        <v>49</v>
      </c>
      <c r="F825" s="1" t="s">
        <v>50</v>
      </c>
      <c r="G825" s="1" t="s">
        <v>24</v>
      </c>
      <c r="H825" s="1" t="s">
        <v>34</v>
      </c>
      <c r="I825" s="1" t="s">
        <v>85</v>
      </c>
      <c r="J825" s="1" t="s">
        <v>86</v>
      </c>
      <c r="K825" s="1" t="s">
        <v>45</v>
      </c>
      <c r="L825">
        <v>1</v>
      </c>
      <c r="M825">
        <v>599</v>
      </c>
      <c r="N825">
        <v>0.05</v>
      </c>
      <c r="O825">
        <v>569.04999999999995</v>
      </c>
      <c r="P825">
        <v>240</v>
      </c>
      <c r="Q825">
        <v>240</v>
      </c>
      <c r="R825">
        <v>80</v>
      </c>
      <c r="S825">
        <v>249.05</v>
      </c>
    </row>
    <row r="826" spans="1:19" x14ac:dyDescent="0.3">
      <c r="A826" s="1" t="s">
        <v>1286</v>
      </c>
      <c r="B826" s="4">
        <v>45689</v>
      </c>
      <c r="C826" s="1" t="s">
        <v>1287</v>
      </c>
      <c r="D826" s="1" t="s">
        <v>48</v>
      </c>
      <c r="E826" s="1" t="s">
        <v>64</v>
      </c>
      <c r="F826" s="1" t="s">
        <v>65</v>
      </c>
      <c r="G826" s="1" t="s">
        <v>24</v>
      </c>
      <c r="H826" s="1" t="s">
        <v>89</v>
      </c>
      <c r="I826" s="1" t="s">
        <v>72</v>
      </c>
      <c r="J826" s="1" t="s">
        <v>73</v>
      </c>
      <c r="K826" s="1" t="s">
        <v>28</v>
      </c>
      <c r="L826">
        <v>4</v>
      </c>
      <c r="M826">
        <v>2199</v>
      </c>
      <c r="N826">
        <v>0.05</v>
      </c>
      <c r="O826">
        <v>8356.2000000000007</v>
      </c>
      <c r="P826">
        <v>1250</v>
      </c>
      <c r="Q826">
        <v>5000</v>
      </c>
      <c r="R826">
        <v>100</v>
      </c>
      <c r="S826">
        <v>3256.2</v>
      </c>
    </row>
    <row r="827" spans="1:19" x14ac:dyDescent="0.3">
      <c r="A827" s="1" t="s">
        <v>1288</v>
      </c>
      <c r="B827" s="4">
        <v>45689</v>
      </c>
      <c r="C827" s="1" t="s">
        <v>455</v>
      </c>
      <c r="D827" s="1" t="s">
        <v>48</v>
      </c>
      <c r="E827" s="1" t="s">
        <v>120</v>
      </c>
      <c r="F827" s="1" t="s">
        <v>121</v>
      </c>
      <c r="G827" s="1" t="s">
        <v>24</v>
      </c>
      <c r="H827" s="1" t="s">
        <v>56</v>
      </c>
      <c r="I827" s="1" t="s">
        <v>59</v>
      </c>
      <c r="J827" s="1" t="s">
        <v>60</v>
      </c>
      <c r="K827" s="1" t="s">
        <v>61</v>
      </c>
      <c r="L827">
        <v>1</v>
      </c>
      <c r="M827">
        <v>999</v>
      </c>
      <c r="N827">
        <v>0.05</v>
      </c>
      <c r="O827">
        <v>949.05</v>
      </c>
      <c r="P827">
        <v>520</v>
      </c>
      <c r="Q827">
        <v>520</v>
      </c>
      <c r="R827">
        <v>40</v>
      </c>
      <c r="S827">
        <v>389.05</v>
      </c>
    </row>
    <row r="828" spans="1:19" x14ac:dyDescent="0.3">
      <c r="A828" s="1" t="s">
        <v>1289</v>
      </c>
      <c r="B828" s="4">
        <v>45689</v>
      </c>
      <c r="C828" s="1" t="s">
        <v>194</v>
      </c>
      <c r="D828" s="1" t="s">
        <v>40</v>
      </c>
      <c r="E828" s="1" t="s">
        <v>22</v>
      </c>
      <c r="F828" s="1" t="s">
        <v>23</v>
      </c>
      <c r="G828" s="1" t="s">
        <v>33</v>
      </c>
      <c r="H828" s="1" t="s">
        <v>56</v>
      </c>
      <c r="I828" s="1" t="s">
        <v>26</v>
      </c>
      <c r="J828" s="1" t="s">
        <v>27</v>
      </c>
      <c r="K828" s="1" t="s">
        <v>28</v>
      </c>
      <c r="L828">
        <v>4</v>
      </c>
      <c r="M828">
        <v>799</v>
      </c>
      <c r="N828">
        <v>0.1</v>
      </c>
      <c r="O828">
        <v>2876.4</v>
      </c>
      <c r="P828">
        <v>420</v>
      </c>
      <c r="Q828">
        <v>1680</v>
      </c>
      <c r="R828">
        <v>60</v>
      </c>
      <c r="S828">
        <v>1136.4000000000001</v>
      </c>
    </row>
    <row r="829" spans="1:19" x14ac:dyDescent="0.3">
      <c r="A829" s="1" t="s">
        <v>1290</v>
      </c>
      <c r="B829" s="4">
        <v>45690</v>
      </c>
      <c r="C829" s="1" t="s">
        <v>161</v>
      </c>
      <c r="D829" s="1" t="s">
        <v>21</v>
      </c>
      <c r="E829" s="1" t="s">
        <v>22</v>
      </c>
      <c r="F829" s="1" t="s">
        <v>23</v>
      </c>
      <c r="G829" s="1" t="s">
        <v>33</v>
      </c>
      <c r="H829" s="1" t="s">
        <v>25</v>
      </c>
      <c r="I829" s="1" t="s">
        <v>81</v>
      </c>
      <c r="J829" s="1" t="s">
        <v>82</v>
      </c>
      <c r="K829" s="1" t="s">
        <v>61</v>
      </c>
      <c r="L829">
        <v>1</v>
      </c>
      <c r="M829">
        <v>2999</v>
      </c>
      <c r="N829">
        <v>0</v>
      </c>
      <c r="O829">
        <v>2999</v>
      </c>
      <c r="P829">
        <v>1750</v>
      </c>
      <c r="Q829">
        <v>1750</v>
      </c>
      <c r="R829">
        <v>0</v>
      </c>
      <c r="S829">
        <v>1249</v>
      </c>
    </row>
    <row r="830" spans="1:19" x14ac:dyDescent="0.3">
      <c r="A830" s="1" t="s">
        <v>1291</v>
      </c>
      <c r="B830" s="4">
        <v>45691</v>
      </c>
      <c r="C830" s="1" t="s">
        <v>204</v>
      </c>
      <c r="D830" s="1" t="s">
        <v>40</v>
      </c>
      <c r="E830" s="1" t="s">
        <v>70</v>
      </c>
      <c r="F830" s="1" t="s">
        <v>70</v>
      </c>
      <c r="G830" s="1" t="s">
        <v>42</v>
      </c>
      <c r="H830" s="1" t="s">
        <v>71</v>
      </c>
      <c r="I830" s="1" t="s">
        <v>72</v>
      </c>
      <c r="J830" s="1" t="s">
        <v>73</v>
      </c>
      <c r="K830" s="1" t="s">
        <v>28</v>
      </c>
      <c r="L830">
        <v>3</v>
      </c>
      <c r="M830">
        <v>2199</v>
      </c>
      <c r="N830">
        <v>0.1</v>
      </c>
      <c r="O830">
        <v>5937.3</v>
      </c>
      <c r="P830">
        <v>1250</v>
      </c>
      <c r="Q830">
        <v>3750</v>
      </c>
      <c r="R830">
        <v>40</v>
      </c>
      <c r="S830">
        <v>2147.3000000000002</v>
      </c>
    </row>
    <row r="831" spans="1:19" x14ac:dyDescent="0.3">
      <c r="A831" s="1" t="s">
        <v>1292</v>
      </c>
      <c r="B831" s="4">
        <v>45691</v>
      </c>
      <c r="C831" s="1" t="s">
        <v>1293</v>
      </c>
      <c r="D831" s="1" t="s">
        <v>40</v>
      </c>
      <c r="E831" s="1" t="s">
        <v>96</v>
      </c>
      <c r="F831" s="1" t="s">
        <v>97</v>
      </c>
      <c r="G831" s="1" t="s">
        <v>33</v>
      </c>
      <c r="H831" s="1" t="s">
        <v>34</v>
      </c>
      <c r="I831" s="1" t="s">
        <v>81</v>
      </c>
      <c r="J831" s="1" t="s">
        <v>82</v>
      </c>
      <c r="K831" s="1" t="s">
        <v>61</v>
      </c>
      <c r="L831">
        <v>2</v>
      </c>
      <c r="M831">
        <v>2999</v>
      </c>
      <c r="N831">
        <v>0.1</v>
      </c>
      <c r="O831">
        <v>5398.2</v>
      </c>
      <c r="P831">
        <v>1750</v>
      </c>
      <c r="Q831">
        <v>3500</v>
      </c>
      <c r="R831">
        <v>0</v>
      </c>
      <c r="S831">
        <v>1898.2</v>
      </c>
    </row>
    <row r="832" spans="1:19" x14ac:dyDescent="0.3">
      <c r="A832" s="1" t="s">
        <v>1294</v>
      </c>
      <c r="B832" s="4">
        <v>45691</v>
      </c>
      <c r="C832" s="1" t="s">
        <v>1295</v>
      </c>
      <c r="D832" s="1" t="s">
        <v>21</v>
      </c>
      <c r="E832" s="1" t="s">
        <v>54</v>
      </c>
      <c r="F832" s="1" t="s">
        <v>55</v>
      </c>
      <c r="G832" s="1" t="s">
        <v>42</v>
      </c>
      <c r="H832" s="1" t="s">
        <v>56</v>
      </c>
      <c r="I832" s="1" t="s">
        <v>72</v>
      </c>
      <c r="J832" s="1" t="s">
        <v>73</v>
      </c>
      <c r="K832" s="1" t="s">
        <v>28</v>
      </c>
      <c r="L832">
        <v>1</v>
      </c>
      <c r="M832">
        <v>2199</v>
      </c>
      <c r="N832">
        <v>0</v>
      </c>
      <c r="O832">
        <v>2199</v>
      </c>
      <c r="P832">
        <v>1250</v>
      </c>
      <c r="Q832">
        <v>1250</v>
      </c>
      <c r="R832">
        <v>100</v>
      </c>
      <c r="S832">
        <v>849</v>
      </c>
    </row>
    <row r="833" spans="1:19" x14ac:dyDescent="0.3">
      <c r="A833" s="1" t="s">
        <v>1296</v>
      </c>
      <c r="B833" s="4">
        <v>45691</v>
      </c>
      <c r="C833" s="1" t="s">
        <v>1189</v>
      </c>
      <c r="D833" s="1" t="s">
        <v>48</v>
      </c>
      <c r="E833" s="1" t="s">
        <v>54</v>
      </c>
      <c r="F833" s="1" t="s">
        <v>55</v>
      </c>
      <c r="G833" s="1" t="s">
        <v>42</v>
      </c>
      <c r="H833" s="1" t="s">
        <v>89</v>
      </c>
      <c r="I833" s="1" t="s">
        <v>59</v>
      </c>
      <c r="J833" s="1" t="s">
        <v>60</v>
      </c>
      <c r="K833" s="1" t="s">
        <v>61</v>
      </c>
      <c r="L833">
        <v>2</v>
      </c>
      <c r="M833">
        <v>999</v>
      </c>
      <c r="N833">
        <v>0</v>
      </c>
      <c r="O833">
        <v>1998</v>
      </c>
      <c r="P833">
        <v>520</v>
      </c>
      <c r="Q833">
        <v>1040</v>
      </c>
      <c r="R833">
        <v>40</v>
      </c>
      <c r="S833">
        <v>918</v>
      </c>
    </row>
    <row r="834" spans="1:19" x14ac:dyDescent="0.3">
      <c r="A834" s="1" t="s">
        <v>1297</v>
      </c>
      <c r="B834" s="4">
        <v>45692</v>
      </c>
      <c r="C834" s="1" t="s">
        <v>1298</v>
      </c>
      <c r="D834" s="1" t="s">
        <v>48</v>
      </c>
      <c r="E834" s="1" t="s">
        <v>96</v>
      </c>
      <c r="F834" s="1" t="s">
        <v>97</v>
      </c>
      <c r="G834" s="1" t="s">
        <v>42</v>
      </c>
      <c r="H834" s="1" t="s">
        <v>89</v>
      </c>
      <c r="I834" s="1" t="s">
        <v>43</v>
      </c>
      <c r="J834" s="1" t="s">
        <v>44</v>
      </c>
      <c r="K834" s="1" t="s">
        <v>45</v>
      </c>
      <c r="L834">
        <v>3</v>
      </c>
      <c r="M834">
        <v>1799</v>
      </c>
      <c r="N834">
        <v>0.2</v>
      </c>
      <c r="O834">
        <v>4317.6000000000004</v>
      </c>
      <c r="P834">
        <v>850</v>
      </c>
      <c r="Q834">
        <v>2550</v>
      </c>
      <c r="R834">
        <v>40</v>
      </c>
      <c r="S834">
        <v>1727.6</v>
      </c>
    </row>
    <row r="835" spans="1:19" x14ac:dyDescent="0.3">
      <c r="A835" s="1" t="s">
        <v>1299</v>
      </c>
      <c r="B835" s="4">
        <v>45693</v>
      </c>
      <c r="C835" s="1" t="s">
        <v>1300</v>
      </c>
      <c r="D835" s="1" t="s">
        <v>40</v>
      </c>
      <c r="E835" s="1" t="s">
        <v>112</v>
      </c>
      <c r="F835" s="1" t="s">
        <v>113</v>
      </c>
      <c r="G835" s="1" t="s">
        <v>33</v>
      </c>
      <c r="H835" s="1" t="s">
        <v>89</v>
      </c>
      <c r="I835" s="1" t="s">
        <v>35</v>
      </c>
      <c r="J835" s="1" t="s">
        <v>36</v>
      </c>
      <c r="K835" s="1" t="s">
        <v>37</v>
      </c>
      <c r="L835">
        <v>2</v>
      </c>
      <c r="M835">
        <v>1299</v>
      </c>
      <c r="N835">
        <v>0</v>
      </c>
      <c r="O835">
        <v>2598</v>
      </c>
      <c r="P835">
        <v>700</v>
      </c>
      <c r="Q835">
        <v>1400</v>
      </c>
      <c r="R835">
        <v>80</v>
      </c>
      <c r="S835">
        <v>1118</v>
      </c>
    </row>
    <row r="836" spans="1:19" x14ac:dyDescent="0.3">
      <c r="A836" s="1" t="s">
        <v>1301</v>
      </c>
      <c r="B836" s="4">
        <v>45694</v>
      </c>
      <c r="C836" s="1" t="s">
        <v>516</v>
      </c>
      <c r="D836" s="1" t="s">
        <v>40</v>
      </c>
      <c r="E836" s="1" t="s">
        <v>70</v>
      </c>
      <c r="F836" s="1" t="s">
        <v>70</v>
      </c>
      <c r="G836" s="1" t="s">
        <v>24</v>
      </c>
      <c r="H836" s="1" t="s">
        <v>34</v>
      </c>
      <c r="I836" s="1" t="s">
        <v>66</v>
      </c>
      <c r="J836" s="1" t="s">
        <v>67</v>
      </c>
      <c r="K836" s="1" t="s">
        <v>28</v>
      </c>
      <c r="L836">
        <v>2</v>
      </c>
      <c r="M836">
        <v>2499</v>
      </c>
      <c r="N836">
        <v>0.15</v>
      </c>
      <c r="O836">
        <v>4248.3</v>
      </c>
      <c r="P836">
        <v>1450</v>
      </c>
      <c r="Q836">
        <v>2900</v>
      </c>
      <c r="R836">
        <v>60</v>
      </c>
      <c r="S836">
        <v>1288.3</v>
      </c>
    </row>
    <row r="837" spans="1:19" x14ac:dyDescent="0.3">
      <c r="A837" s="1" t="s">
        <v>1302</v>
      </c>
      <c r="B837" s="4">
        <v>45694</v>
      </c>
      <c r="C837" s="1" t="s">
        <v>69</v>
      </c>
      <c r="D837" s="1" t="s">
        <v>48</v>
      </c>
      <c r="E837" s="1" t="s">
        <v>124</v>
      </c>
      <c r="F837" s="1" t="s">
        <v>125</v>
      </c>
      <c r="G837" s="1" t="s">
        <v>24</v>
      </c>
      <c r="H837" s="1" t="s">
        <v>34</v>
      </c>
      <c r="I837" s="1" t="s">
        <v>134</v>
      </c>
      <c r="J837" s="1" t="s">
        <v>135</v>
      </c>
      <c r="K837" s="1" t="s">
        <v>136</v>
      </c>
      <c r="L837">
        <v>3</v>
      </c>
      <c r="M837">
        <v>299</v>
      </c>
      <c r="N837">
        <v>0.05</v>
      </c>
      <c r="O837">
        <v>852.15</v>
      </c>
      <c r="P837">
        <v>110</v>
      </c>
      <c r="Q837">
        <v>330</v>
      </c>
      <c r="R837">
        <v>100</v>
      </c>
      <c r="S837">
        <v>422.15</v>
      </c>
    </row>
    <row r="838" spans="1:19" x14ac:dyDescent="0.3">
      <c r="A838" s="1" t="s">
        <v>1303</v>
      </c>
      <c r="B838" s="4">
        <v>45694</v>
      </c>
      <c r="C838" s="1" t="s">
        <v>1174</v>
      </c>
      <c r="D838" s="1" t="s">
        <v>48</v>
      </c>
      <c r="E838" s="1" t="s">
        <v>120</v>
      </c>
      <c r="F838" s="1" t="s">
        <v>121</v>
      </c>
      <c r="G838" s="1" t="s">
        <v>33</v>
      </c>
      <c r="H838" s="1" t="s">
        <v>25</v>
      </c>
      <c r="I838" s="1" t="s">
        <v>85</v>
      </c>
      <c r="J838" s="1" t="s">
        <v>86</v>
      </c>
      <c r="K838" s="1" t="s">
        <v>45</v>
      </c>
      <c r="L838">
        <v>1</v>
      </c>
      <c r="M838">
        <v>599</v>
      </c>
      <c r="N838">
        <v>0.2</v>
      </c>
      <c r="O838">
        <v>479.2</v>
      </c>
      <c r="P838">
        <v>240</v>
      </c>
      <c r="Q838">
        <v>240</v>
      </c>
      <c r="R838">
        <v>0</v>
      </c>
      <c r="S838">
        <v>239.2</v>
      </c>
    </row>
    <row r="839" spans="1:19" x14ac:dyDescent="0.3">
      <c r="A839" s="1" t="s">
        <v>1304</v>
      </c>
      <c r="B839" s="4">
        <v>45694</v>
      </c>
      <c r="C839" s="1" t="s">
        <v>409</v>
      </c>
      <c r="D839" s="1" t="s">
        <v>48</v>
      </c>
      <c r="E839" s="1" t="s">
        <v>54</v>
      </c>
      <c r="F839" s="1" t="s">
        <v>55</v>
      </c>
      <c r="G839" s="1" t="s">
        <v>24</v>
      </c>
      <c r="H839" s="1" t="s">
        <v>89</v>
      </c>
      <c r="I839" s="1" t="s">
        <v>59</v>
      </c>
      <c r="J839" s="1" t="s">
        <v>60</v>
      </c>
      <c r="K839" s="1" t="s">
        <v>61</v>
      </c>
      <c r="L839">
        <v>4</v>
      </c>
      <c r="M839">
        <v>999</v>
      </c>
      <c r="N839">
        <v>0.15</v>
      </c>
      <c r="O839">
        <v>3396.6</v>
      </c>
      <c r="P839">
        <v>520</v>
      </c>
      <c r="Q839">
        <v>2080</v>
      </c>
      <c r="R839">
        <v>40</v>
      </c>
      <c r="S839">
        <v>1276.5999999999999</v>
      </c>
    </row>
    <row r="840" spans="1:19" x14ac:dyDescent="0.3">
      <c r="A840" s="1" t="s">
        <v>1305</v>
      </c>
      <c r="B840" s="4">
        <v>45695</v>
      </c>
      <c r="C840" s="1" t="s">
        <v>47</v>
      </c>
      <c r="D840" s="1" t="s">
        <v>21</v>
      </c>
      <c r="E840" s="1" t="s">
        <v>96</v>
      </c>
      <c r="F840" s="1" t="s">
        <v>97</v>
      </c>
      <c r="G840" s="1" t="s">
        <v>33</v>
      </c>
      <c r="H840" s="1" t="s">
        <v>25</v>
      </c>
      <c r="I840" s="1" t="s">
        <v>76</v>
      </c>
      <c r="J840" s="1" t="s">
        <v>77</v>
      </c>
      <c r="K840" s="1" t="s">
        <v>37</v>
      </c>
      <c r="L840">
        <v>3</v>
      </c>
      <c r="M840">
        <v>6999</v>
      </c>
      <c r="N840">
        <v>0.1</v>
      </c>
      <c r="O840">
        <v>18897.3</v>
      </c>
      <c r="P840">
        <v>4900</v>
      </c>
      <c r="Q840">
        <v>14700</v>
      </c>
      <c r="R840">
        <v>0</v>
      </c>
      <c r="S840">
        <v>4197.3</v>
      </c>
    </row>
    <row r="841" spans="1:19" x14ac:dyDescent="0.3">
      <c r="A841" s="1" t="s">
        <v>1306</v>
      </c>
      <c r="B841" s="4">
        <v>45696</v>
      </c>
      <c r="C841" s="1" t="s">
        <v>1307</v>
      </c>
      <c r="D841" s="1" t="s">
        <v>21</v>
      </c>
      <c r="E841" s="1" t="s">
        <v>41</v>
      </c>
      <c r="F841" s="1" t="s">
        <v>32</v>
      </c>
      <c r="G841" s="1" t="s">
        <v>24</v>
      </c>
      <c r="H841" s="1" t="s">
        <v>71</v>
      </c>
      <c r="I841" s="1" t="s">
        <v>59</v>
      </c>
      <c r="J841" s="1" t="s">
        <v>60</v>
      </c>
      <c r="K841" s="1" t="s">
        <v>61</v>
      </c>
      <c r="L841">
        <v>3</v>
      </c>
      <c r="M841">
        <v>999</v>
      </c>
      <c r="N841">
        <v>0</v>
      </c>
      <c r="O841">
        <v>2997</v>
      </c>
      <c r="P841">
        <v>520</v>
      </c>
      <c r="Q841">
        <v>1560</v>
      </c>
      <c r="R841">
        <v>40</v>
      </c>
      <c r="S841">
        <v>1397</v>
      </c>
    </row>
    <row r="842" spans="1:19" x14ac:dyDescent="0.3">
      <c r="A842" s="1" t="s">
        <v>1308</v>
      </c>
      <c r="B842" s="4">
        <v>45697</v>
      </c>
      <c r="C842" s="1" t="s">
        <v>30</v>
      </c>
      <c r="D842" s="1" t="s">
        <v>40</v>
      </c>
      <c r="E842" s="1" t="s">
        <v>112</v>
      </c>
      <c r="F842" s="1" t="s">
        <v>113</v>
      </c>
      <c r="G842" s="1" t="s">
        <v>24</v>
      </c>
      <c r="H842" s="1" t="s">
        <v>25</v>
      </c>
      <c r="I842" s="1" t="s">
        <v>76</v>
      </c>
      <c r="J842" s="1" t="s">
        <v>77</v>
      </c>
      <c r="K842" s="1" t="s">
        <v>37</v>
      </c>
      <c r="L842">
        <v>1</v>
      </c>
      <c r="M842">
        <v>6999</v>
      </c>
      <c r="N842">
        <v>0.2</v>
      </c>
      <c r="O842">
        <v>5599.2</v>
      </c>
      <c r="P842">
        <v>4900</v>
      </c>
      <c r="Q842">
        <v>4900</v>
      </c>
      <c r="R842">
        <v>40</v>
      </c>
      <c r="S842">
        <v>659.2</v>
      </c>
    </row>
    <row r="843" spans="1:19" x14ac:dyDescent="0.3">
      <c r="A843" s="1" t="s">
        <v>1309</v>
      </c>
      <c r="B843" s="4">
        <v>45697</v>
      </c>
      <c r="C843" s="1" t="s">
        <v>611</v>
      </c>
      <c r="D843" s="1" t="s">
        <v>48</v>
      </c>
      <c r="E843" s="1" t="s">
        <v>96</v>
      </c>
      <c r="F843" s="1" t="s">
        <v>97</v>
      </c>
      <c r="G843" s="1" t="s">
        <v>24</v>
      </c>
      <c r="H843" s="1" t="s">
        <v>56</v>
      </c>
      <c r="I843" s="1" t="s">
        <v>51</v>
      </c>
      <c r="J843" s="1" t="s">
        <v>52</v>
      </c>
      <c r="K843" s="1" t="s">
        <v>37</v>
      </c>
      <c r="L843">
        <v>1</v>
      </c>
      <c r="M843">
        <v>499</v>
      </c>
      <c r="N843">
        <v>0</v>
      </c>
      <c r="O843">
        <v>499</v>
      </c>
      <c r="P843">
        <v>180</v>
      </c>
      <c r="Q843">
        <v>180</v>
      </c>
      <c r="R843">
        <v>100</v>
      </c>
      <c r="S843">
        <v>219</v>
      </c>
    </row>
    <row r="844" spans="1:19" x14ac:dyDescent="0.3">
      <c r="A844" s="1" t="s">
        <v>1310</v>
      </c>
      <c r="B844" s="4">
        <v>45697</v>
      </c>
      <c r="C844" s="1" t="s">
        <v>755</v>
      </c>
      <c r="D844" s="1" t="s">
        <v>21</v>
      </c>
      <c r="E844" s="1" t="s">
        <v>31</v>
      </c>
      <c r="F844" s="1" t="s">
        <v>32</v>
      </c>
      <c r="G844" s="1" t="s">
        <v>42</v>
      </c>
      <c r="H844" s="1" t="s">
        <v>56</v>
      </c>
      <c r="I844" s="1" t="s">
        <v>26</v>
      </c>
      <c r="J844" s="1" t="s">
        <v>27</v>
      </c>
      <c r="K844" s="1" t="s">
        <v>28</v>
      </c>
      <c r="L844">
        <v>3</v>
      </c>
      <c r="M844">
        <v>799</v>
      </c>
      <c r="N844">
        <v>0</v>
      </c>
      <c r="O844">
        <v>2397</v>
      </c>
      <c r="P844">
        <v>420</v>
      </c>
      <c r="Q844">
        <v>1260</v>
      </c>
      <c r="R844">
        <v>80</v>
      </c>
      <c r="S844">
        <v>1057</v>
      </c>
    </row>
    <row r="845" spans="1:19" x14ac:dyDescent="0.3">
      <c r="A845" s="1" t="s">
        <v>1311</v>
      </c>
      <c r="B845" s="4">
        <v>45697</v>
      </c>
      <c r="C845" s="1" t="s">
        <v>208</v>
      </c>
      <c r="D845" s="1" t="s">
        <v>21</v>
      </c>
      <c r="E845" s="1" t="s">
        <v>70</v>
      </c>
      <c r="F845" s="1" t="s">
        <v>70</v>
      </c>
      <c r="G845" s="1" t="s">
        <v>33</v>
      </c>
      <c r="H845" s="1" t="s">
        <v>89</v>
      </c>
      <c r="I845" s="1" t="s">
        <v>51</v>
      </c>
      <c r="J845" s="1" t="s">
        <v>52</v>
      </c>
      <c r="K845" s="1" t="s">
        <v>37</v>
      </c>
      <c r="L845">
        <v>1</v>
      </c>
      <c r="M845">
        <v>499</v>
      </c>
      <c r="N845">
        <v>0.1</v>
      </c>
      <c r="O845">
        <v>449.1</v>
      </c>
      <c r="P845">
        <v>180</v>
      </c>
      <c r="Q845">
        <v>180</v>
      </c>
      <c r="R845">
        <v>100</v>
      </c>
      <c r="S845">
        <v>169.1</v>
      </c>
    </row>
    <row r="846" spans="1:19" x14ac:dyDescent="0.3">
      <c r="A846" s="1" t="s">
        <v>1312</v>
      </c>
      <c r="B846" s="4">
        <v>45698</v>
      </c>
      <c r="C846" s="1" t="s">
        <v>1106</v>
      </c>
      <c r="D846" s="1" t="s">
        <v>48</v>
      </c>
      <c r="E846" s="1" t="s">
        <v>124</v>
      </c>
      <c r="F846" s="1" t="s">
        <v>125</v>
      </c>
      <c r="G846" s="1" t="s">
        <v>33</v>
      </c>
      <c r="H846" s="1" t="s">
        <v>34</v>
      </c>
      <c r="I846" s="1" t="s">
        <v>26</v>
      </c>
      <c r="J846" s="1" t="s">
        <v>27</v>
      </c>
      <c r="K846" s="1" t="s">
        <v>28</v>
      </c>
      <c r="L846">
        <v>1</v>
      </c>
      <c r="M846">
        <v>799</v>
      </c>
      <c r="N846">
        <v>0</v>
      </c>
      <c r="O846">
        <v>799</v>
      </c>
      <c r="P846">
        <v>420</v>
      </c>
      <c r="Q846">
        <v>420</v>
      </c>
      <c r="R846">
        <v>40</v>
      </c>
      <c r="S846">
        <v>339</v>
      </c>
    </row>
    <row r="847" spans="1:19" x14ac:dyDescent="0.3">
      <c r="A847" s="1" t="s">
        <v>1313</v>
      </c>
      <c r="B847" s="4">
        <v>45699</v>
      </c>
      <c r="C847" s="1" t="s">
        <v>372</v>
      </c>
      <c r="D847" s="1" t="s">
        <v>40</v>
      </c>
      <c r="E847" s="1" t="s">
        <v>54</v>
      </c>
      <c r="F847" s="1" t="s">
        <v>55</v>
      </c>
      <c r="G847" s="1" t="s">
        <v>33</v>
      </c>
      <c r="H847" s="1" t="s">
        <v>89</v>
      </c>
      <c r="I847" s="1" t="s">
        <v>81</v>
      </c>
      <c r="J847" s="1" t="s">
        <v>82</v>
      </c>
      <c r="K847" s="1" t="s">
        <v>61</v>
      </c>
      <c r="L847">
        <v>2</v>
      </c>
      <c r="M847">
        <v>2999</v>
      </c>
      <c r="N847">
        <v>0</v>
      </c>
      <c r="O847">
        <v>5998</v>
      </c>
      <c r="P847">
        <v>1750</v>
      </c>
      <c r="Q847">
        <v>3500</v>
      </c>
      <c r="R847">
        <v>0</v>
      </c>
      <c r="S847">
        <v>2498</v>
      </c>
    </row>
    <row r="848" spans="1:19" x14ac:dyDescent="0.3">
      <c r="A848" s="1" t="s">
        <v>1314</v>
      </c>
      <c r="B848" s="4">
        <v>45699</v>
      </c>
      <c r="C848" s="1" t="s">
        <v>476</v>
      </c>
      <c r="D848" s="1" t="s">
        <v>48</v>
      </c>
      <c r="E848" s="1" t="s">
        <v>70</v>
      </c>
      <c r="F848" s="1" t="s">
        <v>70</v>
      </c>
      <c r="G848" s="1" t="s">
        <v>33</v>
      </c>
      <c r="H848" s="1" t="s">
        <v>89</v>
      </c>
      <c r="I848" s="1" t="s">
        <v>43</v>
      </c>
      <c r="J848" s="1" t="s">
        <v>44</v>
      </c>
      <c r="K848" s="1" t="s">
        <v>45</v>
      </c>
      <c r="L848">
        <v>2</v>
      </c>
      <c r="M848">
        <v>1799</v>
      </c>
      <c r="N848">
        <v>0.15</v>
      </c>
      <c r="O848">
        <v>3058.3</v>
      </c>
      <c r="P848">
        <v>850</v>
      </c>
      <c r="Q848">
        <v>1700</v>
      </c>
      <c r="R848">
        <v>0</v>
      </c>
      <c r="S848">
        <v>1358.3</v>
      </c>
    </row>
    <row r="849" spans="1:19" x14ac:dyDescent="0.3">
      <c r="A849" s="1" t="s">
        <v>1315</v>
      </c>
      <c r="B849" s="4">
        <v>45699</v>
      </c>
      <c r="C849" s="1" t="s">
        <v>232</v>
      </c>
      <c r="D849" s="1" t="s">
        <v>21</v>
      </c>
      <c r="E849" s="1" t="s">
        <v>49</v>
      </c>
      <c r="F849" s="1" t="s">
        <v>50</v>
      </c>
      <c r="G849" s="1" t="s">
        <v>42</v>
      </c>
      <c r="H849" s="1" t="s">
        <v>34</v>
      </c>
      <c r="I849" s="1" t="s">
        <v>72</v>
      </c>
      <c r="J849" s="1" t="s">
        <v>73</v>
      </c>
      <c r="K849" s="1" t="s">
        <v>28</v>
      </c>
      <c r="L849">
        <v>2</v>
      </c>
      <c r="M849">
        <v>2199</v>
      </c>
      <c r="N849">
        <v>0</v>
      </c>
      <c r="O849">
        <v>4398</v>
      </c>
      <c r="P849">
        <v>1250</v>
      </c>
      <c r="Q849">
        <v>2500</v>
      </c>
      <c r="R849">
        <v>100</v>
      </c>
      <c r="S849">
        <v>1798</v>
      </c>
    </row>
    <row r="850" spans="1:19" x14ac:dyDescent="0.3">
      <c r="A850" s="1" t="s">
        <v>1316</v>
      </c>
      <c r="B850" s="4">
        <v>45701</v>
      </c>
      <c r="C850" s="1" t="s">
        <v>688</v>
      </c>
      <c r="D850" s="1" t="s">
        <v>48</v>
      </c>
      <c r="E850" s="1" t="s">
        <v>41</v>
      </c>
      <c r="F850" s="1" t="s">
        <v>32</v>
      </c>
      <c r="G850" s="1" t="s">
        <v>24</v>
      </c>
      <c r="H850" s="1" t="s">
        <v>25</v>
      </c>
      <c r="I850" s="1" t="s">
        <v>51</v>
      </c>
      <c r="J850" s="1" t="s">
        <v>52</v>
      </c>
      <c r="K850" s="1" t="s">
        <v>37</v>
      </c>
      <c r="L850">
        <v>1</v>
      </c>
      <c r="M850">
        <v>499</v>
      </c>
      <c r="N850">
        <v>0.1</v>
      </c>
      <c r="O850">
        <v>449.1</v>
      </c>
      <c r="P850">
        <v>180</v>
      </c>
      <c r="Q850">
        <v>180</v>
      </c>
      <c r="R850">
        <v>40</v>
      </c>
      <c r="S850">
        <v>229.1</v>
      </c>
    </row>
    <row r="851" spans="1:19" x14ac:dyDescent="0.3">
      <c r="A851" s="1" t="s">
        <v>1317</v>
      </c>
      <c r="B851" s="4">
        <v>45701</v>
      </c>
      <c r="C851" s="1" t="s">
        <v>611</v>
      </c>
      <c r="D851" s="1" t="s">
        <v>48</v>
      </c>
      <c r="E851" s="1" t="s">
        <v>112</v>
      </c>
      <c r="F851" s="1" t="s">
        <v>113</v>
      </c>
      <c r="G851" s="1" t="s">
        <v>24</v>
      </c>
      <c r="H851" s="1" t="s">
        <v>25</v>
      </c>
      <c r="I851" s="1" t="s">
        <v>72</v>
      </c>
      <c r="J851" s="1" t="s">
        <v>73</v>
      </c>
      <c r="K851" s="1" t="s">
        <v>28</v>
      </c>
      <c r="L851">
        <v>2</v>
      </c>
      <c r="M851">
        <v>2199</v>
      </c>
      <c r="N851">
        <v>0</v>
      </c>
      <c r="O851">
        <v>4398</v>
      </c>
      <c r="P851">
        <v>1250</v>
      </c>
      <c r="Q851">
        <v>2500</v>
      </c>
      <c r="R851">
        <v>60</v>
      </c>
      <c r="S851">
        <v>1838</v>
      </c>
    </row>
    <row r="852" spans="1:19" x14ac:dyDescent="0.3">
      <c r="A852" s="1" t="s">
        <v>1318</v>
      </c>
      <c r="B852" s="4">
        <v>45702</v>
      </c>
      <c r="C852" s="1" t="s">
        <v>123</v>
      </c>
      <c r="D852" s="1" t="s">
        <v>40</v>
      </c>
      <c r="E852" s="1" t="s">
        <v>49</v>
      </c>
      <c r="F852" s="1" t="s">
        <v>50</v>
      </c>
      <c r="G852" s="1" t="s">
        <v>33</v>
      </c>
      <c r="H852" s="1" t="s">
        <v>56</v>
      </c>
      <c r="I852" s="1" t="s">
        <v>76</v>
      </c>
      <c r="J852" s="1" t="s">
        <v>77</v>
      </c>
      <c r="K852" s="1" t="s">
        <v>37</v>
      </c>
      <c r="L852">
        <v>4</v>
      </c>
      <c r="M852">
        <v>6999</v>
      </c>
      <c r="N852">
        <v>0.15</v>
      </c>
      <c r="O852">
        <v>23796.6</v>
      </c>
      <c r="P852">
        <v>4900</v>
      </c>
      <c r="Q852">
        <v>19600</v>
      </c>
      <c r="R852">
        <v>0</v>
      </c>
      <c r="S852">
        <v>4196.6000000000004</v>
      </c>
    </row>
    <row r="853" spans="1:19" x14ac:dyDescent="0.3">
      <c r="A853" s="1" t="s">
        <v>1319</v>
      </c>
      <c r="B853" s="4">
        <v>45702</v>
      </c>
      <c r="C853" s="1" t="s">
        <v>411</v>
      </c>
      <c r="D853" s="1" t="s">
        <v>21</v>
      </c>
      <c r="E853" s="1" t="s">
        <v>31</v>
      </c>
      <c r="F853" s="1" t="s">
        <v>32</v>
      </c>
      <c r="G853" s="1" t="s">
        <v>42</v>
      </c>
      <c r="H853" s="1" t="s">
        <v>25</v>
      </c>
      <c r="I853" s="1" t="s">
        <v>81</v>
      </c>
      <c r="J853" s="1" t="s">
        <v>82</v>
      </c>
      <c r="K853" s="1" t="s">
        <v>61</v>
      </c>
      <c r="L853">
        <v>2</v>
      </c>
      <c r="M853">
        <v>2999</v>
      </c>
      <c r="N853">
        <v>0.2</v>
      </c>
      <c r="O853">
        <v>4798.3999999999996</v>
      </c>
      <c r="P853">
        <v>1750</v>
      </c>
      <c r="Q853">
        <v>3500</v>
      </c>
      <c r="R853">
        <v>0</v>
      </c>
      <c r="S853">
        <v>1298.4000000000001</v>
      </c>
    </row>
    <row r="854" spans="1:19" x14ac:dyDescent="0.3">
      <c r="A854" s="1" t="s">
        <v>1320</v>
      </c>
      <c r="B854" s="4">
        <v>45702</v>
      </c>
      <c r="C854" s="1" t="s">
        <v>1321</v>
      </c>
      <c r="D854" s="1" t="s">
        <v>48</v>
      </c>
      <c r="E854" s="1" t="s">
        <v>96</v>
      </c>
      <c r="F854" s="1" t="s">
        <v>97</v>
      </c>
      <c r="G854" s="1" t="s">
        <v>42</v>
      </c>
      <c r="H854" s="1" t="s">
        <v>34</v>
      </c>
      <c r="I854" s="1" t="s">
        <v>134</v>
      </c>
      <c r="J854" s="1" t="s">
        <v>135</v>
      </c>
      <c r="K854" s="1" t="s">
        <v>136</v>
      </c>
      <c r="L854">
        <v>1</v>
      </c>
      <c r="M854">
        <v>299</v>
      </c>
      <c r="N854">
        <v>0.1</v>
      </c>
      <c r="O854">
        <v>269.10000000000002</v>
      </c>
      <c r="P854">
        <v>110</v>
      </c>
      <c r="Q854">
        <v>110</v>
      </c>
      <c r="R854">
        <v>40</v>
      </c>
      <c r="S854">
        <v>119.1</v>
      </c>
    </row>
    <row r="855" spans="1:19" x14ac:dyDescent="0.3">
      <c r="A855" s="1" t="s">
        <v>1322</v>
      </c>
      <c r="B855" s="4">
        <v>45702</v>
      </c>
      <c r="C855" s="1" t="s">
        <v>351</v>
      </c>
      <c r="D855" s="1" t="s">
        <v>40</v>
      </c>
      <c r="E855" s="1" t="s">
        <v>54</v>
      </c>
      <c r="F855" s="1" t="s">
        <v>55</v>
      </c>
      <c r="G855" s="1" t="s">
        <v>24</v>
      </c>
      <c r="H855" s="1" t="s">
        <v>34</v>
      </c>
      <c r="I855" s="1" t="s">
        <v>134</v>
      </c>
      <c r="J855" s="1" t="s">
        <v>135</v>
      </c>
      <c r="K855" s="1" t="s">
        <v>136</v>
      </c>
      <c r="L855">
        <v>2</v>
      </c>
      <c r="M855">
        <v>299</v>
      </c>
      <c r="N855">
        <v>0.05</v>
      </c>
      <c r="O855">
        <v>568.1</v>
      </c>
      <c r="P855">
        <v>110</v>
      </c>
      <c r="Q855">
        <v>220</v>
      </c>
      <c r="R855">
        <v>100</v>
      </c>
      <c r="S855">
        <v>248.1</v>
      </c>
    </row>
    <row r="856" spans="1:19" x14ac:dyDescent="0.3">
      <c r="A856" s="1" t="s">
        <v>1323</v>
      </c>
      <c r="B856" s="4">
        <v>45703</v>
      </c>
      <c r="C856" s="1" t="s">
        <v>263</v>
      </c>
      <c r="D856" s="1" t="s">
        <v>21</v>
      </c>
      <c r="E856" s="1" t="s">
        <v>112</v>
      </c>
      <c r="F856" s="1" t="s">
        <v>113</v>
      </c>
      <c r="G856" s="1" t="s">
        <v>42</v>
      </c>
      <c r="H856" s="1" t="s">
        <v>89</v>
      </c>
      <c r="I856" s="1" t="s">
        <v>134</v>
      </c>
      <c r="J856" s="1" t="s">
        <v>135</v>
      </c>
      <c r="K856" s="1" t="s">
        <v>136</v>
      </c>
      <c r="L856">
        <v>1</v>
      </c>
      <c r="M856">
        <v>299</v>
      </c>
      <c r="N856">
        <v>0</v>
      </c>
      <c r="O856">
        <v>299</v>
      </c>
      <c r="P856">
        <v>110</v>
      </c>
      <c r="Q856">
        <v>110</v>
      </c>
      <c r="R856">
        <v>60</v>
      </c>
      <c r="S856">
        <v>129</v>
      </c>
    </row>
    <row r="857" spans="1:19" x14ac:dyDescent="0.3">
      <c r="A857" s="1" t="s">
        <v>1324</v>
      </c>
      <c r="B857" s="4">
        <v>45704</v>
      </c>
      <c r="C857" s="1" t="s">
        <v>824</v>
      </c>
      <c r="D857" s="1" t="s">
        <v>21</v>
      </c>
      <c r="E857" s="1" t="s">
        <v>64</v>
      </c>
      <c r="F857" s="1" t="s">
        <v>65</v>
      </c>
      <c r="G857" s="1" t="s">
        <v>24</v>
      </c>
      <c r="H857" s="1" t="s">
        <v>25</v>
      </c>
      <c r="I857" s="1" t="s">
        <v>85</v>
      </c>
      <c r="J857" s="1" t="s">
        <v>86</v>
      </c>
      <c r="K857" s="1" t="s">
        <v>45</v>
      </c>
      <c r="L857">
        <v>3</v>
      </c>
      <c r="M857">
        <v>599</v>
      </c>
      <c r="N857">
        <v>0.2</v>
      </c>
      <c r="O857">
        <v>1437.6</v>
      </c>
      <c r="P857">
        <v>240</v>
      </c>
      <c r="Q857">
        <v>720</v>
      </c>
      <c r="R857">
        <v>60</v>
      </c>
      <c r="S857">
        <v>657.6</v>
      </c>
    </row>
    <row r="858" spans="1:19" x14ac:dyDescent="0.3">
      <c r="A858" s="1" t="s">
        <v>1325</v>
      </c>
      <c r="B858" s="4">
        <v>45704</v>
      </c>
      <c r="C858" s="1" t="s">
        <v>155</v>
      </c>
      <c r="D858" s="1" t="s">
        <v>48</v>
      </c>
      <c r="E858" s="1" t="s">
        <v>31</v>
      </c>
      <c r="F858" s="1" t="s">
        <v>32</v>
      </c>
      <c r="G858" s="1" t="s">
        <v>33</v>
      </c>
      <c r="H858" s="1" t="s">
        <v>34</v>
      </c>
      <c r="I858" s="1" t="s">
        <v>134</v>
      </c>
      <c r="J858" s="1" t="s">
        <v>135</v>
      </c>
      <c r="K858" s="1" t="s">
        <v>136</v>
      </c>
      <c r="L858">
        <v>2</v>
      </c>
      <c r="M858">
        <v>299</v>
      </c>
      <c r="N858">
        <v>0.1</v>
      </c>
      <c r="O858">
        <v>538.20000000000005</v>
      </c>
      <c r="P858">
        <v>110</v>
      </c>
      <c r="Q858">
        <v>220</v>
      </c>
      <c r="R858">
        <v>60</v>
      </c>
      <c r="S858">
        <v>258.2</v>
      </c>
    </row>
    <row r="859" spans="1:19" x14ac:dyDescent="0.3">
      <c r="A859" s="1" t="s">
        <v>1326</v>
      </c>
      <c r="B859" s="4">
        <v>45704</v>
      </c>
      <c r="C859" s="1" t="s">
        <v>58</v>
      </c>
      <c r="D859" s="1" t="s">
        <v>40</v>
      </c>
      <c r="E859" s="1" t="s">
        <v>80</v>
      </c>
      <c r="F859" s="1" t="s">
        <v>55</v>
      </c>
      <c r="G859" s="1" t="s">
        <v>24</v>
      </c>
      <c r="H859" s="1" t="s">
        <v>25</v>
      </c>
      <c r="I859" s="1" t="s">
        <v>81</v>
      </c>
      <c r="J859" s="1" t="s">
        <v>82</v>
      </c>
      <c r="K859" s="1" t="s">
        <v>61</v>
      </c>
      <c r="L859">
        <v>2</v>
      </c>
      <c r="M859">
        <v>2999</v>
      </c>
      <c r="N859">
        <v>0.1</v>
      </c>
      <c r="O859">
        <v>5398.2</v>
      </c>
      <c r="P859">
        <v>1750</v>
      </c>
      <c r="Q859">
        <v>3500</v>
      </c>
      <c r="R859">
        <v>40</v>
      </c>
      <c r="S859">
        <v>1858.2</v>
      </c>
    </row>
    <row r="860" spans="1:19" x14ac:dyDescent="0.3">
      <c r="A860" s="1" t="s">
        <v>1327</v>
      </c>
      <c r="B860" s="4">
        <v>45705</v>
      </c>
      <c r="C860" s="1" t="s">
        <v>1328</v>
      </c>
      <c r="D860" s="1" t="s">
        <v>40</v>
      </c>
      <c r="E860" s="1" t="s">
        <v>49</v>
      </c>
      <c r="F860" s="1" t="s">
        <v>50</v>
      </c>
      <c r="G860" s="1" t="s">
        <v>24</v>
      </c>
      <c r="H860" s="1" t="s">
        <v>89</v>
      </c>
      <c r="I860" s="1" t="s">
        <v>26</v>
      </c>
      <c r="J860" s="1" t="s">
        <v>27</v>
      </c>
      <c r="K860" s="1" t="s">
        <v>28</v>
      </c>
      <c r="L860">
        <v>1</v>
      </c>
      <c r="M860">
        <v>799</v>
      </c>
      <c r="N860">
        <v>0.2</v>
      </c>
      <c r="O860">
        <v>639.20000000000005</v>
      </c>
      <c r="P860">
        <v>420</v>
      </c>
      <c r="Q860">
        <v>420</v>
      </c>
      <c r="R860">
        <v>40</v>
      </c>
      <c r="S860">
        <v>179.2</v>
      </c>
    </row>
    <row r="861" spans="1:19" x14ac:dyDescent="0.3">
      <c r="A861" s="1" t="s">
        <v>1329</v>
      </c>
      <c r="B861" s="4">
        <v>45706</v>
      </c>
      <c r="C861" s="1" t="s">
        <v>290</v>
      </c>
      <c r="D861" s="1" t="s">
        <v>21</v>
      </c>
      <c r="E861" s="1" t="s">
        <v>80</v>
      </c>
      <c r="F861" s="1" t="s">
        <v>55</v>
      </c>
      <c r="G861" s="1" t="s">
        <v>33</v>
      </c>
      <c r="H861" s="1" t="s">
        <v>34</v>
      </c>
      <c r="I861" s="1" t="s">
        <v>43</v>
      </c>
      <c r="J861" s="1" t="s">
        <v>44</v>
      </c>
      <c r="K861" s="1" t="s">
        <v>45</v>
      </c>
      <c r="L861">
        <v>2</v>
      </c>
      <c r="M861">
        <v>1799</v>
      </c>
      <c r="N861">
        <v>0</v>
      </c>
      <c r="O861">
        <v>3598</v>
      </c>
      <c r="P861">
        <v>850</v>
      </c>
      <c r="Q861">
        <v>1700</v>
      </c>
      <c r="R861">
        <v>80</v>
      </c>
      <c r="S861">
        <v>1818</v>
      </c>
    </row>
    <row r="862" spans="1:19" x14ac:dyDescent="0.3">
      <c r="A862" s="1" t="s">
        <v>1330</v>
      </c>
      <c r="B862" s="4">
        <v>45708</v>
      </c>
      <c r="C862" s="1" t="s">
        <v>441</v>
      </c>
      <c r="D862" s="1" t="s">
        <v>40</v>
      </c>
      <c r="E862" s="1" t="s">
        <v>22</v>
      </c>
      <c r="F862" s="1" t="s">
        <v>23</v>
      </c>
      <c r="G862" s="1" t="s">
        <v>24</v>
      </c>
      <c r="H862" s="1" t="s">
        <v>71</v>
      </c>
      <c r="I862" s="1" t="s">
        <v>85</v>
      </c>
      <c r="J862" s="1" t="s">
        <v>86</v>
      </c>
      <c r="K862" s="1" t="s">
        <v>45</v>
      </c>
      <c r="L862">
        <v>1</v>
      </c>
      <c r="M862">
        <v>599</v>
      </c>
      <c r="N862">
        <v>0</v>
      </c>
      <c r="O862">
        <v>599</v>
      </c>
      <c r="P862">
        <v>240</v>
      </c>
      <c r="Q862">
        <v>240</v>
      </c>
      <c r="R862">
        <v>100</v>
      </c>
      <c r="S862">
        <v>259</v>
      </c>
    </row>
    <row r="863" spans="1:19" x14ac:dyDescent="0.3">
      <c r="A863" s="1" t="s">
        <v>1331</v>
      </c>
      <c r="B863" s="4">
        <v>45709</v>
      </c>
      <c r="C863" s="1" t="s">
        <v>411</v>
      </c>
      <c r="D863" s="1" t="s">
        <v>21</v>
      </c>
      <c r="E863" s="1" t="s">
        <v>54</v>
      </c>
      <c r="F863" s="1" t="s">
        <v>55</v>
      </c>
      <c r="G863" s="1" t="s">
        <v>33</v>
      </c>
      <c r="H863" s="1" t="s">
        <v>89</v>
      </c>
      <c r="I863" s="1" t="s">
        <v>72</v>
      </c>
      <c r="J863" s="1" t="s">
        <v>73</v>
      </c>
      <c r="K863" s="1" t="s">
        <v>28</v>
      </c>
      <c r="L863">
        <v>2</v>
      </c>
      <c r="M863">
        <v>2199</v>
      </c>
      <c r="N863">
        <v>0.15</v>
      </c>
      <c r="O863">
        <v>3738.3</v>
      </c>
      <c r="P863">
        <v>1250</v>
      </c>
      <c r="Q863">
        <v>2500</v>
      </c>
      <c r="R863">
        <v>40</v>
      </c>
      <c r="S863">
        <v>1198.3</v>
      </c>
    </row>
    <row r="864" spans="1:19" x14ac:dyDescent="0.3">
      <c r="A864" s="1" t="s">
        <v>1332</v>
      </c>
      <c r="B864" s="4">
        <v>45709</v>
      </c>
      <c r="C864" s="1" t="s">
        <v>335</v>
      </c>
      <c r="D864" s="1" t="s">
        <v>48</v>
      </c>
      <c r="E864" s="1" t="s">
        <v>70</v>
      </c>
      <c r="F864" s="1" t="s">
        <v>70</v>
      </c>
      <c r="G864" s="1" t="s">
        <v>24</v>
      </c>
      <c r="H864" s="1" t="s">
        <v>89</v>
      </c>
      <c r="I864" s="1" t="s">
        <v>134</v>
      </c>
      <c r="J864" s="1" t="s">
        <v>135</v>
      </c>
      <c r="K864" s="1" t="s">
        <v>136</v>
      </c>
      <c r="L864">
        <v>2</v>
      </c>
      <c r="M864">
        <v>299</v>
      </c>
      <c r="N864">
        <v>0</v>
      </c>
      <c r="O864">
        <v>598</v>
      </c>
      <c r="P864">
        <v>110</v>
      </c>
      <c r="Q864">
        <v>220</v>
      </c>
      <c r="R864">
        <v>60</v>
      </c>
      <c r="S864">
        <v>318</v>
      </c>
    </row>
    <row r="865" spans="1:19" x14ac:dyDescent="0.3">
      <c r="A865" s="1" t="s">
        <v>1333</v>
      </c>
      <c r="B865" s="4">
        <v>45710</v>
      </c>
      <c r="C865" s="1" t="s">
        <v>1334</v>
      </c>
      <c r="D865" s="1" t="s">
        <v>21</v>
      </c>
      <c r="E865" s="1" t="s">
        <v>124</v>
      </c>
      <c r="F865" s="1" t="s">
        <v>125</v>
      </c>
      <c r="G865" s="1" t="s">
        <v>33</v>
      </c>
      <c r="H865" s="1" t="s">
        <v>34</v>
      </c>
      <c r="I865" s="1" t="s">
        <v>92</v>
      </c>
      <c r="J865" s="1" t="s">
        <v>93</v>
      </c>
      <c r="K865" s="1" t="s">
        <v>28</v>
      </c>
      <c r="L865">
        <v>3</v>
      </c>
      <c r="M865">
        <v>1599</v>
      </c>
      <c r="N865">
        <v>0.2</v>
      </c>
      <c r="O865">
        <v>3837.6</v>
      </c>
      <c r="P865">
        <v>900</v>
      </c>
      <c r="Q865">
        <v>2700</v>
      </c>
      <c r="R865">
        <v>80</v>
      </c>
      <c r="S865">
        <v>1057.5999999999999</v>
      </c>
    </row>
    <row r="866" spans="1:19" x14ac:dyDescent="0.3">
      <c r="A866" s="1" t="s">
        <v>1335</v>
      </c>
      <c r="B866" s="4">
        <v>45712</v>
      </c>
      <c r="C866" s="1" t="s">
        <v>103</v>
      </c>
      <c r="D866" s="1" t="s">
        <v>48</v>
      </c>
      <c r="E866" s="1" t="s">
        <v>31</v>
      </c>
      <c r="F866" s="1" t="s">
        <v>32</v>
      </c>
      <c r="G866" s="1" t="s">
        <v>33</v>
      </c>
      <c r="H866" s="1" t="s">
        <v>56</v>
      </c>
      <c r="I866" s="1" t="s">
        <v>134</v>
      </c>
      <c r="J866" s="1" t="s">
        <v>135</v>
      </c>
      <c r="K866" s="1" t="s">
        <v>136</v>
      </c>
      <c r="L866">
        <v>1</v>
      </c>
      <c r="M866">
        <v>299</v>
      </c>
      <c r="N866">
        <v>0.15</v>
      </c>
      <c r="O866">
        <v>254.15</v>
      </c>
      <c r="P866">
        <v>110</v>
      </c>
      <c r="Q866">
        <v>110</v>
      </c>
      <c r="R866">
        <v>40</v>
      </c>
      <c r="S866">
        <v>104.15</v>
      </c>
    </row>
    <row r="867" spans="1:19" x14ac:dyDescent="0.3">
      <c r="A867" s="1" t="s">
        <v>1336</v>
      </c>
      <c r="B867" s="4">
        <v>45712</v>
      </c>
      <c r="C867" s="1" t="s">
        <v>455</v>
      </c>
      <c r="D867" s="1" t="s">
        <v>48</v>
      </c>
      <c r="E867" s="1" t="s">
        <v>112</v>
      </c>
      <c r="F867" s="1" t="s">
        <v>113</v>
      </c>
      <c r="G867" s="1" t="s">
        <v>42</v>
      </c>
      <c r="H867" s="1" t="s">
        <v>34</v>
      </c>
      <c r="I867" s="1" t="s">
        <v>26</v>
      </c>
      <c r="J867" s="1" t="s">
        <v>27</v>
      </c>
      <c r="K867" s="1" t="s">
        <v>28</v>
      </c>
      <c r="L867">
        <v>1</v>
      </c>
      <c r="M867">
        <v>799</v>
      </c>
      <c r="N867">
        <v>0.1</v>
      </c>
      <c r="O867">
        <v>719.1</v>
      </c>
      <c r="P867">
        <v>420</v>
      </c>
      <c r="Q867">
        <v>420</v>
      </c>
      <c r="R867">
        <v>80</v>
      </c>
      <c r="S867">
        <v>219.1</v>
      </c>
    </row>
    <row r="868" spans="1:19" x14ac:dyDescent="0.3">
      <c r="A868" s="1" t="s">
        <v>1337</v>
      </c>
      <c r="B868" s="4">
        <v>45713</v>
      </c>
      <c r="C868" s="1" t="s">
        <v>1338</v>
      </c>
      <c r="D868" s="1" t="s">
        <v>48</v>
      </c>
      <c r="E868" s="1" t="s">
        <v>49</v>
      </c>
      <c r="F868" s="1" t="s">
        <v>50</v>
      </c>
      <c r="G868" s="1" t="s">
        <v>42</v>
      </c>
      <c r="H868" s="1" t="s">
        <v>56</v>
      </c>
      <c r="I868" s="1" t="s">
        <v>81</v>
      </c>
      <c r="J868" s="1" t="s">
        <v>82</v>
      </c>
      <c r="K868" s="1" t="s">
        <v>61</v>
      </c>
      <c r="L868">
        <v>4</v>
      </c>
      <c r="M868">
        <v>2999</v>
      </c>
      <c r="N868">
        <v>0</v>
      </c>
      <c r="O868">
        <v>11996</v>
      </c>
      <c r="P868">
        <v>1750</v>
      </c>
      <c r="Q868">
        <v>7000</v>
      </c>
      <c r="R868">
        <v>0</v>
      </c>
      <c r="S868">
        <v>4996</v>
      </c>
    </row>
    <row r="869" spans="1:19" x14ac:dyDescent="0.3">
      <c r="A869" s="1" t="s">
        <v>1339</v>
      </c>
      <c r="B869" s="4">
        <v>45713</v>
      </c>
      <c r="C869" s="1" t="s">
        <v>381</v>
      </c>
      <c r="D869" s="1" t="s">
        <v>21</v>
      </c>
      <c r="E869" s="1" t="s">
        <v>80</v>
      </c>
      <c r="F869" s="1" t="s">
        <v>55</v>
      </c>
      <c r="G869" s="1" t="s">
        <v>24</v>
      </c>
      <c r="H869" s="1" t="s">
        <v>89</v>
      </c>
      <c r="I869" s="1" t="s">
        <v>66</v>
      </c>
      <c r="J869" s="1" t="s">
        <v>67</v>
      </c>
      <c r="K869" s="1" t="s">
        <v>28</v>
      </c>
      <c r="L869">
        <v>2</v>
      </c>
      <c r="M869">
        <v>2499</v>
      </c>
      <c r="N869">
        <v>0.15</v>
      </c>
      <c r="O869">
        <v>4248.3</v>
      </c>
      <c r="P869">
        <v>1450</v>
      </c>
      <c r="Q869">
        <v>2900</v>
      </c>
      <c r="R869">
        <v>100</v>
      </c>
      <c r="S869">
        <v>1248.3</v>
      </c>
    </row>
    <row r="870" spans="1:19" x14ac:dyDescent="0.3">
      <c r="A870" s="1" t="s">
        <v>1340</v>
      </c>
      <c r="B870" s="4">
        <v>45713</v>
      </c>
      <c r="C870" s="1" t="s">
        <v>192</v>
      </c>
      <c r="D870" s="1" t="s">
        <v>21</v>
      </c>
      <c r="E870" s="1" t="s">
        <v>22</v>
      </c>
      <c r="F870" s="1" t="s">
        <v>23</v>
      </c>
      <c r="G870" s="1" t="s">
        <v>33</v>
      </c>
      <c r="H870" s="1" t="s">
        <v>56</v>
      </c>
      <c r="I870" s="1" t="s">
        <v>59</v>
      </c>
      <c r="J870" s="1" t="s">
        <v>60</v>
      </c>
      <c r="K870" s="1" t="s">
        <v>61</v>
      </c>
      <c r="L870">
        <v>3</v>
      </c>
      <c r="M870">
        <v>999</v>
      </c>
      <c r="N870">
        <v>0.1</v>
      </c>
      <c r="O870">
        <v>2697.3</v>
      </c>
      <c r="P870">
        <v>520</v>
      </c>
      <c r="Q870">
        <v>1560</v>
      </c>
      <c r="R870">
        <v>80</v>
      </c>
      <c r="S870">
        <v>1057.3</v>
      </c>
    </row>
    <row r="871" spans="1:19" x14ac:dyDescent="0.3">
      <c r="A871" s="1" t="s">
        <v>1341</v>
      </c>
      <c r="B871" s="4">
        <v>45714</v>
      </c>
      <c r="C871" s="1" t="s">
        <v>583</v>
      </c>
      <c r="D871" s="1" t="s">
        <v>48</v>
      </c>
      <c r="E871" s="1" t="s">
        <v>31</v>
      </c>
      <c r="F871" s="1" t="s">
        <v>32</v>
      </c>
      <c r="G871" s="1" t="s">
        <v>33</v>
      </c>
      <c r="H871" s="1" t="s">
        <v>89</v>
      </c>
      <c r="I871" s="1" t="s">
        <v>26</v>
      </c>
      <c r="J871" s="1" t="s">
        <v>27</v>
      </c>
      <c r="K871" s="1" t="s">
        <v>28</v>
      </c>
      <c r="L871">
        <v>2</v>
      </c>
      <c r="M871">
        <v>799</v>
      </c>
      <c r="N871">
        <v>0</v>
      </c>
      <c r="O871">
        <v>1598</v>
      </c>
      <c r="P871">
        <v>420</v>
      </c>
      <c r="Q871">
        <v>840</v>
      </c>
      <c r="R871">
        <v>0</v>
      </c>
      <c r="S871">
        <v>758</v>
      </c>
    </row>
    <row r="872" spans="1:19" x14ac:dyDescent="0.3">
      <c r="A872" s="1" t="s">
        <v>1342</v>
      </c>
      <c r="B872" s="4">
        <v>45714</v>
      </c>
      <c r="C872" s="1" t="s">
        <v>190</v>
      </c>
      <c r="D872" s="1" t="s">
        <v>48</v>
      </c>
      <c r="E872" s="1" t="s">
        <v>31</v>
      </c>
      <c r="F872" s="1" t="s">
        <v>32</v>
      </c>
      <c r="G872" s="1" t="s">
        <v>24</v>
      </c>
      <c r="H872" s="1" t="s">
        <v>56</v>
      </c>
      <c r="I872" s="1" t="s">
        <v>76</v>
      </c>
      <c r="J872" s="1" t="s">
        <v>77</v>
      </c>
      <c r="K872" s="1" t="s">
        <v>37</v>
      </c>
      <c r="L872">
        <v>2</v>
      </c>
      <c r="M872">
        <v>6999</v>
      </c>
      <c r="N872">
        <v>0.2</v>
      </c>
      <c r="O872">
        <v>11198.4</v>
      </c>
      <c r="P872">
        <v>4900</v>
      </c>
      <c r="Q872">
        <v>9800</v>
      </c>
      <c r="R872">
        <v>60</v>
      </c>
      <c r="S872">
        <v>1338.4</v>
      </c>
    </row>
    <row r="873" spans="1:19" x14ac:dyDescent="0.3">
      <c r="A873" s="1" t="s">
        <v>1343</v>
      </c>
      <c r="B873" s="4">
        <v>45714</v>
      </c>
      <c r="C873" s="1" t="s">
        <v>338</v>
      </c>
      <c r="D873" s="1" t="s">
        <v>48</v>
      </c>
      <c r="E873" s="1" t="s">
        <v>96</v>
      </c>
      <c r="F873" s="1" t="s">
        <v>97</v>
      </c>
      <c r="G873" s="1" t="s">
        <v>42</v>
      </c>
      <c r="H873" s="1" t="s">
        <v>71</v>
      </c>
      <c r="I873" s="1" t="s">
        <v>81</v>
      </c>
      <c r="J873" s="1" t="s">
        <v>82</v>
      </c>
      <c r="K873" s="1" t="s">
        <v>61</v>
      </c>
      <c r="L873">
        <v>2</v>
      </c>
      <c r="M873">
        <v>2999</v>
      </c>
      <c r="N873">
        <v>0</v>
      </c>
      <c r="O873">
        <v>5998</v>
      </c>
      <c r="P873">
        <v>1750</v>
      </c>
      <c r="Q873">
        <v>3500</v>
      </c>
      <c r="R873">
        <v>40</v>
      </c>
      <c r="S873">
        <v>2458</v>
      </c>
    </row>
    <row r="874" spans="1:19" x14ac:dyDescent="0.3">
      <c r="A874" s="1" t="s">
        <v>1344</v>
      </c>
      <c r="B874" s="4">
        <v>45714</v>
      </c>
      <c r="C874" s="1" t="s">
        <v>117</v>
      </c>
      <c r="D874" s="1" t="s">
        <v>48</v>
      </c>
      <c r="E874" s="1" t="s">
        <v>22</v>
      </c>
      <c r="F874" s="1" t="s">
        <v>23</v>
      </c>
      <c r="G874" s="1" t="s">
        <v>33</v>
      </c>
      <c r="H874" s="1" t="s">
        <v>89</v>
      </c>
      <c r="I874" s="1" t="s">
        <v>51</v>
      </c>
      <c r="J874" s="1" t="s">
        <v>52</v>
      </c>
      <c r="K874" s="1" t="s">
        <v>37</v>
      </c>
      <c r="L874">
        <v>3</v>
      </c>
      <c r="M874">
        <v>499</v>
      </c>
      <c r="N874">
        <v>0</v>
      </c>
      <c r="O874">
        <v>1497</v>
      </c>
      <c r="P874">
        <v>180</v>
      </c>
      <c r="Q874">
        <v>540</v>
      </c>
      <c r="R874">
        <v>40</v>
      </c>
      <c r="S874">
        <v>917</v>
      </c>
    </row>
    <row r="875" spans="1:19" x14ac:dyDescent="0.3">
      <c r="A875" s="1" t="s">
        <v>1345</v>
      </c>
      <c r="B875" s="4">
        <v>45715</v>
      </c>
      <c r="C875" s="1" t="s">
        <v>1346</v>
      </c>
      <c r="D875" s="1" t="s">
        <v>40</v>
      </c>
      <c r="E875" s="1" t="s">
        <v>54</v>
      </c>
      <c r="F875" s="1" t="s">
        <v>55</v>
      </c>
      <c r="G875" s="1" t="s">
        <v>33</v>
      </c>
      <c r="H875" s="1" t="s">
        <v>34</v>
      </c>
      <c r="I875" s="1" t="s">
        <v>81</v>
      </c>
      <c r="J875" s="1" t="s">
        <v>82</v>
      </c>
      <c r="K875" s="1" t="s">
        <v>61</v>
      </c>
      <c r="L875">
        <v>2</v>
      </c>
      <c r="M875">
        <v>2999</v>
      </c>
      <c r="N875">
        <v>0</v>
      </c>
      <c r="O875">
        <v>5998</v>
      </c>
      <c r="P875">
        <v>1750</v>
      </c>
      <c r="Q875">
        <v>3500</v>
      </c>
      <c r="R875">
        <v>40</v>
      </c>
      <c r="S875">
        <v>2458</v>
      </c>
    </row>
    <row r="876" spans="1:19" x14ac:dyDescent="0.3">
      <c r="A876" s="1" t="s">
        <v>1347</v>
      </c>
      <c r="B876" s="4">
        <v>45715</v>
      </c>
      <c r="C876" s="1" t="s">
        <v>178</v>
      </c>
      <c r="D876" s="1" t="s">
        <v>48</v>
      </c>
      <c r="E876" s="1" t="s">
        <v>49</v>
      </c>
      <c r="F876" s="1" t="s">
        <v>50</v>
      </c>
      <c r="G876" s="1" t="s">
        <v>42</v>
      </c>
      <c r="H876" s="1" t="s">
        <v>34</v>
      </c>
      <c r="I876" s="1" t="s">
        <v>59</v>
      </c>
      <c r="J876" s="1" t="s">
        <v>60</v>
      </c>
      <c r="K876" s="1" t="s">
        <v>61</v>
      </c>
      <c r="L876">
        <v>3</v>
      </c>
      <c r="M876">
        <v>999</v>
      </c>
      <c r="N876">
        <v>0.2</v>
      </c>
      <c r="O876">
        <v>2397.6</v>
      </c>
      <c r="P876">
        <v>520</v>
      </c>
      <c r="Q876">
        <v>1560</v>
      </c>
      <c r="R876">
        <v>100</v>
      </c>
      <c r="S876">
        <v>737.6</v>
      </c>
    </row>
    <row r="877" spans="1:19" x14ac:dyDescent="0.3">
      <c r="A877" s="1" t="s">
        <v>1348</v>
      </c>
      <c r="B877" s="4">
        <v>45716</v>
      </c>
      <c r="C877" s="1" t="s">
        <v>389</v>
      </c>
      <c r="D877" s="1" t="s">
        <v>48</v>
      </c>
      <c r="E877" s="1" t="s">
        <v>64</v>
      </c>
      <c r="F877" s="1" t="s">
        <v>65</v>
      </c>
      <c r="G877" s="1" t="s">
        <v>42</v>
      </c>
      <c r="H877" s="1" t="s">
        <v>34</v>
      </c>
      <c r="I877" s="1" t="s">
        <v>81</v>
      </c>
      <c r="J877" s="1" t="s">
        <v>82</v>
      </c>
      <c r="K877" s="1" t="s">
        <v>61</v>
      </c>
      <c r="L877">
        <v>2</v>
      </c>
      <c r="M877">
        <v>2999</v>
      </c>
      <c r="N877">
        <v>0.1</v>
      </c>
      <c r="O877">
        <v>5398.2</v>
      </c>
      <c r="P877">
        <v>1750</v>
      </c>
      <c r="Q877">
        <v>3500</v>
      </c>
      <c r="R877">
        <v>80</v>
      </c>
      <c r="S877">
        <v>1818.2</v>
      </c>
    </row>
    <row r="878" spans="1:19" x14ac:dyDescent="0.3">
      <c r="A878" s="1" t="s">
        <v>1349</v>
      </c>
      <c r="B878" s="4">
        <v>45716</v>
      </c>
      <c r="C878" s="1" t="s">
        <v>576</v>
      </c>
      <c r="D878" s="1" t="s">
        <v>21</v>
      </c>
      <c r="E878" s="1" t="s">
        <v>112</v>
      </c>
      <c r="F878" s="1" t="s">
        <v>113</v>
      </c>
      <c r="G878" s="1" t="s">
        <v>42</v>
      </c>
      <c r="H878" s="1" t="s">
        <v>25</v>
      </c>
      <c r="I878" s="1" t="s">
        <v>26</v>
      </c>
      <c r="J878" s="1" t="s">
        <v>27</v>
      </c>
      <c r="K878" s="1" t="s">
        <v>28</v>
      </c>
      <c r="L878">
        <v>1</v>
      </c>
      <c r="M878">
        <v>799</v>
      </c>
      <c r="N878">
        <v>0.05</v>
      </c>
      <c r="O878">
        <v>759.05</v>
      </c>
      <c r="P878">
        <v>420</v>
      </c>
      <c r="Q878">
        <v>420</v>
      </c>
      <c r="R878">
        <v>40</v>
      </c>
      <c r="S878">
        <v>299.05</v>
      </c>
    </row>
    <row r="879" spans="1:19" x14ac:dyDescent="0.3">
      <c r="A879" s="1" t="s">
        <v>1350</v>
      </c>
      <c r="B879" s="4">
        <v>45717</v>
      </c>
      <c r="C879" s="1" t="s">
        <v>367</v>
      </c>
      <c r="D879" s="1" t="s">
        <v>40</v>
      </c>
      <c r="E879" s="1" t="s">
        <v>31</v>
      </c>
      <c r="F879" s="1" t="s">
        <v>32</v>
      </c>
      <c r="G879" s="1" t="s">
        <v>24</v>
      </c>
      <c r="H879" s="1" t="s">
        <v>34</v>
      </c>
      <c r="I879" s="1" t="s">
        <v>26</v>
      </c>
      <c r="J879" s="1" t="s">
        <v>27</v>
      </c>
      <c r="K879" s="1" t="s">
        <v>28</v>
      </c>
      <c r="L879">
        <v>1</v>
      </c>
      <c r="M879">
        <v>799</v>
      </c>
      <c r="N879">
        <v>0.1</v>
      </c>
      <c r="O879">
        <v>719.1</v>
      </c>
      <c r="P879">
        <v>420</v>
      </c>
      <c r="Q879">
        <v>420</v>
      </c>
      <c r="R879">
        <v>80</v>
      </c>
      <c r="S879">
        <v>219.1</v>
      </c>
    </row>
    <row r="880" spans="1:19" x14ac:dyDescent="0.3">
      <c r="A880" s="1" t="s">
        <v>1351</v>
      </c>
      <c r="B880" s="4">
        <v>45718</v>
      </c>
      <c r="C880" s="1" t="s">
        <v>1352</v>
      </c>
      <c r="D880" s="1" t="s">
        <v>21</v>
      </c>
      <c r="E880" s="1" t="s">
        <v>49</v>
      </c>
      <c r="F880" s="1" t="s">
        <v>50</v>
      </c>
      <c r="G880" s="1" t="s">
        <v>24</v>
      </c>
      <c r="H880" s="1" t="s">
        <v>34</v>
      </c>
      <c r="I880" s="1" t="s">
        <v>134</v>
      </c>
      <c r="J880" s="1" t="s">
        <v>135</v>
      </c>
      <c r="K880" s="1" t="s">
        <v>136</v>
      </c>
      <c r="L880">
        <v>2</v>
      </c>
      <c r="M880">
        <v>299</v>
      </c>
      <c r="N880">
        <v>0</v>
      </c>
      <c r="O880">
        <v>598</v>
      </c>
      <c r="P880">
        <v>110</v>
      </c>
      <c r="Q880">
        <v>220</v>
      </c>
      <c r="R880">
        <v>80</v>
      </c>
      <c r="S880">
        <v>298</v>
      </c>
    </row>
    <row r="881" spans="1:19" x14ac:dyDescent="0.3">
      <c r="A881" s="1" t="s">
        <v>1353</v>
      </c>
      <c r="B881" s="4">
        <v>45718</v>
      </c>
      <c r="C881" s="1" t="s">
        <v>1070</v>
      </c>
      <c r="D881" s="1" t="s">
        <v>21</v>
      </c>
      <c r="E881" s="1" t="s">
        <v>120</v>
      </c>
      <c r="F881" s="1" t="s">
        <v>121</v>
      </c>
      <c r="G881" s="1" t="s">
        <v>33</v>
      </c>
      <c r="H881" s="1" t="s">
        <v>71</v>
      </c>
      <c r="I881" s="1" t="s">
        <v>134</v>
      </c>
      <c r="J881" s="1" t="s">
        <v>135</v>
      </c>
      <c r="K881" s="1" t="s">
        <v>136</v>
      </c>
      <c r="L881">
        <v>2</v>
      </c>
      <c r="M881">
        <v>299</v>
      </c>
      <c r="N881">
        <v>0.15</v>
      </c>
      <c r="O881">
        <v>508.3</v>
      </c>
      <c r="P881">
        <v>110</v>
      </c>
      <c r="Q881">
        <v>220</v>
      </c>
      <c r="R881">
        <v>40</v>
      </c>
      <c r="S881">
        <v>248.3</v>
      </c>
    </row>
    <row r="882" spans="1:19" x14ac:dyDescent="0.3">
      <c r="A882" s="1" t="s">
        <v>1354</v>
      </c>
      <c r="B882" s="4">
        <v>45718</v>
      </c>
      <c r="C882" s="1" t="s">
        <v>656</v>
      </c>
      <c r="D882" s="1" t="s">
        <v>40</v>
      </c>
      <c r="E882" s="1" t="s">
        <v>64</v>
      </c>
      <c r="F882" s="1" t="s">
        <v>65</v>
      </c>
      <c r="G882" s="1" t="s">
        <v>42</v>
      </c>
      <c r="H882" s="1" t="s">
        <v>25</v>
      </c>
      <c r="I882" s="1" t="s">
        <v>43</v>
      </c>
      <c r="J882" s="1" t="s">
        <v>44</v>
      </c>
      <c r="K882" s="1" t="s">
        <v>45</v>
      </c>
      <c r="L882">
        <v>1</v>
      </c>
      <c r="M882">
        <v>1799</v>
      </c>
      <c r="N882">
        <v>0.15</v>
      </c>
      <c r="O882">
        <v>1529.15</v>
      </c>
      <c r="P882">
        <v>850</v>
      </c>
      <c r="Q882">
        <v>850</v>
      </c>
      <c r="R882">
        <v>60</v>
      </c>
      <c r="S882">
        <v>619.15</v>
      </c>
    </row>
    <row r="883" spans="1:19" x14ac:dyDescent="0.3">
      <c r="A883" s="1" t="s">
        <v>1355</v>
      </c>
      <c r="B883" s="4">
        <v>45720</v>
      </c>
      <c r="C883" s="1" t="s">
        <v>148</v>
      </c>
      <c r="D883" s="1" t="s">
        <v>40</v>
      </c>
      <c r="E883" s="1" t="s">
        <v>22</v>
      </c>
      <c r="F883" s="1" t="s">
        <v>23</v>
      </c>
      <c r="G883" s="1" t="s">
        <v>33</v>
      </c>
      <c r="H883" s="1" t="s">
        <v>56</v>
      </c>
      <c r="I883" s="1" t="s">
        <v>66</v>
      </c>
      <c r="J883" s="1" t="s">
        <v>67</v>
      </c>
      <c r="K883" s="1" t="s">
        <v>28</v>
      </c>
      <c r="L883">
        <v>2</v>
      </c>
      <c r="M883">
        <v>2499</v>
      </c>
      <c r="N883">
        <v>0.15</v>
      </c>
      <c r="O883">
        <v>4248.3</v>
      </c>
      <c r="P883">
        <v>1450</v>
      </c>
      <c r="Q883">
        <v>2900</v>
      </c>
      <c r="R883">
        <v>0</v>
      </c>
      <c r="S883">
        <v>1348.3</v>
      </c>
    </row>
    <row r="884" spans="1:19" x14ac:dyDescent="0.3">
      <c r="A884" s="1" t="s">
        <v>1356</v>
      </c>
      <c r="B884" s="4">
        <v>45721</v>
      </c>
      <c r="C884" s="1" t="s">
        <v>615</v>
      </c>
      <c r="D884" s="1" t="s">
        <v>21</v>
      </c>
      <c r="E884" s="1" t="s">
        <v>41</v>
      </c>
      <c r="F884" s="1" t="s">
        <v>32</v>
      </c>
      <c r="G884" s="1" t="s">
        <v>24</v>
      </c>
      <c r="H884" s="1" t="s">
        <v>34</v>
      </c>
      <c r="I884" s="1" t="s">
        <v>134</v>
      </c>
      <c r="J884" s="1" t="s">
        <v>135</v>
      </c>
      <c r="K884" s="1" t="s">
        <v>136</v>
      </c>
      <c r="L884">
        <v>3</v>
      </c>
      <c r="M884">
        <v>299</v>
      </c>
      <c r="N884">
        <v>0</v>
      </c>
      <c r="O884">
        <v>897</v>
      </c>
      <c r="P884">
        <v>110</v>
      </c>
      <c r="Q884">
        <v>330</v>
      </c>
      <c r="R884">
        <v>80</v>
      </c>
      <c r="S884">
        <v>487</v>
      </c>
    </row>
    <row r="885" spans="1:19" x14ac:dyDescent="0.3">
      <c r="A885" s="1" t="s">
        <v>1357</v>
      </c>
      <c r="B885" s="4">
        <v>45722</v>
      </c>
      <c r="C885" s="1" t="s">
        <v>95</v>
      </c>
      <c r="D885" s="1" t="s">
        <v>21</v>
      </c>
      <c r="E885" s="1" t="s">
        <v>31</v>
      </c>
      <c r="F885" s="1" t="s">
        <v>32</v>
      </c>
      <c r="G885" s="1" t="s">
        <v>33</v>
      </c>
      <c r="H885" s="1" t="s">
        <v>89</v>
      </c>
      <c r="I885" s="1" t="s">
        <v>76</v>
      </c>
      <c r="J885" s="1" t="s">
        <v>77</v>
      </c>
      <c r="K885" s="1" t="s">
        <v>37</v>
      </c>
      <c r="L885">
        <v>4</v>
      </c>
      <c r="M885">
        <v>6999</v>
      </c>
      <c r="N885">
        <v>0.2</v>
      </c>
      <c r="O885">
        <v>22396.799999999999</v>
      </c>
      <c r="P885">
        <v>4900</v>
      </c>
      <c r="Q885">
        <v>19600</v>
      </c>
      <c r="R885">
        <v>40</v>
      </c>
      <c r="S885">
        <v>2756.8</v>
      </c>
    </row>
    <row r="886" spans="1:19" x14ac:dyDescent="0.3">
      <c r="A886" s="1" t="s">
        <v>1358</v>
      </c>
      <c r="B886" s="4">
        <v>45722</v>
      </c>
      <c r="C886" s="1" t="s">
        <v>1359</v>
      </c>
      <c r="D886" s="1" t="s">
        <v>40</v>
      </c>
      <c r="E886" s="1" t="s">
        <v>64</v>
      </c>
      <c r="F886" s="1" t="s">
        <v>65</v>
      </c>
      <c r="G886" s="1" t="s">
        <v>42</v>
      </c>
      <c r="H886" s="1" t="s">
        <v>56</v>
      </c>
      <c r="I886" s="1" t="s">
        <v>134</v>
      </c>
      <c r="J886" s="1" t="s">
        <v>135</v>
      </c>
      <c r="K886" s="1" t="s">
        <v>136</v>
      </c>
      <c r="L886">
        <v>2</v>
      </c>
      <c r="M886">
        <v>299</v>
      </c>
      <c r="N886">
        <v>0.15</v>
      </c>
      <c r="O886">
        <v>508.3</v>
      </c>
      <c r="P886">
        <v>110</v>
      </c>
      <c r="Q886">
        <v>220</v>
      </c>
      <c r="R886">
        <v>60</v>
      </c>
      <c r="S886">
        <v>228.3</v>
      </c>
    </row>
    <row r="887" spans="1:19" x14ac:dyDescent="0.3">
      <c r="A887" s="1" t="s">
        <v>1360</v>
      </c>
      <c r="B887" s="4">
        <v>45723</v>
      </c>
      <c r="C887" s="1" t="s">
        <v>1182</v>
      </c>
      <c r="D887" s="1" t="s">
        <v>48</v>
      </c>
      <c r="E887" s="1" t="s">
        <v>22</v>
      </c>
      <c r="F887" s="1" t="s">
        <v>23</v>
      </c>
      <c r="G887" s="1" t="s">
        <v>24</v>
      </c>
      <c r="H887" s="1" t="s">
        <v>34</v>
      </c>
      <c r="I887" s="1" t="s">
        <v>35</v>
      </c>
      <c r="J887" s="1" t="s">
        <v>36</v>
      </c>
      <c r="K887" s="1" t="s">
        <v>37</v>
      </c>
      <c r="L887">
        <v>2</v>
      </c>
      <c r="M887">
        <v>1299</v>
      </c>
      <c r="N887">
        <v>0</v>
      </c>
      <c r="O887">
        <v>2598</v>
      </c>
      <c r="P887">
        <v>700</v>
      </c>
      <c r="Q887">
        <v>1400</v>
      </c>
      <c r="R887">
        <v>60</v>
      </c>
      <c r="S887">
        <v>1138</v>
      </c>
    </row>
    <row r="888" spans="1:19" x14ac:dyDescent="0.3">
      <c r="A888" s="1" t="s">
        <v>1361</v>
      </c>
      <c r="B888" s="4">
        <v>45723</v>
      </c>
      <c r="C888" s="1" t="s">
        <v>367</v>
      </c>
      <c r="D888" s="1" t="s">
        <v>48</v>
      </c>
      <c r="E888" s="1" t="s">
        <v>70</v>
      </c>
      <c r="F888" s="1" t="s">
        <v>70</v>
      </c>
      <c r="G888" s="1" t="s">
        <v>42</v>
      </c>
      <c r="H888" s="1" t="s">
        <v>56</v>
      </c>
      <c r="I888" s="1" t="s">
        <v>76</v>
      </c>
      <c r="J888" s="1" t="s">
        <v>77</v>
      </c>
      <c r="K888" s="1" t="s">
        <v>37</v>
      </c>
      <c r="L888">
        <v>4</v>
      </c>
      <c r="M888">
        <v>6999</v>
      </c>
      <c r="N888">
        <v>0</v>
      </c>
      <c r="O888">
        <v>27996</v>
      </c>
      <c r="P888">
        <v>4900</v>
      </c>
      <c r="Q888">
        <v>19600</v>
      </c>
      <c r="R888">
        <v>0</v>
      </c>
      <c r="S888">
        <v>8396</v>
      </c>
    </row>
    <row r="889" spans="1:19" x14ac:dyDescent="0.3">
      <c r="A889" s="1" t="s">
        <v>1362</v>
      </c>
      <c r="B889" s="4">
        <v>45724</v>
      </c>
      <c r="C889" s="1" t="s">
        <v>159</v>
      </c>
      <c r="D889" s="1" t="s">
        <v>21</v>
      </c>
      <c r="E889" s="1" t="s">
        <v>41</v>
      </c>
      <c r="F889" s="1" t="s">
        <v>32</v>
      </c>
      <c r="G889" s="1" t="s">
        <v>42</v>
      </c>
      <c r="H889" s="1" t="s">
        <v>34</v>
      </c>
      <c r="I889" s="1" t="s">
        <v>134</v>
      </c>
      <c r="J889" s="1" t="s">
        <v>135</v>
      </c>
      <c r="K889" s="1" t="s">
        <v>136</v>
      </c>
      <c r="L889">
        <v>1</v>
      </c>
      <c r="M889">
        <v>299</v>
      </c>
      <c r="N889">
        <v>0</v>
      </c>
      <c r="O889">
        <v>299</v>
      </c>
      <c r="P889">
        <v>110</v>
      </c>
      <c r="Q889">
        <v>110</v>
      </c>
      <c r="R889">
        <v>60</v>
      </c>
      <c r="S889">
        <v>129</v>
      </c>
    </row>
    <row r="890" spans="1:19" x14ac:dyDescent="0.3">
      <c r="A890" s="1" t="s">
        <v>1363</v>
      </c>
      <c r="B890" s="4">
        <v>45724</v>
      </c>
      <c r="C890" s="1" t="s">
        <v>119</v>
      </c>
      <c r="D890" s="1" t="s">
        <v>21</v>
      </c>
      <c r="E890" s="1" t="s">
        <v>49</v>
      </c>
      <c r="F890" s="1" t="s">
        <v>50</v>
      </c>
      <c r="G890" s="1" t="s">
        <v>42</v>
      </c>
      <c r="H890" s="1" t="s">
        <v>71</v>
      </c>
      <c r="I890" s="1" t="s">
        <v>81</v>
      </c>
      <c r="J890" s="1" t="s">
        <v>82</v>
      </c>
      <c r="K890" s="1" t="s">
        <v>61</v>
      </c>
      <c r="L890">
        <v>1</v>
      </c>
      <c r="M890">
        <v>2999</v>
      </c>
      <c r="N890">
        <v>0.2</v>
      </c>
      <c r="O890">
        <v>2399.1999999999998</v>
      </c>
      <c r="P890">
        <v>1750</v>
      </c>
      <c r="Q890">
        <v>1750</v>
      </c>
      <c r="R890">
        <v>100</v>
      </c>
      <c r="S890">
        <v>549.20000000000005</v>
      </c>
    </row>
    <row r="891" spans="1:19" x14ac:dyDescent="0.3">
      <c r="A891" s="1" t="s">
        <v>1364</v>
      </c>
      <c r="B891" s="4">
        <v>45724</v>
      </c>
      <c r="C891" s="1" t="s">
        <v>648</v>
      </c>
      <c r="D891" s="1" t="s">
        <v>21</v>
      </c>
      <c r="E891" s="1" t="s">
        <v>41</v>
      </c>
      <c r="F891" s="1" t="s">
        <v>32</v>
      </c>
      <c r="G891" s="1" t="s">
        <v>33</v>
      </c>
      <c r="H891" s="1" t="s">
        <v>25</v>
      </c>
      <c r="I891" s="1" t="s">
        <v>66</v>
      </c>
      <c r="J891" s="1" t="s">
        <v>67</v>
      </c>
      <c r="K891" s="1" t="s">
        <v>28</v>
      </c>
      <c r="L891">
        <v>2</v>
      </c>
      <c r="M891">
        <v>2499</v>
      </c>
      <c r="N891">
        <v>0.05</v>
      </c>
      <c r="O891">
        <v>4748.1000000000004</v>
      </c>
      <c r="P891">
        <v>1450</v>
      </c>
      <c r="Q891">
        <v>2900</v>
      </c>
      <c r="R891">
        <v>80</v>
      </c>
      <c r="S891">
        <v>1768.1</v>
      </c>
    </row>
    <row r="892" spans="1:19" x14ac:dyDescent="0.3">
      <c r="A892" s="1" t="s">
        <v>1365</v>
      </c>
      <c r="B892" s="4">
        <v>45725</v>
      </c>
      <c r="C892" s="1" t="s">
        <v>30</v>
      </c>
      <c r="D892" s="1" t="s">
        <v>40</v>
      </c>
      <c r="E892" s="1" t="s">
        <v>31</v>
      </c>
      <c r="F892" s="1" t="s">
        <v>32</v>
      </c>
      <c r="G892" s="1" t="s">
        <v>33</v>
      </c>
      <c r="H892" s="1" t="s">
        <v>56</v>
      </c>
      <c r="I892" s="1" t="s">
        <v>81</v>
      </c>
      <c r="J892" s="1" t="s">
        <v>82</v>
      </c>
      <c r="K892" s="1" t="s">
        <v>61</v>
      </c>
      <c r="L892">
        <v>1</v>
      </c>
      <c r="M892">
        <v>2999</v>
      </c>
      <c r="N892">
        <v>0.05</v>
      </c>
      <c r="O892">
        <v>2849.05</v>
      </c>
      <c r="P892">
        <v>1750</v>
      </c>
      <c r="Q892">
        <v>1750</v>
      </c>
      <c r="R892">
        <v>60</v>
      </c>
      <c r="S892">
        <v>1039.05</v>
      </c>
    </row>
    <row r="893" spans="1:19" x14ac:dyDescent="0.3">
      <c r="A893" s="1" t="s">
        <v>1366</v>
      </c>
      <c r="B893" s="4">
        <v>45725</v>
      </c>
      <c r="C893" s="1" t="s">
        <v>640</v>
      </c>
      <c r="D893" s="1" t="s">
        <v>40</v>
      </c>
      <c r="E893" s="1" t="s">
        <v>120</v>
      </c>
      <c r="F893" s="1" t="s">
        <v>121</v>
      </c>
      <c r="G893" s="1" t="s">
        <v>33</v>
      </c>
      <c r="H893" s="1" t="s">
        <v>25</v>
      </c>
      <c r="I893" s="1" t="s">
        <v>72</v>
      </c>
      <c r="J893" s="1" t="s">
        <v>73</v>
      </c>
      <c r="K893" s="1" t="s">
        <v>28</v>
      </c>
      <c r="L893">
        <v>1</v>
      </c>
      <c r="M893">
        <v>2199</v>
      </c>
      <c r="N893">
        <v>0.2</v>
      </c>
      <c r="O893">
        <v>1759.2</v>
      </c>
      <c r="P893">
        <v>1250</v>
      </c>
      <c r="Q893">
        <v>1250</v>
      </c>
      <c r="R893">
        <v>100</v>
      </c>
      <c r="S893">
        <v>409.2</v>
      </c>
    </row>
    <row r="894" spans="1:19" x14ac:dyDescent="0.3">
      <c r="A894" s="1" t="s">
        <v>1367</v>
      </c>
      <c r="B894" s="4">
        <v>45725</v>
      </c>
      <c r="C894" s="1" t="s">
        <v>1368</v>
      </c>
      <c r="D894" s="1" t="s">
        <v>48</v>
      </c>
      <c r="E894" s="1" t="s">
        <v>41</v>
      </c>
      <c r="F894" s="1" t="s">
        <v>32</v>
      </c>
      <c r="G894" s="1" t="s">
        <v>33</v>
      </c>
      <c r="H894" s="1" t="s">
        <v>71</v>
      </c>
      <c r="I894" s="1" t="s">
        <v>66</v>
      </c>
      <c r="J894" s="1" t="s">
        <v>67</v>
      </c>
      <c r="K894" s="1" t="s">
        <v>28</v>
      </c>
      <c r="L894">
        <v>5</v>
      </c>
      <c r="M894">
        <v>2499</v>
      </c>
      <c r="N894">
        <v>0.1</v>
      </c>
      <c r="O894">
        <v>11245.5</v>
      </c>
      <c r="P894">
        <v>1450</v>
      </c>
      <c r="Q894">
        <v>7250</v>
      </c>
      <c r="R894">
        <v>40</v>
      </c>
      <c r="S894">
        <v>3955.5</v>
      </c>
    </row>
    <row r="895" spans="1:19" x14ac:dyDescent="0.3">
      <c r="A895" s="1" t="s">
        <v>1369</v>
      </c>
      <c r="B895" s="4">
        <v>45726</v>
      </c>
      <c r="C895" s="1" t="s">
        <v>573</v>
      </c>
      <c r="D895" s="1" t="s">
        <v>48</v>
      </c>
      <c r="E895" s="1" t="s">
        <v>31</v>
      </c>
      <c r="F895" s="1" t="s">
        <v>32</v>
      </c>
      <c r="G895" s="1" t="s">
        <v>42</v>
      </c>
      <c r="H895" s="1" t="s">
        <v>71</v>
      </c>
      <c r="I895" s="1" t="s">
        <v>92</v>
      </c>
      <c r="J895" s="1" t="s">
        <v>93</v>
      </c>
      <c r="K895" s="1" t="s">
        <v>28</v>
      </c>
      <c r="L895">
        <v>2</v>
      </c>
      <c r="M895">
        <v>1599</v>
      </c>
      <c r="N895">
        <v>0.05</v>
      </c>
      <c r="O895">
        <v>3038.1</v>
      </c>
      <c r="P895">
        <v>900</v>
      </c>
      <c r="Q895">
        <v>1800</v>
      </c>
      <c r="R895">
        <v>60</v>
      </c>
      <c r="S895">
        <v>1178.0999999999999</v>
      </c>
    </row>
    <row r="896" spans="1:19" x14ac:dyDescent="0.3">
      <c r="A896" s="1" t="s">
        <v>1370</v>
      </c>
      <c r="B896" s="4">
        <v>45727</v>
      </c>
      <c r="C896" s="1" t="s">
        <v>212</v>
      </c>
      <c r="D896" s="1" t="s">
        <v>21</v>
      </c>
      <c r="E896" s="1" t="s">
        <v>22</v>
      </c>
      <c r="F896" s="1" t="s">
        <v>23</v>
      </c>
      <c r="G896" s="1" t="s">
        <v>42</v>
      </c>
      <c r="H896" s="1" t="s">
        <v>25</v>
      </c>
      <c r="I896" s="1" t="s">
        <v>72</v>
      </c>
      <c r="J896" s="1" t="s">
        <v>73</v>
      </c>
      <c r="K896" s="1" t="s">
        <v>28</v>
      </c>
      <c r="L896">
        <v>2</v>
      </c>
      <c r="M896">
        <v>2199</v>
      </c>
      <c r="N896">
        <v>0.05</v>
      </c>
      <c r="O896">
        <v>4178.1000000000004</v>
      </c>
      <c r="P896">
        <v>1250</v>
      </c>
      <c r="Q896">
        <v>2500</v>
      </c>
      <c r="R896">
        <v>80</v>
      </c>
      <c r="S896">
        <v>1598.1</v>
      </c>
    </row>
    <row r="897" spans="1:19" x14ac:dyDescent="0.3">
      <c r="A897" s="1" t="s">
        <v>1371</v>
      </c>
      <c r="B897" s="4">
        <v>45727</v>
      </c>
      <c r="C897" s="1" t="s">
        <v>349</v>
      </c>
      <c r="D897" s="1" t="s">
        <v>40</v>
      </c>
      <c r="E897" s="1" t="s">
        <v>31</v>
      </c>
      <c r="F897" s="1" t="s">
        <v>32</v>
      </c>
      <c r="G897" s="1" t="s">
        <v>24</v>
      </c>
      <c r="H897" s="1" t="s">
        <v>71</v>
      </c>
      <c r="I897" s="1" t="s">
        <v>92</v>
      </c>
      <c r="J897" s="1" t="s">
        <v>93</v>
      </c>
      <c r="K897" s="1" t="s">
        <v>28</v>
      </c>
      <c r="L897">
        <v>1</v>
      </c>
      <c r="M897">
        <v>1599</v>
      </c>
      <c r="N897">
        <v>0.1</v>
      </c>
      <c r="O897">
        <v>1439.1</v>
      </c>
      <c r="P897">
        <v>900</v>
      </c>
      <c r="Q897">
        <v>900</v>
      </c>
      <c r="R897">
        <v>0</v>
      </c>
      <c r="S897">
        <v>539.1</v>
      </c>
    </row>
    <row r="898" spans="1:19" x14ac:dyDescent="0.3">
      <c r="A898" s="1" t="s">
        <v>1372</v>
      </c>
      <c r="B898" s="4">
        <v>45728</v>
      </c>
      <c r="C898" s="1" t="s">
        <v>1373</v>
      </c>
      <c r="D898" s="1" t="s">
        <v>48</v>
      </c>
      <c r="E898" s="1" t="s">
        <v>112</v>
      </c>
      <c r="F898" s="1" t="s">
        <v>113</v>
      </c>
      <c r="G898" s="1" t="s">
        <v>24</v>
      </c>
      <c r="H898" s="1" t="s">
        <v>56</v>
      </c>
      <c r="I898" s="1" t="s">
        <v>134</v>
      </c>
      <c r="J898" s="1" t="s">
        <v>135</v>
      </c>
      <c r="K898" s="1" t="s">
        <v>136</v>
      </c>
      <c r="L898">
        <v>2</v>
      </c>
      <c r="M898">
        <v>299</v>
      </c>
      <c r="N898">
        <v>0.05</v>
      </c>
      <c r="O898">
        <v>568.1</v>
      </c>
      <c r="P898">
        <v>110</v>
      </c>
      <c r="Q898">
        <v>220</v>
      </c>
      <c r="R898">
        <v>100</v>
      </c>
      <c r="S898">
        <v>248.1</v>
      </c>
    </row>
    <row r="899" spans="1:19" x14ac:dyDescent="0.3">
      <c r="A899" s="1" t="s">
        <v>1374</v>
      </c>
      <c r="B899" s="4">
        <v>45729</v>
      </c>
      <c r="C899" s="1" t="s">
        <v>891</v>
      </c>
      <c r="D899" s="1" t="s">
        <v>40</v>
      </c>
      <c r="E899" s="1" t="s">
        <v>70</v>
      </c>
      <c r="F899" s="1" t="s">
        <v>70</v>
      </c>
      <c r="G899" s="1" t="s">
        <v>33</v>
      </c>
      <c r="H899" s="1" t="s">
        <v>25</v>
      </c>
      <c r="I899" s="1" t="s">
        <v>72</v>
      </c>
      <c r="J899" s="1" t="s">
        <v>73</v>
      </c>
      <c r="K899" s="1" t="s">
        <v>28</v>
      </c>
      <c r="L899">
        <v>4</v>
      </c>
      <c r="M899">
        <v>2199</v>
      </c>
      <c r="N899">
        <v>0.05</v>
      </c>
      <c r="O899">
        <v>8356.2000000000007</v>
      </c>
      <c r="P899">
        <v>1250</v>
      </c>
      <c r="Q899">
        <v>5000</v>
      </c>
      <c r="R899">
        <v>60</v>
      </c>
      <c r="S899">
        <v>3296.2</v>
      </c>
    </row>
    <row r="900" spans="1:19" x14ac:dyDescent="0.3">
      <c r="A900" s="1" t="s">
        <v>1375</v>
      </c>
      <c r="B900" s="4">
        <v>45729</v>
      </c>
      <c r="C900" s="1" t="s">
        <v>1219</v>
      </c>
      <c r="D900" s="1" t="s">
        <v>21</v>
      </c>
      <c r="E900" s="1" t="s">
        <v>96</v>
      </c>
      <c r="F900" s="1" t="s">
        <v>97</v>
      </c>
      <c r="G900" s="1" t="s">
        <v>24</v>
      </c>
      <c r="H900" s="1" t="s">
        <v>89</v>
      </c>
      <c r="I900" s="1" t="s">
        <v>59</v>
      </c>
      <c r="J900" s="1" t="s">
        <v>60</v>
      </c>
      <c r="K900" s="1" t="s">
        <v>61</v>
      </c>
      <c r="L900">
        <v>3</v>
      </c>
      <c r="M900">
        <v>999</v>
      </c>
      <c r="N900">
        <v>0.15</v>
      </c>
      <c r="O900">
        <v>2547.4499999999998</v>
      </c>
      <c r="P900">
        <v>520</v>
      </c>
      <c r="Q900">
        <v>1560</v>
      </c>
      <c r="R900">
        <v>80</v>
      </c>
      <c r="S900">
        <v>907.45</v>
      </c>
    </row>
    <row r="901" spans="1:19" x14ac:dyDescent="0.3">
      <c r="A901" s="1" t="s">
        <v>1376</v>
      </c>
      <c r="B901" s="4">
        <v>45730</v>
      </c>
      <c r="C901" s="1" t="s">
        <v>226</v>
      </c>
      <c r="D901" s="1" t="s">
        <v>40</v>
      </c>
      <c r="E901" s="1" t="s">
        <v>70</v>
      </c>
      <c r="F901" s="1" t="s">
        <v>70</v>
      </c>
      <c r="G901" s="1" t="s">
        <v>24</v>
      </c>
      <c r="H901" s="1" t="s">
        <v>71</v>
      </c>
      <c r="I901" s="1" t="s">
        <v>81</v>
      </c>
      <c r="J901" s="1" t="s">
        <v>82</v>
      </c>
      <c r="K901" s="1" t="s">
        <v>61</v>
      </c>
      <c r="L901">
        <v>1</v>
      </c>
      <c r="M901">
        <v>2999</v>
      </c>
      <c r="N901">
        <v>0.05</v>
      </c>
      <c r="O901">
        <v>2849.05</v>
      </c>
      <c r="P901">
        <v>1750</v>
      </c>
      <c r="Q901">
        <v>1750</v>
      </c>
      <c r="R901">
        <v>0</v>
      </c>
      <c r="S901">
        <v>1099.05</v>
      </c>
    </row>
    <row r="902" spans="1:19" x14ac:dyDescent="0.3">
      <c r="A902" s="1" t="s">
        <v>1377</v>
      </c>
      <c r="B902" s="4">
        <v>45730</v>
      </c>
      <c r="C902" s="1" t="s">
        <v>63</v>
      </c>
      <c r="D902" s="1" t="s">
        <v>48</v>
      </c>
      <c r="E902" s="1" t="s">
        <v>96</v>
      </c>
      <c r="F902" s="1" t="s">
        <v>97</v>
      </c>
      <c r="G902" s="1" t="s">
        <v>33</v>
      </c>
      <c r="H902" s="1" t="s">
        <v>71</v>
      </c>
      <c r="I902" s="1" t="s">
        <v>92</v>
      </c>
      <c r="J902" s="1" t="s">
        <v>93</v>
      </c>
      <c r="K902" s="1" t="s">
        <v>28</v>
      </c>
      <c r="L902">
        <v>1</v>
      </c>
      <c r="M902">
        <v>1599</v>
      </c>
      <c r="N902">
        <v>0</v>
      </c>
      <c r="O902">
        <v>1599</v>
      </c>
      <c r="P902">
        <v>900</v>
      </c>
      <c r="Q902">
        <v>900</v>
      </c>
      <c r="R902">
        <v>40</v>
      </c>
      <c r="S902">
        <v>659</v>
      </c>
    </row>
    <row r="903" spans="1:19" x14ac:dyDescent="0.3">
      <c r="A903" s="1" t="s">
        <v>1378</v>
      </c>
      <c r="B903" s="4">
        <v>45731</v>
      </c>
      <c r="C903" s="1" t="s">
        <v>447</v>
      </c>
      <c r="D903" s="1" t="s">
        <v>48</v>
      </c>
      <c r="E903" s="1" t="s">
        <v>41</v>
      </c>
      <c r="F903" s="1" t="s">
        <v>32</v>
      </c>
      <c r="G903" s="1" t="s">
        <v>42</v>
      </c>
      <c r="H903" s="1" t="s">
        <v>89</v>
      </c>
      <c r="I903" s="1" t="s">
        <v>85</v>
      </c>
      <c r="J903" s="1" t="s">
        <v>86</v>
      </c>
      <c r="K903" s="1" t="s">
        <v>45</v>
      </c>
      <c r="L903">
        <v>5</v>
      </c>
      <c r="M903">
        <v>599</v>
      </c>
      <c r="N903">
        <v>0.15</v>
      </c>
      <c r="O903">
        <v>2545.75</v>
      </c>
      <c r="P903">
        <v>240</v>
      </c>
      <c r="Q903">
        <v>1200</v>
      </c>
      <c r="R903">
        <v>100</v>
      </c>
      <c r="S903">
        <v>1245.75</v>
      </c>
    </row>
    <row r="904" spans="1:19" x14ac:dyDescent="0.3">
      <c r="A904" s="1" t="s">
        <v>1379</v>
      </c>
      <c r="B904" s="4">
        <v>45731</v>
      </c>
      <c r="C904" s="1" t="s">
        <v>39</v>
      </c>
      <c r="D904" s="1" t="s">
        <v>40</v>
      </c>
      <c r="E904" s="1" t="s">
        <v>64</v>
      </c>
      <c r="F904" s="1" t="s">
        <v>65</v>
      </c>
      <c r="G904" s="1" t="s">
        <v>24</v>
      </c>
      <c r="H904" s="1" t="s">
        <v>71</v>
      </c>
      <c r="I904" s="1" t="s">
        <v>51</v>
      </c>
      <c r="J904" s="1" t="s">
        <v>52</v>
      </c>
      <c r="K904" s="1" t="s">
        <v>37</v>
      </c>
      <c r="L904">
        <v>2</v>
      </c>
      <c r="M904">
        <v>499</v>
      </c>
      <c r="N904">
        <v>0.05</v>
      </c>
      <c r="O904">
        <v>948.1</v>
      </c>
      <c r="P904">
        <v>180</v>
      </c>
      <c r="Q904">
        <v>360</v>
      </c>
      <c r="R904">
        <v>0</v>
      </c>
      <c r="S904">
        <v>588.1</v>
      </c>
    </row>
    <row r="905" spans="1:19" x14ac:dyDescent="0.3">
      <c r="A905" s="1" t="s">
        <v>1380</v>
      </c>
      <c r="B905" s="4">
        <v>45731</v>
      </c>
      <c r="C905" s="1" t="s">
        <v>522</v>
      </c>
      <c r="D905" s="1" t="s">
        <v>48</v>
      </c>
      <c r="E905" s="1" t="s">
        <v>124</v>
      </c>
      <c r="F905" s="1" t="s">
        <v>125</v>
      </c>
      <c r="G905" s="1" t="s">
        <v>24</v>
      </c>
      <c r="H905" s="1" t="s">
        <v>89</v>
      </c>
      <c r="I905" s="1" t="s">
        <v>51</v>
      </c>
      <c r="J905" s="1" t="s">
        <v>52</v>
      </c>
      <c r="K905" s="1" t="s">
        <v>37</v>
      </c>
      <c r="L905">
        <v>4</v>
      </c>
      <c r="M905">
        <v>499</v>
      </c>
      <c r="N905">
        <v>0.1</v>
      </c>
      <c r="O905">
        <v>1796.4</v>
      </c>
      <c r="P905">
        <v>180</v>
      </c>
      <c r="Q905">
        <v>720</v>
      </c>
      <c r="R905">
        <v>80</v>
      </c>
      <c r="S905">
        <v>996.4</v>
      </c>
    </row>
    <row r="906" spans="1:19" x14ac:dyDescent="0.3">
      <c r="A906" s="1" t="s">
        <v>1381</v>
      </c>
      <c r="B906" s="4">
        <v>45731</v>
      </c>
      <c r="C906" s="1" t="s">
        <v>228</v>
      </c>
      <c r="D906" s="1" t="s">
        <v>48</v>
      </c>
      <c r="E906" s="1" t="s">
        <v>124</v>
      </c>
      <c r="F906" s="1" t="s">
        <v>125</v>
      </c>
      <c r="G906" s="1" t="s">
        <v>42</v>
      </c>
      <c r="H906" s="1" t="s">
        <v>89</v>
      </c>
      <c r="I906" s="1" t="s">
        <v>51</v>
      </c>
      <c r="J906" s="1" t="s">
        <v>52</v>
      </c>
      <c r="K906" s="1" t="s">
        <v>37</v>
      </c>
      <c r="L906">
        <v>2</v>
      </c>
      <c r="M906">
        <v>499</v>
      </c>
      <c r="N906">
        <v>0.05</v>
      </c>
      <c r="O906">
        <v>948.1</v>
      </c>
      <c r="P906">
        <v>180</v>
      </c>
      <c r="Q906">
        <v>360</v>
      </c>
      <c r="R906">
        <v>60</v>
      </c>
      <c r="S906">
        <v>528.1</v>
      </c>
    </row>
    <row r="907" spans="1:19" x14ac:dyDescent="0.3">
      <c r="A907" s="1" t="s">
        <v>1382</v>
      </c>
      <c r="B907" s="4">
        <v>45732</v>
      </c>
      <c r="C907" s="1" t="s">
        <v>828</v>
      </c>
      <c r="D907" s="1" t="s">
        <v>21</v>
      </c>
      <c r="E907" s="1" t="s">
        <v>22</v>
      </c>
      <c r="F907" s="1" t="s">
        <v>23</v>
      </c>
      <c r="G907" s="1" t="s">
        <v>33</v>
      </c>
      <c r="H907" s="1" t="s">
        <v>56</v>
      </c>
      <c r="I907" s="1" t="s">
        <v>35</v>
      </c>
      <c r="J907" s="1" t="s">
        <v>36</v>
      </c>
      <c r="K907" s="1" t="s">
        <v>37</v>
      </c>
      <c r="L907">
        <v>4</v>
      </c>
      <c r="M907">
        <v>1299</v>
      </c>
      <c r="N907">
        <v>0.05</v>
      </c>
      <c r="O907">
        <v>4936.2</v>
      </c>
      <c r="P907">
        <v>700</v>
      </c>
      <c r="Q907">
        <v>2800</v>
      </c>
      <c r="R907">
        <v>100</v>
      </c>
      <c r="S907">
        <v>2036.2</v>
      </c>
    </row>
    <row r="908" spans="1:19" x14ac:dyDescent="0.3">
      <c r="A908" s="1" t="s">
        <v>1383</v>
      </c>
      <c r="B908" s="4">
        <v>45732</v>
      </c>
      <c r="C908" s="1" t="s">
        <v>234</v>
      </c>
      <c r="D908" s="1" t="s">
        <v>21</v>
      </c>
      <c r="E908" s="1" t="s">
        <v>64</v>
      </c>
      <c r="F908" s="1" t="s">
        <v>65</v>
      </c>
      <c r="G908" s="1" t="s">
        <v>24</v>
      </c>
      <c r="H908" s="1" t="s">
        <v>25</v>
      </c>
      <c r="I908" s="1" t="s">
        <v>43</v>
      </c>
      <c r="J908" s="1" t="s">
        <v>44</v>
      </c>
      <c r="K908" s="1" t="s">
        <v>45</v>
      </c>
      <c r="L908">
        <v>4</v>
      </c>
      <c r="M908">
        <v>1799</v>
      </c>
      <c r="N908">
        <v>0.1</v>
      </c>
      <c r="O908">
        <v>6476.4</v>
      </c>
      <c r="P908">
        <v>850</v>
      </c>
      <c r="Q908">
        <v>3400</v>
      </c>
      <c r="R908">
        <v>60</v>
      </c>
      <c r="S908">
        <v>3016.4</v>
      </c>
    </row>
    <row r="909" spans="1:19" x14ac:dyDescent="0.3">
      <c r="A909" s="1" t="s">
        <v>1384</v>
      </c>
      <c r="B909" s="4">
        <v>45733</v>
      </c>
      <c r="C909" s="1" t="s">
        <v>558</v>
      </c>
      <c r="D909" s="1" t="s">
        <v>40</v>
      </c>
      <c r="E909" s="1" t="s">
        <v>124</v>
      </c>
      <c r="F909" s="1" t="s">
        <v>125</v>
      </c>
      <c r="G909" s="1" t="s">
        <v>42</v>
      </c>
      <c r="H909" s="1" t="s">
        <v>25</v>
      </c>
      <c r="I909" s="1" t="s">
        <v>92</v>
      </c>
      <c r="J909" s="1" t="s">
        <v>93</v>
      </c>
      <c r="K909" s="1" t="s">
        <v>28</v>
      </c>
      <c r="L909">
        <v>1</v>
      </c>
      <c r="M909">
        <v>1599</v>
      </c>
      <c r="N909">
        <v>0.1</v>
      </c>
      <c r="O909">
        <v>1439.1</v>
      </c>
      <c r="P909">
        <v>900</v>
      </c>
      <c r="Q909">
        <v>900</v>
      </c>
      <c r="R909">
        <v>60</v>
      </c>
      <c r="S909">
        <v>479.1</v>
      </c>
    </row>
    <row r="910" spans="1:19" x14ac:dyDescent="0.3">
      <c r="A910" s="1" t="s">
        <v>1385</v>
      </c>
      <c r="B910" s="4">
        <v>45733</v>
      </c>
      <c r="C910" s="1" t="s">
        <v>630</v>
      </c>
      <c r="D910" s="1" t="s">
        <v>40</v>
      </c>
      <c r="E910" s="1" t="s">
        <v>120</v>
      </c>
      <c r="F910" s="1" t="s">
        <v>121</v>
      </c>
      <c r="G910" s="1" t="s">
        <v>33</v>
      </c>
      <c r="H910" s="1" t="s">
        <v>71</v>
      </c>
      <c r="I910" s="1" t="s">
        <v>51</v>
      </c>
      <c r="J910" s="1" t="s">
        <v>52</v>
      </c>
      <c r="K910" s="1" t="s">
        <v>37</v>
      </c>
      <c r="L910">
        <v>1</v>
      </c>
      <c r="M910">
        <v>499</v>
      </c>
      <c r="N910">
        <v>0.15</v>
      </c>
      <c r="O910">
        <v>424.15</v>
      </c>
      <c r="P910">
        <v>180</v>
      </c>
      <c r="Q910">
        <v>180</v>
      </c>
      <c r="R910">
        <v>80</v>
      </c>
      <c r="S910">
        <v>164.15</v>
      </c>
    </row>
    <row r="911" spans="1:19" x14ac:dyDescent="0.3">
      <c r="A911" s="1" t="s">
        <v>1386</v>
      </c>
      <c r="B911" s="4">
        <v>45733</v>
      </c>
      <c r="C911" s="1" t="s">
        <v>261</v>
      </c>
      <c r="D911" s="1" t="s">
        <v>40</v>
      </c>
      <c r="E911" s="1" t="s">
        <v>96</v>
      </c>
      <c r="F911" s="1" t="s">
        <v>97</v>
      </c>
      <c r="G911" s="1" t="s">
        <v>24</v>
      </c>
      <c r="H911" s="1" t="s">
        <v>25</v>
      </c>
      <c r="I911" s="1" t="s">
        <v>59</v>
      </c>
      <c r="J911" s="1" t="s">
        <v>60</v>
      </c>
      <c r="K911" s="1" t="s">
        <v>61</v>
      </c>
      <c r="L911">
        <v>2</v>
      </c>
      <c r="M911">
        <v>999</v>
      </c>
      <c r="N911">
        <v>0.05</v>
      </c>
      <c r="O911">
        <v>1898.1</v>
      </c>
      <c r="P911">
        <v>520</v>
      </c>
      <c r="Q911">
        <v>1040</v>
      </c>
      <c r="R911">
        <v>100</v>
      </c>
      <c r="S911">
        <v>758.1</v>
      </c>
    </row>
    <row r="912" spans="1:19" x14ac:dyDescent="0.3">
      <c r="A912" s="1" t="s">
        <v>1387</v>
      </c>
      <c r="B912" s="4">
        <v>45734</v>
      </c>
      <c r="C912" s="1" t="s">
        <v>1388</v>
      </c>
      <c r="D912" s="1" t="s">
        <v>21</v>
      </c>
      <c r="E912" s="1" t="s">
        <v>124</v>
      </c>
      <c r="F912" s="1" t="s">
        <v>125</v>
      </c>
      <c r="G912" s="1" t="s">
        <v>24</v>
      </c>
      <c r="H912" s="1" t="s">
        <v>25</v>
      </c>
      <c r="I912" s="1" t="s">
        <v>35</v>
      </c>
      <c r="J912" s="1" t="s">
        <v>36</v>
      </c>
      <c r="K912" s="1" t="s">
        <v>37</v>
      </c>
      <c r="L912">
        <v>3</v>
      </c>
      <c r="M912">
        <v>1299</v>
      </c>
      <c r="N912">
        <v>0</v>
      </c>
      <c r="O912">
        <v>3897</v>
      </c>
      <c r="P912">
        <v>700</v>
      </c>
      <c r="Q912">
        <v>2100</v>
      </c>
      <c r="R912">
        <v>40</v>
      </c>
      <c r="S912">
        <v>1757</v>
      </c>
    </row>
    <row r="913" spans="1:19" x14ac:dyDescent="0.3">
      <c r="A913" s="1" t="s">
        <v>1389</v>
      </c>
      <c r="B913" s="4">
        <v>45734</v>
      </c>
      <c r="C913" s="1" t="s">
        <v>1334</v>
      </c>
      <c r="D913" s="1" t="s">
        <v>21</v>
      </c>
      <c r="E913" s="1" t="s">
        <v>96</v>
      </c>
      <c r="F913" s="1" t="s">
        <v>97</v>
      </c>
      <c r="G913" s="1" t="s">
        <v>33</v>
      </c>
      <c r="H913" s="1" t="s">
        <v>34</v>
      </c>
      <c r="I913" s="1" t="s">
        <v>72</v>
      </c>
      <c r="J913" s="1" t="s">
        <v>73</v>
      </c>
      <c r="K913" s="1" t="s">
        <v>28</v>
      </c>
      <c r="L913">
        <v>2</v>
      </c>
      <c r="M913">
        <v>2199</v>
      </c>
      <c r="N913">
        <v>0.2</v>
      </c>
      <c r="O913">
        <v>3518.4</v>
      </c>
      <c r="P913">
        <v>1250</v>
      </c>
      <c r="Q913">
        <v>2500</v>
      </c>
      <c r="R913">
        <v>60</v>
      </c>
      <c r="S913">
        <v>958.4</v>
      </c>
    </row>
    <row r="914" spans="1:19" x14ac:dyDescent="0.3">
      <c r="A914" s="1" t="s">
        <v>1390</v>
      </c>
      <c r="B914" s="4">
        <v>45735</v>
      </c>
      <c r="C914" s="1" t="s">
        <v>105</v>
      </c>
      <c r="D914" s="1" t="s">
        <v>40</v>
      </c>
      <c r="E914" s="1" t="s">
        <v>124</v>
      </c>
      <c r="F914" s="1" t="s">
        <v>125</v>
      </c>
      <c r="G914" s="1" t="s">
        <v>24</v>
      </c>
      <c r="H914" s="1" t="s">
        <v>34</v>
      </c>
      <c r="I914" s="1" t="s">
        <v>43</v>
      </c>
      <c r="J914" s="1" t="s">
        <v>44</v>
      </c>
      <c r="K914" s="1" t="s">
        <v>45</v>
      </c>
      <c r="L914">
        <v>1</v>
      </c>
      <c r="M914">
        <v>1799</v>
      </c>
      <c r="N914">
        <v>0.2</v>
      </c>
      <c r="O914">
        <v>1439.2</v>
      </c>
      <c r="P914">
        <v>850</v>
      </c>
      <c r="Q914">
        <v>850</v>
      </c>
      <c r="R914">
        <v>60</v>
      </c>
      <c r="S914">
        <v>529.20000000000005</v>
      </c>
    </row>
    <row r="915" spans="1:19" x14ac:dyDescent="0.3">
      <c r="A915" s="1" t="s">
        <v>1391</v>
      </c>
      <c r="B915" s="4">
        <v>45735</v>
      </c>
      <c r="C915" s="1" t="s">
        <v>1009</v>
      </c>
      <c r="D915" s="1" t="s">
        <v>21</v>
      </c>
      <c r="E915" s="1" t="s">
        <v>120</v>
      </c>
      <c r="F915" s="1" t="s">
        <v>121</v>
      </c>
      <c r="G915" s="1" t="s">
        <v>42</v>
      </c>
      <c r="H915" s="1" t="s">
        <v>56</v>
      </c>
      <c r="I915" s="1" t="s">
        <v>85</v>
      </c>
      <c r="J915" s="1" t="s">
        <v>86</v>
      </c>
      <c r="K915" s="1" t="s">
        <v>45</v>
      </c>
      <c r="L915">
        <v>4</v>
      </c>
      <c r="M915">
        <v>599</v>
      </c>
      <c r="N915">
        <v>0</v>
      </c>
      <c r="O915">
        <v>2396</v>
      </c>
      <c r="P915">
        <v>240</v>
      </c>
      <c r="Q915">
        <v>960</v>
      </c>
      <c r="R915">
        <v>0</v>
      </c>
      <c r="S915">
        <v>1436</v>
      </c>
    </row>
    <row r="916" spans="1:19" x14ac:dyDescent="0.3">
      <c r="A916" s="1" t="s">
        <v>1392</v>
      </c>
      <c r="B916" s="4">
        <v>45736</v>
      </c>
      <c r="C916" s="1" t="s">
        <v>1034</v>
      </c>
      <c r="D916" s="1" t="s">
        <v>40</v>
      </c>
      <c r="E916" s="1" t="s">
        <v>31</v>
      </c>
      <c r="F916" s="1" t="s">
        <v>32</v>
      </c>
      <c r="G916" s="1" t="s">
        <v>33</v>
      </c>
      <c r="H916" s="1" t="s">
        <v>89</v>
      </c>
      <c r="I916" s="1" t="s">
        <v>81</v>
      </c>
      <c r="J916" s="1" t="s">
        <v>82</v>
      </c>
      <c r="K916" s="1" t="s">
        <v>61</v>
      </c>
      <c r="L916">
        <v>2</v>
      </c>
      <c r="M916">
        <v>2999</v>
      </c>
      <c r="N916">
        <v>0.05</v>
      </c>
      <c r="O916">
        <v>5698.1</v>
      </c>
      <c r="P916">
        <v>1750</v>
      </c>
      <c r="Q916">
        <v>3500</v>
      </c>
      <c r="R916">
        <v>80</v>
      </c>
      <c r="S916">
        <v>2118.1</v>
      </c>
    </row>
    <row r="917" spans="1:19" x14ac:dyDescent="0.3">
      <c r="A917" s="1" t="s">
        <v>1393</v>
      </c>
      <c r="B917" s="4">
        <v>45737</v>
      </c>
      <c r="C917" s="1" t="s">
        <v>202</v>
      </c>
      <c r="D917" s="1" t="s">
        <v>48</v>
      </c>
      <c r="E917" s="1" t="s">
        <v>124</v>
      </c>
      <c r="F917" s="1" t="s">
        <v>125</v>
      </c>
      <c r="G917" s="1" t="s">
        <v>42</v>
      </c>
      <c r="H917" s="1" t="s">
        <v>25</v>
      </c>
      <c r="I917" s="1" t="s">
        <v>85</v>
      </c>
      <c r="J917" s="1" t="s">
        <v>86</v>
      </c>
      <c r="K917" s="1" t="s">
        <v>45</v>
      </c>
      <c r="L917">
        <v>2</v>
      </c>
      <c r="M917">
        <v>599</v>
      </c>
      <c r="N917">
        <v>0.15</v>
      </c>
      <c r="O917">
        <v>1018.3</v>
      </c>
      <c r="P917">
        <v>240</v>
      </c>
      <c r="Q917">
        <v>480</v>
      </c>
      <c r="R917">
        <v>60</v>
      </c>
      <c r="S917">
        <v>478.3</v>
      </c>
    </row>
    <row r="918" spans="1:19" x14ac:dyDescent="0.3">
      <c r="A918" s="1" t="s">
        <v>1394</v>
      </c>
      <c r="B918" s="4">
        <v>45738</v>
      </c>
      <c r="C918" s="1" t="s">
        <v>1260</v>
      </c>
      <c r="D918" s="1" t="s">
        <v>21</v>
      </c>
      <c r="E918" s="1" t="s">
        <v>49</v>
      </c>
      <c r="F918" s="1" t="s">
        <v>50</v>
      </c>
      <c r="G918" s="1" t="s">
        <v>24</v>
      </c>
      <c r="H918" s="1" t="s">
        <v>34</v>
      </c>
      <c r="I918" s="1" t="s">
        <v>59</v>
      </c>
      <c r="J918" s="1" t="s">
        <v>60</v>
      </c>
      <c r="K918" s="1" t="s">
        <v>61</v>
      </c>
      <c r="L918">
        <v>3</v>
      </c>
      <c r="M918">
        <v>999</v>
      </c>
      <c r="N918">
        <v>0</v>
      </c>
      <c r="O918">
        <v>2997</v>
      </c>
      <c r="P918">
        <v>520</v>
      </c>
      <c r="Q918">
        <v>1560</v>
      </c>
      <c r="R918">
        <v>100</v>
      </c>
      <c r="S918">
        <v>1337</v>
      </c>
    </row>
    <row r="919" spans="1:19" x14ac:dyDescent="0.3">
      <c r="A919" s="1" t="s">
        <v>1395</v>
      </c>
      <c r="B919" s="4">
        <v>45739</v>
      </c>
      <c r="C919" s="1" t="s">
        <v>392</v>
      </c>
      <c r="D919" s="1" t="s">
        <v>21</v>
      </c>
      <c r="E919" s="1" t="s">
        <v>120</v>
      </c>
      <c r="F919" s="1" t="s">
        <v>121</v>
      </c>
      <c r="G919" s="1" t="s">
        <v>33</v>
      </c>
      <c r="H919" s="1" t="s">
        <v>71</v>
      </c>
      <c r="I919" s="1" t="s">
        <v>66</v>
      </c>
      <c r="J919" s="1" t="s">
        <v>67</v>
      </c>
      <c r="K919" s="1" t="s">
        <v>28</v>
      </c>
      <c r="L919">
        <v>1</v>
      </c>
      <c r="M919">
        <v>2499</v>
      </c>
      <c r="N919">
        <v>0.15</v>
      </c>
      <c r="O919">
        <v>2124.15</v>
      </c>
      <c r="P919">
        <v>1450</v>
      </c>
      <c r="Q919">
        <v>1450</v>
      </c>
      <c r="R919">
        <v>80</v>
      </c>
      <c r="S919">
        <v>594.15</v>
      </c>
    </row>
    <row r="920" spans="1:19" x14ac:dyDescent="0.3">
      <c r="A920" s="1" t="s">
        <v>1396</v>
      </c>
      <c r="B920" s="4">
        <v>45741</v>
      </c>
      <c r="C920" s="1" t="s">
        <v>512</v>
      </c>
      <c r="D920" s="1" t="s">
        <v>40</v>
      </c>
      <c r="E920" s="1" t="s">
        <v>22</v>
      </c>
      <c r="F920" s="1" t="s">
        <v>23</v>
      </c>
      <c r="G920" s="1" t="s">
        <v>24</v>
      </c>
      <c r="H920" s="1" t="s">
        <v>89</v>
      </c>
      <c r="I920" s="1" t="s">
        <v>26</v>
      </c>
      <c r="J920" s="1" t="s">
        <v>27</v>
      </c>
      <c r="K920" s="1" t="s">
        <v>28</v>
      </c>
      <c r="L920">
        <v>1</v>
      </c>
      <c r="M920">
        <v>799</v>
      </c>
      <c r="N920">
        <v>0.2</v>
      </c>
      <c r="O920">
        <v>639.20000000000005</v>
      </c>
      <c r="P920">
        <v>420</v>
      </c>
      <c r="Q920">
        <v>420</v>
      </c>
      <c r="R920">
        <v>100</v>
      </c>
      <c r="S920">
        <v>119.2</v>
      </c>
    </row>
    <row r="921" spans="1:19" x14ac:dyDescent="0.3">
      <c r="A921" s="1" t="s">
        <v>1397</v>
      </c>
      <c r="B921" s="4">
        <v>45742</v>
      </c>
      <c r="C921" s="1" t="s">
        <v>640</v>
      </c>
      <c r="D921" s="1" t="s">
        <v>48</v>
      </c>
      <c r="E921" s="1" t="s">
        <v>112</v>
      </c>
      <c r="F921" s="1" t="s">
        <v>113</v>
      </c>
      <c r="G921" s="1" t="s">
        <v>33</v>
      </c>
      <c r="H921" s="1" t="s">
        <v>56</v>
      </c>
      <c r="I921" s="1" t="s">
        <v>81</v>
      </c>
      <c r="J921" s="1" t="s">
        <v>82</v>
      </c>
      <c r="K921" s="1" t="s">
        <v>61</v>
      </c>
      <c r="L921">
        <v>2</v>
      </c>
      <c r="M921">
        <v>2999</v>
      </c>
      <c r="N921">
        <v>0.2</v>
      </c>
      <c r="O921">
        <v>4798.3999999999996</v>
      </c>
      <c r="P921">
        <v>1750</v>
      </c>
      <c r="Q921">
        <v>3500</v>
      </c>
      <c r="R921">
        <v>40</v>
      </c>
      <c r="S921">
        <v>1258.4000000000001</v>
      </c>
    </row>
    <row r="922" spans="1:19" x14ac:dyDescent="0.3">
      <c r="A922" s="1" t="s">
        <v>1398</v>
      </c>
      <c r="B922" s="4">
        <v>45742</v>
      </c>
      <c r="C922" s="1" t="s">
        <v>984</v>
      </c>
      <c r="D922" s="1" t="s">
        <v>40</v>
      </c>
      <c r="E922" s="1" t="s">
        <v>22</v>
      </c>
      <c r="F922" s="1" t="s">
        <v>23</v>
      </c>
      <c r="G922" s="1" t="s">
        <v>33</v>
      </c>
      <c r="H922" s="1" t="s">
        <v>89</v>
      </c>
      <c r="I922" s="1" t="s">
        <v>66</v>
      </c>
      <c r="J922" s="1" t="s">
        <v>67</v>
      </c>
      <c r="K922" s="1" t="s">
        <v>28</v>
      </c>
      <c r="L922">
        <v>2</v>
      </c>
      <c r="M922">
        <v>2499</v>
      </c>
      <c r="N922">
        <v>0.2</v>
      </c>
      <c r="O922">
        <v>3998.4</v>
      </c>
      <c r="P922">
        <v>1450</v>
      </c>
      <c r="Q922">
        <v>2900</v>
      </c>
      <c r="R922">
        <v>60</v>
      </c>
      <c r="S922">
        <v>1038.4000000000001</v>
      </c>
    </row>
    <row r="923" spans="1:19" x14ac:dyDescent="0.3">
      <c r="A923" s="1" t="s">
        <v>1399</v>
      </c>
      <c r="B923" s="4">
        <v>45742</v>
      </c>
      <c r="C923" s="1" t="s">
        <v>888</v>
      </c>
      <c r="D923" s="1" t="s">
        <v>21</v>
      </c>
      <c r="E923" s="1" t="s">
        <v>64</v>
      </c>
      <c r="F923" s="1" t="s">
        <v>65</v>
      </c>
      <c r="G923" s="1" t="s">
        <v>24</v>
      </c>
      <c r="H923" s="1" t="s">
        <v>25</v>
      </c>
      <c r="I923" s="1" t="s">
        <v>59</v>
      </c>
      <c r="J923" s="1" t="s">
        <v>60</v>
      </c>
      <c r="K923" s="1" t="s">
        <v>61</v>
      </c>
      <c r="L923">
        <v>1</v>
      </c>
      <c r="M923">
        <v>999</v>
      </c>
      <c r="N923">
        <v>0.15</v>
      </c>
      <c r="O923">
        <v>849.15</v>
      </c>
      <c r="P923">
        <v>520</v>
      </c>
      <c r="Q923">
        <v>520</v>
      </c>
      <c r="R923">
        <v>0</v>
      </c>
      <c r="S923">
        <v>329.15</v>
      </c>
    </row>
    <row r="924" spans="1:19" x14ac:dyDescent="0.3">
      <c r="A924" s="1" t="s">
        <v>1400</v>
      </c>
      <c r="B924" s="4">
        <v>45743</v>
      </c>
      <c r="C924" s="1" t="s">
        <v>729</v>
      </c>
      <c r="D924" s="1" t="s">
        <v>48</v>
      </c>
      <c r="E924" s="1" t="s">
        <v>112</v>
      </c>
      <c r="F924" s="1" t="s">
        <v>113</v>
      </c>
      <c r="G924" s="1" t="s">
        <v>33</v>
      </c>
      <c r="H924" s="1" t="s">
        <v>25</v>
      </c>
      <c r="I924" s="1" t="s">
        <v>81</v>
      </c>
      <c r="J924" s="1" t="s">
        <v>82</v>
      </c>
      <c r="K924" s="1" t="s">
        <v>61</v>
      </c>
      <c r="L924">
        <v>1</v>
      </c>
      <c r="M924">
        <v>2999</v>
      </c>
      <c r="N924">
        <v>0.1</v>
      </c>
      <c r="O924">
        <v>2699.1</v>
      </c>
      <c r="P924">
        <v>1750</v>
      </c>
      <c r="Q924">
        <v>1750</v>
      </c>
      <c r="R924">
        <v>40</v>
      </c>
      <c r="S924">
        <v>909.1</v>
      </c>
    </row>
    <row r="925" spans="1:19" x14ac:dyDescent="0.3">
      <c r="A925" s="1" t="s">
        <v>1401</v>
      </c>
      <c r="B925" s="4">
        <v>45743</v>
      </c>
      <c r="C925" s="1" t="s">
        <v>1388</v>
      </c>
      <c r="D925" s="1" t="s">
        <v>48</v>
      </c>
      <c r="E925" s="1" t="s">
        <v>124</v>
      </c>
      <c r="F925" s="1" t="s">
        <v>125</v>
      </c>
      <c r="G925" s="1" t="s">
        <v>33</v>
      </c>
      <c r="H925" s="1" t="s">
        <v>89</v>
      </c>
      <c r="I925" s="1" t="s">
        <v>81</v>
      </c>
      <c r="J925" s="1" t="s">
        <v>82</v>
      </c>
      <c r="K925" s="1" t="s">
        <v>61</v>
      </c>
      <c r="L925">
        <v>2</v>
      </c>
      <c r="M925">
        <v>2999</v>
      </c>
      <c r="N925">
        <v>0.15</v>
      </c>
      <c r="O925">
        <v>5098.3</v>
      </c>
      <c r="P925">
        <v>1750</v>
      </c>
      <c r="Q925">
        <v>3500</v>
      </c>
      <c r="R925">
        <v>60</v>
      </c>
      <c r="S925">
        <v>1538.3</v>
      </c>
    </row>
    <row r="926" spans="1:19" x14ac:dyDescent="0.3">
      <c r="A926" s="1" t="s">
        <v>1402</v>
      </c>
      <c r="B926" s="4">
        <v>45744</v>
      </c>
      <c r="C926" s="1" t="s">
        <v>658</v>
      </c>
      <c r="D926" s="1" t="s">
        <v>40</v>
      </c>
      <c r="E926" s="1" t="s">
        <v>22</v>
      </c>
      <c r="F926" s="1" t="s">
        <v>23</v>
      </c>
      <c r="G926" s="1" t="s">
        <v>24</v>
      </c>
      <c r="H926" s="1" t="s">
        <v>56</v>
      </c>
      <c r="I926" s="1" t="s">
        <v>35</v>
      </c>
      <c r="J926" s="1" t="s">
        <v>36</v>
      </c>
      <c r="K926" s="1" t="s">
        <v>37</v>
      </c>
      <c r="L926">
        <v>1</v>
      </c>
      <c r="M926">
        <v>1299</v>
      </c>
      <c r="N926">
        <v>0.05</v>
      </c>
      <c r="O926">
        <v>1234.05</v>
      </c>
      <c r="P926">
        <v>700</v>
      </c>
      <c r="Q926">
        <v>700</v>
      </c>
      <c r="R926">
        <v>40</v>
      </c>
      <c r="S926">
        <v>494.05</v>
      </c>
    </row>
    <row r="927" spans="1:19" x14ac:dyDescent="0.3">
      <c r="A927" s="1" t="s">
        <v>1403</v>
      </c>
      <c r="B927" s="4">
        <v>45744</v>
      </c>
      <c r="C927" s="1" t="s">
        <v>224</v>
      </c>
      <c r="D927" s="1" t="s">
        <v>21</v>
      </c>
      <c r="E927" s="1" t="s">
        <v>41</v>
      </c>
      <c r="F927" s="1" t="s">
        <v>32</v>
      </c>
      <c r="G927" s="1" t="s">
        <v>24</v>
      </c>
      <c r="H927" s="1" t="s">
        <v>89</v>
      </c>
      <c r="I927" s="1" t="s">
        <v>76</v>
      </c>
      <c r="J927" s="1" t="s">
        <v>77</v>
      </c>
      <c r="K927" s="1" t="s">
        <v>37</v>
      </c>
      <c r="L927">
        <v>1</v>
      </c>
      <c r="M927">
        <v>6999</v>
      </c>
      <c r="N927">
        <v>0.1</v>
      </c>
      <c r="O927">
        <v>6299.1</v>
      </c>
      <c r="P927">
        <v>4900</v>
      </c>
      <c r="Q927">
        <v>4900</v>
      </c>
      <c r="R927">
        <v>40</v>
      </c>
      <c r="S927">
        <v>1359.1</v>
      </c>
    </row>
    <row r="928" spans="1:19" x14ac:dyDescent="0.3">
      <c r="A928" s="1" t="s">
        <v>1404</v>
      </c>
      <c r="B928" s="4">
        <v>45744</v>
      </c>
      <c r="C928" s="1" t="s">
        <v>744</v>
      </c>
      <c r="D928" s="1" t="s">
        <v>21</v>
      </c>
      <c r="E928" s="1" t="s">
        <v>41</v>
      </c>
      <c r="F928" s="1" t="s">
        <v>32</v>
      </c>
      <c r="G928" s="1" t="s">
        <v>42</v>
      </c>
      <c r="H928" s="1" t="s">
        <v>34</v>
      </c>
      <c r="I928" s="1" t="s">
        <v>51</v>
      </c>
      <c r="J928" s="1" t="s">
        <v>52</v>
      </c>
      <c r="K928" s="1" t="s">
        <v>37</v>
      </c>
      <c r="L928">
        <v>1</v>
      </c>
      <c r="M928">
        <v>499</v>
      </c>
      <c r="N928">
        <v>0</v>
      </c>
      <c r="O928">
        <v>499</v>
      </c>
      <c r="P928">
        <v>180</v>
      </c>
      <c r="Q928">
        <v>180</v>
      </c>
      <c r="R928">
        <v>100</v>
      </c>
      <c r="S928">
        <v>219</v>
      </c>
    </row>
    <row r="929" spans="1:19" x14ac:dyDescent="0.3">
      <c r="A929" s="1" t="s">
        <v>1405</v>
      </c>
      <c r="B929" s="4">
        <v>45745</v>
      </c>
      <c r="C929" s="1" t="s">
        <v>200</v>
      </c>
      <c r="D929" s="1" t="s">
        <v>40</v>
      </c>
      <c r="E929" s="1" t="s">
        <v>54</v>
      </c>
      <c r="F929" s="1" t="s">
        <v>55</v>
      </c>
      <c r="G929" s="1" t="s">
        <v>42</v>
      </c>
      <c r="H929" s="1" t="s">
        <v>34</v>
      </c>
      <c r="I929" s="1" t="s">
        <v>85</v>
      </c>
      <c r="J929" s="1" t="s">
        <v>86</v>
      </c>
      <c r="K929" s="1" t="s">
        <v>45</v>
      </c>
      <c r="L929">
        <v>1</v>
      </c>
      <c r="M929">
        <v>599</v>
      </c>
      <c r="N929">
        <v>0.2</v>
      </c>
      <c r="O929">
        <v>479.2</v>
      </c>
      <c r="P929">
        <v>240</v>
      </c>
      <c r="Q929">
        <v>240</v>
      </c>
      <c r="R929">
        <v>100</v>
      </c>
      <c r="S929">
        <v>139.19999999999999</v>
      </c>
    </row>
    <row r="930" spans="1:19" x14ac:dyDescent="0.3">
      <c r="A930" s="1" t="s">
        <v>1406</v>
      </c>
      <c r="B930" s="4">
        <v>45745</v>
      </c>
      <c r="C930" s="1" t="s">
        <v>372</v>
      </c>
      <c r="D930" s="1" t="s">
        <v>40</v>
      </c>
      <c r="E930" s="1" t="s">
        <v>64</v>
      </c>
      <c r="F930" s="1" t="s">
        <v>65</v>
      </c>
      <c r="G930" s="1" t="s">
        <v>24</v>
      </c>
      <c r="H930" s="1" t="s">
        <v>56</v>
      </c>
      <c r="I930" s="1" t="s">
        <v>51</v>
      </c>
      <c r="J930" s="1" t="s">
        <v>52</v>
      </c>
      <c r="K930" s="1" t="s">
        <v>37</v>
      </c>
      <c r="L930">
        <v>3</v>
      </c>
      <c r="M930">
        <v>499</v>
      </c>
      <c r="N930">
        <v>0</v>
      </c>
      <c r="O930">
        <v>1497</v>
      </c>
      <c r="P930">
        <v>180</v>
      </c>
      <c r="Q930">
        <v>540</v>
      </c>
      <c r="R930">
        <v>40</v>
      </c>
      <c r="S930">
        <v>917</v>
      </c>
    </row>
    <row r="931" spans="1:19" x14ac:dyDescent="0.3">
      <c r="A931" s="1" t="s">
        <v>1407</v>
      </c>
      <c r="B931" s="4">
        <v>45746</v>
      </c>
      <c r="C931" s="1" t="s">
        <v>720</v>
      </c>
      <c r="D931" s="1" t="s">
        <v>48</v>
      </c>
      <c r="E931" s="1" t="s">
        <v>70</v>
      </c>
      <c r="F931" s="1" t="s">
        <v>70</v>
      </c>
      <c r="G931" s="1" t="s">
        <v>33</v>
      </c>
      <c r="H931" s="1" t="s">
        <v>34</v>
      </c>
      <c r="I931" s="1" t="s">
        <v>72</v>
      </c>
      <c r="J931" s="1" t="s">
        <v>73</v>
      </c>
      <c r="K931" s="1" t="s">
        <v>28</v>
      </c>
      <c r="L931">
        <v>5</v>
      </c>
      <c r="M931">
        <v>2199</v>
      </c>
      <c r="N931">
        <v>0.1</v>
      </c>
      <c r="O931">
        <v>9895.5</v>
      </c>
      <c r="P931">
        <v>1250</v>
      </c>
      <c r="Q931">
        <v>6250</v>
      </c>
      <c r="R931">
        <v>60</v>
      </c>
      <c r="S931">
        <v>3585.5</v>
      </c>
    </row>
    <row r="932" spans="1:19" x14ac:dyDescent="0.3">
      <c r="A932" s="1" t="s">
        <v>1408</v>
      </c>
      <c r="B932" s="4">
        <v>45746</v>
      </c>
      <c r="C932" s="1" t="s">
        <v>79</v>
      </c>
      <c r="D932" s="1" t="s">
        <v>21</v>
      </c>
      <c r="E932" s="1" t="s">
        <v>70</v>
      </c>
      <c r="F932" s="1" t="s">
        <v>70</v>
      </c>
      <c r="G932" s="1" t="s">
        <v>33</v>
      </c>
      <c r="H932" s="1" t="s">
        <v>89</v>
      </c>
      <c r="I932" s="1" t="s">
        <v>85</v>
      </c>
      <c r="J932" s="1" t="s">
        <v>86</v>
      </c>
      <c r="K932" s="1" t="s">
        <v>45</v>
      </c>
      <c r="L932">
        <v>1</v>
      </c>
      <c r="M932">
        <v>599</v>
      </c>
      <c r="N932">
        <v>0.1</v>
      </c>
      <c r="O932">
        <v>539.1</v>
      </c>
      <c r="P932">
        <v>240</v>
      </c>
      <c r="Q932">
        <v>240</v>
      </c>
      <c r="R932">
        <v>100</v>
      </c>
      <c r="S932">
        <v>199.1</v>
      </c>
    </row>
    <row r="933" spans="1:19" x14ac:dyDescent="0.3">
      <c r="A933" s="1" t="s">
        <v>1409</v>
      </c>
      <c r="B933" s="4">
        <v>45746</v>
      </c>
      <c r="C933" s="1" t="s">
        <v>888</v>
      </c>
      <c r="D933" s="1" t="s">
        <v>40</v>
      </c>
      <c r="E933" s="1" t="s">
        <v>49</v>
      </c>
      <c r="F933" s="1" t="s">
        <v>50</v>
      </c>
      <c r="G933" s="1" t="s">
        <v>33</v>
      </c>
      <c r="H933" s="1" t="s">
        <v>34</v>
      </c>
      <c r="I933" s="1" t="s">
        <v>134</v>
      </c>
      <c r="J933" s="1" t="s">
        <v>135</v>
      </c>
      <c r="K933" s="1" t="s">
        <v>136</v>
      </c>
      <c r="L933">
        <v>1</v>
      </c>
      <c r="M933">
        <v>299</v>
      </c>
      <c r="N933">
        <v>0.2</v>
      </c>
      <c r="O933">
        <v>239.2</v>
      </c>
      <c r="P933">
        <v>110</v>
      </c>
      <c r="Q933">
        <v>110</v>
      </c>
      <c r="R933">
        <v>80</v>
      </c>
      <c r="S933">
        <v>49.2</v>
      </c>
    </row>
    <row r="934" spans="1:19" x14ac:dyDescent="0.3">
      <c r="A934" s="1" t="s">
        <v>1410</v>
      </c>
      <c r="B934" s="4">
        <v>45747</v>
      </c>
      <c r="C934" s="1" t="s">
        <v>984</v>
      </c>
      <c r="D934" s="1" t="s">
        <v>48</v>
      </c>
      <c r="E934" s="1" t="s">
        <v>70</v>
      </c>
      <c r="F934" s="1" t="s">
        <v>70</v>
      </c>
      <c r="G934" s="1" t="s">
        <v>33</v>
      </c>
      <c r="H934" s="1" t="s">
        <v>89</v>
      </c>
      <c r="I934" s="1" t="s">
        <v>92</v>
      </c>
      <c r="J934" s="1" t="s">
        <v>93</v>
      </c>
      <c r="K934" s="1" t="s">
        <v>28</v>
      </c>
      <c r="L934">
        <v>5</v>
      </c>
      <c r="M934">
        <v>1599</v>
      </c>
      <c r="N934">
        <v>0.2</v>
      </c>
      <c r="O934">
        <v>6396</v>
      </c>
      <c r="P934">
        <v>900</v>
      </c>
      <c r="Q934">
        <v>4500</v>
      </c>
      <c r="R934">
        <v>100</v>
      </c>
      <c r="S934">
        <v>1796</v>
      </c>
    </row>
    <row r="935" spans="1:19" x14ac:dyDescent="0.3">
      <c r="A935" s="1" t="s">
        <v>1411</v>
      </c>
      <c r="B935" s="4">
        <v>45747</v>
      </c>
      <c r="C935" s="1" t="s">
        <v>1120</v>
      </c>
      <c r="D935" s="1" t="s">
        <v>48</v>
      </c>
      <c r="E935" s="1" t="s">
        <v>70</v>
      </c>
      <c r="F935" s="1" t="s">
        <v>70</v>
      </c>
      <c r="G935" s="1" t="s">
        <v>33</v>
      </c>
      <c r="H935" s="1" t="s">
        <v>89</v>
      </c>
      <c r="I935" s="1" t="s">
        <v>92</v>
      </c>
      <c r="J935" s="1" t="s">
        <v>93</v>
      </c>
      <c r="K935" s="1" t="s">
        <v>28</v>
      </c>
      <c r="L935">
        <v>1</v>
      </c>
      <c r="M935">
        <v>1599</v>
      </c>
      <c r="N935">
        <v>0</v>
      </c>
      <c r="O935">
        <v>1599</v>
      </c>
      <c r="P935">
        <v>900</v>
      </c>
      <c r="Q935">
        <v>900</v>
      </c>
      <c r="R935">
        <v>0</v>
      </c>
      <c r="S935">
        <v>699</v>
      </c>
    </row>
    <row r="936" spans="1:19" x14ac:dyDescent="0.3">
      <c r="A936" s="1" t="s">
        <v>1412</v>
      </c>
      <c r="B936" s="4">
        <v>45747</v>
      </c>
      <c r="C936" s="1" t="s">
        <v>1413</v>
      </c>
      <c r="D936" s="1" t="s">
        <v>48</v>
      </c>
      <c r="E936" s="1" t="s">
        <v>31</v>
      </c>
      <c r="F936" s="1" t="s">
        <v>32</v>
      </c>
      <c r="G936" s="1" t="s">
        <v>24</v>
      </c>
      <c r="H936" s="1" t="s">
        <v>34</v>
      </c>
      <c r="I936" s="1" t="s">
        <v>92</v>
      </c>
      <c r="J936" s="1" t="s">
        <v>93</v>
      </c>
      <c r="K936" s="1" t="s">
        <v>28</v>
      </c>
      <c r="L936">
        <v>1</v>
      </c>
      <c r="M936">
        <v>1599</v>
      </c>
      <c r="N936">
        <v>0.1</v>
      </c>
      <c r="O936">
        <v>1439.1</v>
      </c>
      <c r="P936">
        <v>900</v>
      </c>
      <c r="Q936">
        <v>900</v>
      </c>
      <c r="R936">
        <v>0</v>
      </c>
      <c r="S936">
        <v>539.1</v>
      </c>
    </row>
    <row r="937" spans="1:19" x14ac:dyDescent="0.3">
      <c r="A937" s="1" t="s">
        <v>1414</v>
      </c>
      <c r="B937" s="4">
        <v>45747</v>
      </c>
      <c r="C937" s="1" t="s">
        <v>402</v>
      </c>
      <c r="D937" s="1" t="s">
        <v>48</v>
      </c>
      <c r="E937" s="1" t="s">
        <v>80</v>
      </c>
      <c r="F937" s="1" t="s">
        <v>55</v>
      </c>
      <c r="G937" s="1" t="s">
        <v>24</v>
      </c>
      <c r="H937" s="1" t="s">
        <v>25</v>
      </c>
      <c r="I937" s="1" t="s">
        <v>72</v>
      </c>
      <c r="J937" s="1" t="s">
        <v>73</v>
      </c>
      <c r="K937" s="1" t="s">
        <v>28</v>
      </c>
      <c r="L937">
        <v>4</v>
      </c>
      <c r="M937">
        <v>2199</v>
      </c>
      <c r="N937">
        <v>0.1</v>
      </c>
      <c r="O937">
        <v>7916.4</v>
      </c>
      <c r="P937">
        <v>1250</v>
      </c>
      <c r="Q937">
        <v>5000</v>
      </c>
      <c r="R937">
        <v>60</v>
      </c>
      <c r="S937">
        <v>2856.4</v>
      </c>
    </row>
    <row r="938" spans="1:19" x14ac:dyDescent="0.3">
      <c r="A938" s="1" t="s">
        <v>1415</v>
      </c>
      <c r="B938" s="4">
        <v>45748</v>
      </c>
      <c r="C938" s="1" t="s">
        <v>729</v>
      </c>
      <c r="D938" s="1" t="s">
        <v>40</v>
      </c>
      <c r="E938" s="1" t="s">
        <v>96</v>
      </c>
      <c r="F938" s="1" t="s">
        <v>97</v>
      </c>
      <c r="G938" s="1" t="s">
        <v>33</v>
      </c>
      <c r="H938" s="1" t="s">
        <v>25</v>
      </c>
      <c r="I938" s="1" t="s">
        <v>81</v>
      </c>
      <c r="J938" s="1" t="s">
        <v>82</v>
      </c>
      <c r="K938" s="1" t="s">
        <v>61</v>
      </c>
      <c r="L938">
        <v>1</v>
      </c>
      <c r="M938">
        <v>2999</v>
      </c>
      <c r="N938">
        <v>0.2</v>
      </c>
      <c r="O938">
        <v>2399.1999999999998</v>
      </c>
      <c r="P938">
        <v>1750</v>
      </c>
      <c r="Q938">
        <v>1750</v>
      </c>
      <c r="R938">
        <v>100</v>
      </c>
      <c r="S938">
        <v>549.20000000000005</v>
      </c>
    </row>
    <row r="939" spans="1:19" x14ac:dyDescent="0.3">
      <c r="A939" s="1" t="s">
        <v>1416</v>
      </c>
      <c r="B939" s="4">
        <v>45748</v>
      </c>
      <c r="C939" s="1" t="s">
        <v>157</v>
      </c>
      <c r="D939" s="1" t="s">
        <v>40</v>
      </c>
      <c r="E939" s="1" t="s">
        <v>124</v>
      </c>
      <c r="F939" s="1" t="s">
        <v>125</v>
      </c>
      <c r="G939" s="1" t="s">
        <v>24</v>
      </c>
      <c r="H939" s="1" t="s">
        <v>71</v>
      </c>
      <c r="I939" s="1" t="s">
        <v>134</v>
      </c>
      <c r="J939" s="1" t="s">
        <v>135</v>
      </c>
      <c r="K939" s="1" t="s">
        <v>136</v>
      </c>
      <c r="L939">
        <v>2</v>
      </c>
      <c r="M939">
        <v>299</v>
      </c>
      <c r="N939">
        <v>0</v>
      </c>
      <c r="O939">
        <v>598</v>
      </c>
      <c r="P939">
        <v>110</v>
      </c>
      <c r="Q939">
        <v>220</v>
      </c>
      <c r="R939">
        <v>80</v>
      </c>
      <c r="S939">
        <v>298</v>
      </c>
    </row>
    <row r="940" spans="1:19" x14ac:dyDescent="0.3">
      <c r="A940" s="1" t="s">
        <v>1417</v>
      </c>
      <c r="B940" s="4">
        <v>45748</v>
      </c>
      <c r="C940" s="1" t="s">
        <v>950</v>
      </c>
      <c r="D940" s="1" t="s">
        <v>40</v>
      </c>
      <c r="E940" s="1" t="s">
        <v>124</v>
      </c>
      <c r="F940" s="1" t="s">
        <v>125</v>
      </c>
      <c r="G940" s="1" t="s">
        <v>42</v>
      </c>
      <c r="H940" s="1" t="s">
        <v>56</v>
      </c>
      <c r="I940" s="1" t="s">
        <v>43</v>
      </c>
      <c r="J940" s="1" t="s">
        <v>44</v>
      </c>
      <c r="K940" s="1" t="s">
        <v>45</v>
      </c>
      <c r="L940">
        <v>1</v>
      </c>
      <c r="M940">
        <v>1799</v>
      </c>
      <c r="N940">
        <v>0.2</v>
      </c>
      <c r="O940">
        <v>1439.2</v>
      </c>
      <c r="P940">
        <v>850</v>
      </c>
      <c r="Q940">
        <v>850</v>
      </c>
      <c r="R940">
        <v>40</v>
      </c>
      <c r="S940">
        <v>549.20000000000005</v>
      </c>
    </row>
    <row r="941" spans="1:19" x14ac:dyDescent="0.3">
      <c r="A941" s="1" t="s">
        <v>1418</v>
      </c>
      <c r="B941" s="4">
        <v>45748</v>
      </c>
      <c r="C941" s="1" t="s">
        <v>597</v>
      </c>
      <c r="D941" s="1" t="s">
        <v>40</v>
      </c>
      <c r="E941" s="1" t="s">
        <v>64</v>
      </c>
      <c r="F941" s="1" t="s">
        <v>65</v>
      </c>
      <c r="G941" s="1" t="s">
        <v>24</v>
      </c>
      <c r="H941" s="1" t="s">
        <v>34</v>
      </c>
      <c r="I941" s="1" t="s">
        <v>26</v>
      </c>
      <c r="J941" s="1" t="s">
        <v>27</v>
      </c>
      <c r="K941" s="1" t="s">
        <v>28</v>
      </c>
      <c r="L941">
        <v>2</v>
      </c>
      <c r="M941">
        <v>799</v>
      </c>
      <c r="N941">
        <v>0.15</v>
      </c>
      <c r="O941">
        <v>1358.3</v>
      </c>
      <c r="P941">
        <v>420</v>
      </c>
      <c r="Q941">
        <v>840</v>
      </c>
      <c r="R941">
        <v>80</v>
      </c>
      <c r="S941">
        <v>438.3</v>
      </c>
    </row>
    <row r="942" spans="1:19" x14ac:dyDescent="0.3">
      <c r="A942" s="1" t="s">
        <v>1419</v>
      </c>
      <c r="B942" s="4">
        <v>45749</v>
      </c>
      <c r="C942" s="1" t="s">
        <v>603</v>
      </c>
      <c r="D942" s="1" t="s">
        <v>21</v>
      </c>
      <c r="E942" s="1" t="s">
        <v>120</v>
      </c>
      <c r="F942" s="1" t="s">
        <v>121</v>
      </c>
      <c r="G942" s="1" t="s">
        <v>24</v>
      </c>
      <c r="H942" s="1" t="s">
        <v>89</v>
      </c>
      <c r="I942" s="1" t="s">
        <v>72</v>
      </c>
      <c r="J942" s="1" t="s">
        <v>73</v>
      </c>
      <c r="K942" s="1" t="s">
        <v>28</v>
      </c>
      <c r="L942">
        <v>4</v>
      </c>
      <c r="M942">
        <v>2199</v>
      </c>
      <c r="N942">
        <v>0</v>
      </c>
      <c r="O942">
        <v>8796</v>
      </c>
      <c r="P942">
        <v>1250</v>
      </c>
      <c r="Q942">
        <v>5000</v>
      </c>
      <c r="R942">
        <v>40</v>
      </c>
      <c r="S942">
        <v>3756</v>
      </c>
    </row>
    <row r="943" spans="1:19" x14ac:dyDescent="0.3">
      <c r="A943" s="1" t="s">
        <v>1420</v>
      </c>
      <c r="B943" s="4">
        <v>45749</v>
      </c>
      <c r="C943" s="1" t="s">
        <v>1421</v>
      </c>
      <c r="D943" s="1" t="s">
        <v>40</v>
      </c>
      <c r="E943" s="1" t="s">
        <v>124</v>
      </c>
      <c r="F943" s="1" t="s">
        <v>125</v>
      </c>
      <c r="G943" s="1" t="s">
        <v>24</v>
      </c>
      <c r="H943" s="1" t="s">
        <v>25</v>
      </c>
      <c r="I943" s="1" t="s">
        <v>26</v>
      </c>
      <c r="J943" s="1" t="s">
        <v>27</v>
      </c>
      <c r="K943" s="1" t="s">
        <v>28</v>
      </c>
      <c r="L943">
        <v>1</v>
      </c>
      <c r="M943">
        <v>799</v>
      </c>
      <c r="N943">
        <v>0</v>
      </c>
      <c r="O943">
        <v>799</v>
      </c>
      <c r="P943">
        <v>420</v>
      </c>
      <c r="Q943">
        <v>420</v>
      </c>
      <c r="R943">
        <v>0</v>
      </c>
      <c r="S943">
        <v>379</v>
      </c>
    </row>
    <row r="944" spans="1:19" x14ac:dyDescent="0.3">
      <c r="A944" s="1" t="s">
        <v>1422</v>
      </c>
      <c r="B944" s="4">
        <v>45751</v>
      </c>
      <c r="C944" s="1" t="s">
        <v>1423</v>
      </c>
      <c r="D944" s="1" t="s">
        <v>48</v>
      </c>
      <c r="E944" s="1" t="s">
        <v>64</v>
      </c>
      <c r="F944" s="1" t="s">
        <v>65</v>
      </c>
      <c r="G944" s="1" t="s">
        <v>24</v>
      </c>
      <c r="H944" s="1" t="s">
        <v>25</v>
      </c>
      <c r="I944" s="1" t="s">
        <v>76</v>
      </c>
      <c r="J944" s="1" t="s">
        <v>77</v>
      </c>
      <c r="K944" s="1" t="s">
        <v>37</v>
      </c>
      <c r="L944">
        <v>2</v>
      </c>
      <c r="M944">
        <v>6999</v>
      </c>
      <c r="N944">
        <v>0.1</v>
      </c>
      <c r="O944">
        <v>12598.2</v>
      </c>
      <c r="P944">
        <v>4900</v>
      </c>
      <c r="Q944">
        <v>9800</v>
      </c>
      <c r="R944">
        <v>0</v>
      </c>
      <c r="S944">
        <v>2798.2</v>
      </c>
    </row>
    <row r="945" spans="1:19" x14ac:dyDescent="0.3">
      <c r="A945" s="1" t="s">
        <v>1424</v>
      </c>
      <c r="B945" s="4">
        <v>45751</v>
      </c>
      <c r="C945" s="1" t="s">
        <v>1425</v>
      </c>
      <c r="D945" s="1" t="s">
        <v>48</v>
      </c>
      <c r="E945" s="1" t="s">
        <v>80</v>
      </c>
      <c r="F945" s="1" t="s">
        <v>55</v>
      </c>
      <c r="G945" s="1" t="s">
        <v>33</v>
      </c>
      <c r="H945" s="1" t="s">
        <v>34</v>
      </c>
      <c r="I945" s="1" t="s">
        <v>59</v>
      </c>
      <c r="J945" s="1" t="s">
        <v>60</v>
      </c>
      <c r="K945" s="1" t="s">
        <v>61</v>
      </c>
      <c r="L945">
        <v>2</v>
      </c>
      <c r="M945">
        <v>999</v>
      </c>
      <c r="N945">
        <v>0.15</v>
      </c>
      <c r="O945">
        <v>1698.3</v>
      </c>
      <c r="P945">
        <v>520</v>
      </c>
      <c r="Q945">
        <v>1040</v>
      </c>
      <c r="R945">
        <v>0</v>
      </c>
      <c r="S945">
        <v>658.3</v>
      </c>
    </row>
    <row r="946" spans="1:19" x14ac:dyDescent="0.3">
      <c r="A946" s="1" t="s">
        <v>1426</v>
      </c>
      <c r="B946" s="4">
        <v>45752</v>
      </c>
      <c r="C946" s="1" t="s">
        <v>447</v>
      </c>
      <c r="D946" s="1" t="s">
        <v>40</v>
      </c>
      <c r="E946" s="1" t="s">
        <v>31</v>
      </c>
      <c r="F946" s="1" t="s">
        <v>32</v>
      </c>
      <c r="G946" s="1" t="s">
        <v>24</v>
      </c>
      <c r="H946" s="1" t="s">
        <v>56</v>
      </c>
      <c r="I946" s="1" t="s">
        <v>35</v>
      </c>
      <c r="J946" s="1" t="s">
        <v>36</v>
      </c>
      <c r="K946" s="1" t="s">
        <v>37</v>
      </c>
      <c r="L946">
        <v>3</v>
      </c>
      <c r="M946">
        <v>1299</v>
      </c>
      <c r="N946">
        <v>0.2</v>
      </c>
      <c r="O946">
        <v>3117.6</v>
      </c>
      <c r="P946">
        <v>700</v>
      </c>
      <c r="Q946">
        <v>2100</v>
      </c>
      <c r="R946">
        <v>0</v>
      </c>
      <c r="S946">
        <v>1017.6</v>
      </c>
    </row>
    <row r="947" spans="1:19" x14ac:dyDescent="0.3">
      <c r="A947" s="1" t="s">
        <v>1427</v>
      </c>
      <c r="B947" s="4">
        <v>45752</v>
      </c>
      <c r="C947" s="1" t="s">
        <v>474</v>
      </c>
      <c r="D947" s="1" t="s">
        <v>21</v>
      </c>
      <c r="E947" s="1" t="s">
        <v>49</v>
      </c>
      <c r="F947" s="1" t="s">
        <v>50</v>
      </c>
      <c r="G947" s="1" t="s">
        <v>33</v>
      </c>
      <c r="H947" s="1" t="s">
        <v>25</v>
      </c>
      <c r="I947" s="1" t="s">
        <v>85</v>
      </c>
      <c r="J947" s="1" t="s">
        <v>86</v>
      </c>
      <c r="K947" s="1" t="s">
        <v>45</v>
      </c>
      <c r="L947">
        <v>1</v>
      </c>
      <c r="M947">
        <v>599</v>
      </c>
      <c r="N947">
        <v>0.1</v>
      </c>
      <c r="O947">
        <v>539.1</v>
      </c>
      <c r="P947">
        <v>240</v>
      </c>
      <c r="Q947">
        <v>240</v>
      </c>
      <c r="R947">
        <v>0</v>
      </c>
      <c r="S947">
        <v>299.10000000000002</v>
      </c>
    </row>
    <row r="948" spans="1:19" x14ac:dyDescent="0.3">
      <c r="A948" s="1" t="s">
        <v>1428</v>
      </c>
      <c r="B948" s="4">
        <v>45752</v>
      </c>
      <c r="C948" s="1" t="s">
        <v>400</v>
      </c>
      <c r="D948" s="1" t="s">
        <v>40</v>
      </c>
      <c r="E948" s="1" t="s">
        <v>124</v>
      </c>
      <c r="F948" s="1" t="s">
        <v>125</v>
      </c>
      <c r="G948" s="1" t="s">
        <v>33</v>
      </c>
      <c r="H948" s="1" t="s">
        <v>71</v>
      </c>
      <c r="I948" s="1" t="s">
        <v>43</v>
      </c>
      <c r="J948" s="1" t="s">
        <v>44</v>
      </c>
      <c r="K948" s="1" t="s">
        <v>45</v>
      </c>
      <c r="L948">
        <v>1</v>
      </c>
      <c r="M948">
        <v>1799</v>
      </c>
      <c r="N948">
        <v>0</v>
      </c>
      <c r="O948">
        <v>1799</v>
      </c>
      <c r="P948">
        <v>850</v>
      </c>
      <c r="Q948">
        <v>850</v>
      </c>
      <c r="R948">
        <v>100</v>
      </c>
      <c r="S948">
        <v>849</v>
      </c>
    </row>
    <row r="949" spans="1:19" x14ac:dyDescent="0.3">
      <c r="A949" s="1" t="s">
        <v>1429</v>
      </c>
      <c r="B949" s="4">
        <v>45752</v>
      </c>
      <c r="C949" s="1" t="s">
        <v>676</v>
      </c>
      <c r="D949" s="1" t="s">
        <v>48</v>
      </c>
      <c r="E949" s="1" t="s">
        <v>120</v>
      </c>
      <c r="F949" s="1" t="s">
        <v>121</v>
      </c>
      <c r="G949" s="1" t="s">
        <v>42</v>
      </c>
      <c r="H949" s="1" t="s">
        <v>56</v>
      </c>
      <c r="I949" s="1" t="s">
        <v>43</v>
      </c>
      <c r="J949" s="1" t="s">
        <v>44</v>
      </c>
      <c r="K949" s="1" t="s">
        <v>45</v>
      </c>
      <c r="L949">
        <v>2</v>
      </c>
      <c r="M949">
        <v>1799</v>
      </c>
      <c r="N949">
        <v>0.05</v>
      </c>
      <c r="O949">
        <v>3418.1</v>
      </c>
      <c r="P949">
        <v>850</v>
      </c>
      <c r="Q949">
        <v>1700</v>
      </c>
      <c r="R949">
        <v>40</v>
      </c>
      <c r="S949">
        <v>1678.1</v>
      </c>
    </row>
    <row r="950" spans="1:19" x14ac:dyDescent="0.3">
      <c r="A950" s="1" t="s">
        <v>1430</v>
      </c>
      <c r="B950" s="4">
        <v>45752</v>
      </c>
      <c r="C950" s="1" t="s">
        <v>244</v>
      </c>
      <c r="D950" s="1" t="s">
        <v>48</v>
      </c>
      <c r="E950" s="1" t="s">
        <v>31</v>
      </c>
      <c r="F950" s="1" t="s">
        <v>32</v>
      </c>
      <c r="G950" s="1" t="s">
        <v>33</v>
      </c>
      <c r="H950" s="1" t="s">
        <v>56</v>
      </c>
      <c r="I950" s="1" t="s">
        <v>59</v>
      </c>
      <c r="J950" s="1" t="s">
        <v>60</v>
      </c>
      <c r="K950" s="1" t="s">
        <v>61</v>
      </c>
      <c r="L950">
        <v>1</v>
      </c>
      <c r="M950">
        <v>999</v>
      </c>
      <c r="N950">
        <v>0</v>
      </c>
      <c r="O950">
        <v>999</v>
      </c>
      <c r="P950">
        <v>520</v>
      </c>
      <c r="Q950">
        <v>520</v>
      </c>
      <c r="R950">
        <v>80</v>
      </c>
      <c r="S950">
        <v>399</v>
      </c>
    </row>
    <row r="951" spans="1:19" x14ac:dyDescent="0.3">
      <c r="A951" s="1" t="s">
        <v>1431</v>
      </c>
      <c r="B951" s="4">
        <v>45753</v>
      </c>
      <c r="C951" s="1" t="s">
        <v>1279</v>
      </c>
      <c r="D951" s="1" t="s">
        <v>48</v>
      </c>
      <c r="E951" s="1" t="s">
        <v>96</v>
      </c>
      <c r="F951" s="1" t="s">
        <v>97</v>
      </c>
      <c r="G951" s="1" t="s">
        <v>42</v>
      </c>
      <c r="H951" s="1" t="s">
        <v>34</v>
      </c>
      <c r="I951" s="1" t="s">
        <v>59</v>
      </c>
      <c r="J951" s="1" t="s">
        <v>60</v>
      </c>
      <c r="K951" s="1" t="s">
        <v>61</v>
      </c>
      <c r="L951">
        <v>1</v>
      </c>
      <c r="M951">
        <v>999</v>
      </c>
      <c r="N951">
        <v>0</v>
      </c>
      <c r="O951">
        <v>999</v>
      </c>
      <c r="P951">
        <v>520</v>
      </c>
      <c r="Q951">
        <v>520</v>
      </c>
      <c r="R951">
        <v>100</v>
      </c>
      <c r="S951">
        <v>379</v>
      </c>
    </row>
    <row r="952" spans="1:19" x14ac:dyDescent="0.3">
      <c r="A952" s="1" t="s">
        <v>1432</v>
      </c>
      <c r="B952" s="4">
        <v>45753</v>
      </c>
      <c r="C952" s="1" t="s">
        <v>704</v>
      </c>
      <c r="D952" s="1" t="s">
        <v>48</v>
      </c>
      <c r="E952" s="1" t="s">
        <v>70</v>
      </c>
      <c r="F952" s="1" t="s">
        <v>70</v>
      </c>
      <c r="G952" s="1" t="s">
        <v>33</v>
      </c>
      <c r="H952" s="1" t="s">
        <v>71</v>
      </c>
      <c r="I952" s="1" t="s">
        <v>81</v>
      </c>
      <c r="J952" s="1" t="s">
        <v>82</v>
      </c>
      <c r="K952" s="1" t="s">
        <v>61</v>
      </c>
      <c r="L952">
        <v>2</v>
      </c>
      <c r="M952">
        <v>2999</v>
      </c>
      <c r="N952">
        <v>0.05</v>
      </c>
      <c r="O952">
        <v>5698.1</v>
      </c>
      <c r="P952">
        <v>1750</v>
      </c>
      <c r="Q952">
        <v>3500</v>
      </c>
      <c r="R952">
        <v>100</v>
      </c>
      <c r="S952">
        <v>2098.1</v>
      </c>
    </row>
    <row r="953" spans="1:19" x14ac:dyDescent="0.3">
      <c r="A953" s="1" t="s">
        <v>1433</v>
      </c>
      <c r="B953" s="4">
        <v>45753</v>
      </c>
      <c r="C953" s="1" t="s">
        <v>1044</v>
      </c>
      <c r="D953" s="1" t="s">
        <v>48</v>
      </c>
      <c r="E953" s="1" t="s">
        <v>49</v>
      </c>
      <c r="F953" s="1" t="s">
        <v>50</v>
      </c>
      <c r="G953" s="1" t="s">
        <v>33</v>
      </c>
      <c r="H953" s="1" t="s">
        <v>34</v>
      </c>
      <c r="I953" s="1" t="s">
        <v>72</v>
      </c>
      <c r="J953" s="1" t="s">
        <v>73</v>
      </c>
      <c r="K953" s="1" t="s">
        <v>28</v>
      </c>
      <c r="L953">
        <v>2</v>
      </c>
      <c r="M953">
        <v>2199</v>
      </c>
      <c r="N953">
        <v>0.05</v>
      </c>
      <c r="O953">
        <v>4178.1000000000004</v>
      </c>
      <c r="P953">
        <v>1250</v>
      </c>
      <c r="Q953">
        <v>2500</v>
      </c>
      <c r="R953">
        <v>0</v>
      </c>
      <c r="S953">
        <v>1678.1</v>
      </c>
    </row>
    <row r="954" spans="1:19" x14ac:dyDescent="0.3">
      <c r="A954" s="1" t="s">
        <v>1434</v>
      </c>
      <c r="B954" s="4">
        <v>45753</v>
      </c>
      <c r="C954" s="1" t="s">
        <v>1070</v>
      </c>
      <c r="D954" s="1" t="s">
        <v>21</v>
      </c>
      <c r="E954" s="1" t="s">
        <v>41</v>
      </c>
      <c r="F954" s="1" t="s">
        <v>32</v>
      </c>
      <c r="G954" s="1" t="s">
        <v>42</v>
      </c>
      <c r="H954" s="1" t="s">
        <v>34</v>
      </c>
      <c r="I954" s="1" t="s">
        <v>51</v>
      </c>
      <c r="J954" s="1" t="s">
        <v>52</v>
      </c>
      <c r="K954" s="1" t="s">
        <v>37</v>
      </c>
      <c r="L954">
        <v>3</v>
      </c>
      <c r="M954">
        <v>499</v>
      </c>
      <c r="N954">
        <v>0.15</v>
      </c>
      <c r="O954">
        <v>1272.45</v>
      </c>
      <c r="P954">
        <v>180</v>
      </c>
      <c r="Q954">
        <v>540</v>
      </c>
      <c r="R954">
        <v>100</v>
      </c>
      <c r="S954">
        <v>632.45000000000005</v>
      </c>
    </row>
    <row r="955" spans="1:19" x14ac:dyDescent="0.3">
      <c r="A955" s="1" t="s">
        <v>1435</v>
      </c>
      <c r="B955" s="4">
        <v>45755</v>
      </c>
      <c r="C955" s="1" t="s">
        <v>1413</v>
      </c>
      <c r="D955" s="1" t="s">
        <v>40</v>
      </c>
      <c r="E955" s="1" t="s">
        <v>31</v>
      </c>
      <c r="F955" s="1" t="s">
        <v>32</v>
      </c>
      <c r="G955" s="1" t="s">
        <v>42</v>
      </c>
      <c r="H955" s="1" t="s">
        <v>56</v>
      </c>
      <c r="I955" s="1" t="s">
        <v>35</v>
      </c>
      <c r="J955" s="1" t="s">
        <v>36</v>
      </c>
      <c r="K955" s="1" t="s">
        <v>37</v>
      </c>
      <c r="L955">
        <v>1</v>
      </c>
      <c r="M955">
        <v>1299</v>
      </c>
      <c r="N955">
        <v>0</v>
      </c>
      <c r="O955">
        <v>1299</v>
      </c>
      <c r="P955">
        <v>700</v>
      </c>
      <c r="Q955">
        <v>700</v>
      </c>
      <c r="R955">
        <v>40</v>
      </c>
      <c r="S955">
        <v>559</v>
      </c>
    </row>
    <row r="956" spans="1:19" x14ac:dyDescent="0.3">
      <c r="A956" s="1" t="s">
        <v>1436</v>
      </c>
      <c r="B956" s="4">
        <v>45755</v>
      </c>
      <c r="C956" s="1" t="s">
        <v>343</v>
      </c>
      <c r="D956" s="1" t="s">
        <v>40</v>
      </c>
      <c r="E956" s="1" t="s">
        <v>124</v>
      </c>
      <c r="F956" s="1" t="s">
        <v>125</v>
      </c>
      <c r="G956" s="1" t="s">
        <v>42</v>
      </c>
      <c r="H956" s="1" t="s">
        <v>89</v>
      </c>
      <c r="I956" s="1" t="s">
        <v>35</v>
      </c>
      <c r="J956" s="1" t="s">
        <v>36</v>
      </c>
      <c r="K956" s="1" t="s">
        <v>37</v>
      </c>
      <c r="L956">
        <v>2</v>
      </c>
      <c r="M956">
        <v>1299</v>
      </c>
      <c r="N956">
        <v>0.1</v>
      </c>
      <c r="O956">
        <v>2338.1999999999998</v>
      </c>
      <c r="P956">
        <v>700</v>
      </c>
      <c r="Q956">
        <v>1400</v>
      </c>
      <c r="R956">
        <v>40</v>
      </c>
      <c r="S956">
        <v>898.2</v>
      </c>
    </row>
    <row r="957" spans="1:19" x14ac:dyDescent="0.3">
      <c r="A957" s="1" t="s">
        <v>1437</v>
      </c>
      <c r="B957" s="4">
        <v>45755</v>
      </c>
      <c r="C957" s="1" t="s">
        <v>1282</v>
      </c>
      <c r="D957" s="1" t="s">
        <v>21</v>
      </c>
      <c r="E957" s="1" t="s">
        <v>96</v>
      </c>
      <c r="F957" s="1" t="s">
        <v>97</v>
      </c>
      <c r="G957" s="1" t="s">
        <v>42</v>
      </c>
      <c r="H957" s="1" t="s">
        <v>56</v>
      </c>
      <c r="I957" s="1" t="s">
        <v>43</v>
      </c>
      <c r="J957" s="1" t="s">
        <v>44</v>
      </c>
      <c r="K957" s="1" t="s">
        <v>45</v>
      </c>
      <c r="L957">
        <v>1</v>
      </c>
      <c r="M957">
        <v>1799</v>
      </c>
      <c r="N957">
        <v>0.15</v>
      </c>
      <c r="O957">
        <v>1529.15</v>
      </c>
      <c r="P957">
        <v>850</v>
      </c>
      <c r="Q957">
        <v>850</v>
      </c>
      <c r="R957">
        <v>0</v>
      </c>
      <c r="S957">
        <v>679.15</v>
      </c>
    </row>
    <row r="958" spans="1:19" x14ac:dyDescent="0.3">
      <c r="A958" s="1" t="s">
        <v>1438</v>
      </c>
      <c r="B958" s="4">
        <v>45756</v>
      </c>
      <c r="C958" s="1" t="s">
        <v>119</v>
      </c>
      <c r="D958" s="1" t="s">
        <v>21</v>
      </c>
      <c r="E958" s="1" t="s">
        <v>120</v>
      </c>
      <c r="F958" s="1" t="s">
        <v>121</v>
      </c>
      <c r="G958" s="1" t="s">
        <v>24</v>
      </c>
      <c r="H958" s="1" t="s">
        <v>25</v>
      </c>
      <c r="I958" s="1" t="s">
        <v>26</v>
      </c>
      <c r="J958" s="1" t="s">
        <v>27</v>
      </c>
      <c r="K958" s="1" t="s">
        <v>28</v>
      </c>
      <c r="L958">
        <v>1</v>
      </c>
      <c r="M958">
        <v>799</v>
      </c>
      <c r="N958">
        <v>0.1</v>
      </c>
      <c r="O958">
        <v>719.1</v>
      </c>
      <c r="P958">
        <v>420</v>
      </c>
      <c r="Q958">
        <v>420</v>
      </c>
      <c r="R958">
        <v>60</v>
      </c>
      <c r="S958">
        <v>239.1</v>
      </c>
    </row>
    <row r="959" spans="1:19" x14ac:dyDescent="0.3">
      <c r="A959" s="1" t="s">
        <v>1439</v>
      </c>
      <c r="B959" s="4">
        <v>45756</v>
      </c>
      <c r="C959" s="1" t="s">
        <v>319</v>
      </c>
      <c r="D959" s="1" t="s">
        <v>48</v>
      </c>
      <c r="E959" s="1" t="s">
        <v>124</v>
      </c>
      <c r="F959" s="1" t="s">
        <v>125</v>
      </c>
      <c r="G959" s="1" t="s">
        <v>24</v>
      </c>
      <c r="H959" s="1" t="s">
        <v>34</v>
      </c>
      <c r="I959" s="1" t="s">
        <v>76</v>
      </c>
      <c r="J959" s="1" t="s">
        <v>77</v>
      </c>
      <c r="K959" s="1" t="s">
        <v>37</v>
      </c>
      <c r="L959">
        <v>4</v>
      </c>
      <c r="M959">
        <v>6999</v>
      </c>
      <c r="N959">
        <v>0.15</v>
      </c>
      <c r="O959">
        <v>23796.6</v>
      </c>
      <c r="P959">
        <v>4900</v>
      </c>
      <c r="Q959">
        <v>19600</v>
      </c>
      <c r="R959">
        <v>0</v>
      </c>
      <c r="S959">
        <v>4196.6000000000004</v>
      </c>
    </row>
    <row r="960" spans="1:19" x14ac:dyDescent="0.3">
      <c r="A960" s="1" t="s">
        <v>1440</v>
      </c>
      <c r="B960" s="4">
        <v>45756</v>
      </c>
      <c r="C960" s="1" t="s">
        <v>882</v>
      </c>
      <c r="D960" s="1" t="s">
        <v>48</v>
      </c>
      <c r="E960" s="1" t="s">
        <v>54</v>
      </c>
      <c r="F960" s="1" t="s">
        <v>55</v>
      </c>
      <c r="G960" s="1" t="s">
        <v>33</v>
      </c>
      <c r="H960" s="1" t="s">
        <v>89</v>
      </c>
      <c r="I960" s="1" t="s">
        <v>59</v>
      </c>
      <c r="J960" s="1" t="s">
        <v>60</v>
      </c>
      <c r="K960" s="1" t="s">
        <v>61</v>
      </c>
      <c r="L960">
        <v>2</v>
      </c>
      <c r="M960">
        <v>999</v>
      </c>
      <c r="N960">
        <v>0.15</v>
      </c>
      <c r="O960">
        <v>1698.3</v>
      </c>
      <c r="P960">
        <v>520</v>
      </c>
      <c r="Q960">
        <v>1040</v>
      </c>
      <c r="R960">
        <v>100</v>
      </c>
      <c r="S960">
        <v>558.29999999999995</v>
      </c>
    </row>
    <row r="961" spans="1:19" x14ac:dyDescent="0.3">
      <c r="A961" s="1" t="s">
        <v>1441</v>
      </c>
      <c r="B961" s="4">
        <v>45757</v>
      </c>
      <c r="C961" s="1" t="s">
        <v>662</v>
      </c>
      <c r="D961" s="1" t="s">
        <v>40</v>
      </c>
      <c r="E961" s="1" t="s">
        <v>112</v>
      </c>
      <c r="F961" s="1" t="s">
        <v>113</v>
      </c>
      <c r="G961" s="1" t="s">
        <v>33</v>
      </c>
      <c r="H961" s="1" t="s">
        <v>25</v>
      </c>
      <c r="I961" s="1" t="s">
        <v>81</v>
      </c>
      <c r="J961" s="1" t="s">
        <v>82</v>
      </c>
      <c r="K961" s="1" t="s">
        <v>61</v>
      </c>
      <c r="L961">
        <v>1</v>
      </c>
      <c r="M961">
        <v>2999</v>
      </c>
      <c r="N961">
        <v>0.1</v>
      </c>
      <c r="O961">
        <v>2699.1</v>
      </c>
      <c r="P961">
        <v>1750</v>
      </c>
      <c r="Q961">
        <v>1750</v>
      </c>
      <c r="R961">
        <v>60</v>
      </c>
      <c r="S961">
        <v>889.1</v>
      </c>
    </row>
    <row r="962" spans="1:19" x14ac:dyDescent="0.3">
      <c r="A962" s="1" t="s">
        <v>1442</v>
      </c>
      <c r="B962" s="4">
        <v>45757</v>
      </c>
      <c r="C962" s="1" t="s">
        <v>1443</v>
      </c>
      <c r="D962" s="1" t="s">
        <v>21</v>
      </c>
      <c r="E962" s="1" t="s">
        <v>41</v>
      </c>
      <c r="F962" s="1" t="s">
        <v>32</v>
      </c>
      <c r="G962" s="1" t="s">
        <v>42</v>
      </c>
      <c r="H962" s="1" t="s">
        <v>56</v>
      </c>
      <c r="I962" s="1" t="s">
        <v>35</v>
      </c>
      <c r="J962" s="1" t="s">
        <v>36</v>
      </c>
      <c r="K962" s="1" t="s">
        <v>37</v>
      </c>
      <c r="L962">
        <v>1</v>
      </c>
      <c r="M962">
        <v>1299</v>
      </c>
      <c r="N962">
        <v>0.2</v>
      </c>
      <c r="O962">
        <v>1039.2</v>
      </c>
      <c r="P962">
        <v>700</v>
      </c>
      <c r="Q962">
        <v>700</v>
      </c>
      <c r="R962">
        <v>100</v>
      </c>
      <c r="S962">
        <v>239.2</v>
      </c>
    </row>
    <row r="963" spans="1:19" x14ac:dyDescent="0.3">
      <c r="A963" s="1" t="s">
        <v>1444</v>
      </c>
      <c r="B963" s="4">
        <v>45757</v>
      </c>
      <c r="C963" s="1" t="s">
        <v>568</v>
      </c>
      <c r="D963" s="1" t="s">
        <v>48</v>
      </c>
      <c r="E963" s="1" t="s">
        <v>80</v>
      </c>
      <c r="F963" s="1" t="s">
        <v>55</v>
      </c>
      <c r="G963" s="1" t="s">
        <v>24</v>
      </c>
      <c r="H963" s="1" t="s">
        <v>71</v>
      </c>
      <c r="I963" s="1" t="s">
        <v>26</v>
      </c>
      <c r="J963" s="1" t="s">
        <v>27</v>
      </c>
      <c r="K963" s="1" t="s">
        <v>28</v>
      </c>
      <c r="L963">
        <v>1</v>
      </c>
      <c r="M963">
        <v>799</v>
      </c>
      <c r="N963">
        <v>0.2</v>
      </c>
      <c r="O963">
        <v>639.20000000000005</v>
      </c>
      <c r="P963">
        <v>420</v>
      </c>
      <c r="Q963">
        <v>420</v>
      </c>
      <c r="R963">
        <v>60</v>
      </c>
      <c r="S963">
        <v>159.19999999999999</v>
      </c>
    </row>
    <row r="964" spans="1:19" x14ac:dyDescent="0.3">
      <c r="A964" s="1" t="s">
        <v>1445</v>
      </c>
      <c r="B964" s="4">
        <v>45758</v>
      </c>
      <c r="C964" s="1" t="s">
        <v>476</v>
      </c>
      <c r="D964" s="1" t="s">
        <v>48</v>
      </c>
      <c r="E964" s="1" t="s">
        <v>80</v>
      </c>
      <c r="F964" s="1" t="s">
        <v>55</v>
      </c>
      <c r="G964" s="1" t="s">
        <v>24</v>
      </c>
      <c r="H964" s="1" t="s">
        <v>34</v>
      </c>
      <c r="I964" s="1" t="s">
        <v>51</v>
      </c>
      <c r="J964" s="1" t="s">
        <v>52</v>
      </c>
      <c r="K964" s="1" t="s">
        <v>37</v>
      </c>
      <c r="L964">
        <v>2</v>
      </c>
      <c r="M964">
        <v>499</v>
      </c>
      <c r="N964">
        <v>0.05</v>
      </c>
      <c r="O964">
        <v>948.1</v>
      </c>
      <c r="P964">
        <v>180</v>
      </c>
      <c r="Q964">
        <v>360</v>
      </c>
      <c r="R964">
        <v>80</v>
      </c>
      <c r="S964">
        <v>508.1</v>
      </c>
    </row>
    <row r="965" spans="1:19" x14ac:dyDescent="0.3">
      <c r="A965" s="1" t="s">
        <v>1446</v>
      </c>
      <c r="B965" s="4">
        <v>45758</v>
      </c>
      <c r="C965" s="1" t="s">
        <v>1014</v>
      </c>
      <c r="D965" s="1" t="s">
        <v>48</v>
      </c>
      <c r="E965" s="1" t="s">
        <v>70</v>
      </c>
      <c r="F965" s="1" t="s">
        <v>70</v>
      </c>
      <c r="G965" s="1" t="s">
        <v>33</v>
      </c>
      <c r="H965" s="1" t="s">
        <v>89</v>
      </c>
      <c r="I965" s="1" t="s">
        <v>72</v>
      </c>
      <c r="J965" s="1" t="s">
        <v>73</v>
      </c>
      <c r="K965" s="1" t="s">
        <v>28</v>
      </c>
      <c r="L965">
        <v>2</v>
      </c>
      <c r="M965">
        <v>2199</v>
      </c>
      <c r="N965">
        <v>0.1</v>
      </c>
      <c r="O965">
        <v>3958.2</v>
      </c>
      <c r="P965">
        <v>1250</v>
      </c>
      <c r="Q965">
        <v>2500</v>
      </c>
      <c r="R965">
        <v>100</v>
      </c>
      <c r="S965">
        <v>1358.2</v>
      </c>
    </row>
    <row r="966" spans="1:19" x14ac:dyDescent="0.3">
      <c r="A966" s="1" t="s">
        <v>1447</v>
      </c>
      <c r="B966" s="4">
        <v>45759</v>
      </c>
      <c r="C966" s="1" t="s">
        <v>570</v>
      </c>
      <c r="D966" s="1" t="s">
        <v>21</v>
      </c>
      <c r="E966" s="1" t="s">
        <v>80</v>
      </c>
      <c r="F966" s="1" t="s">
        <v>55</v>
      </c>
      <c r="G966" s="1" t="s">
        <v>24</v>
      </c>
      <c r="H966" s="1" t="s">
        <v>71</v>
      </c>
      <c r="I966" s="1" t="s">
        <v>35</v>
      </c>
      <c r="J966" s="1" t="s">
        <v>36</v>
      </c>
      <c r="K966" s="1" t="s">
        <v>37</v>
      </c>
      <c r="L966">
        <v>1</v>
      </c>
      <c r="M966">
        <v>1299</v>
      </c>
      <c r="N966">
        <v>0.1</v>
      </c>
      <c r="O966">
        <v>1169.0999999999999</v>
      </c>
      <c r="P966">
        <v>700</v>
      </c>
      <c r="Q966">
        <v>700</v>
      </c>
      <c r="R966">
        <v>80</v>
      </c>
      <c r="S966">
        <v>389.1</v>
      </c>
    </row>
    <row r="967" spans="1:19" x14ac:dyDescent="0.3">
      <c r="A967" s="1" t="s">
        <v>1448</v>
      </c>
      <c r="B967" s="4">
        <v>45759</v>
      </c>
      <c r="C967" s="1" t="s">
        <v>133</v>
      </c>
      <c r="D967" s="1" t="s">
        <v>21</v>
      </c>
      <c r="E967" s="1" t="s">
        <v>80</v>
      </c>
      <c r="F967" s="1" t="s">
        <v>55</v>
      </c>
      <c r="G967" s="1" t="s">
        <v>33</v>
      </c>
      <c r="H967" s="1" t="s">
        <v>89</v>
      </c>
      <c r="I967" s="1" t="s">
        <v>26</v>
      </c>
      <c r="J967" s="1" t="s">
        <v>27</v>
      </c>
      <c r="K967" s="1" t="s">
        <v>28</v>
      </c>
      <c r="L967">
        <v>2</v>
      </c>
      <c r="M967">
        <v>799</v>
      </c>
      <c r="N967">
        <v>0.1</v>
      </c>
      <c r="O967">
        <v>1438.2</v>
      </c>
      <c r="P967">
        <v>420</v>
      </c>
      <c r="Q967">
        <v>840</v>
      </c>
      <c r="R967">
        <v>40</v>
      </c>
      <c r="S967">
        <v>558.20000000000005</v>
      </c>
    </row>
    <row r="968" spans="1:19" x14ac:dyDescent="0.3">
      <c r="A968" s="1" t="s">
        <v>1449</v>
      </c>
      <c r="B968" s="4">
        <v>45759</v>
      </c>
      <c r="C968" s="1" t="s">
        <v>727</v>
      </c>
      <c r="D968" s="1" t="s">
        <v>21</v>
      </c>
      <c r="E968" s="1" t="s">
        <v>120</v>
      </c>
      <c r="F968" s="1" t="s">
        <v>121</v>
      </c>
      <c r="G968" s="1" t="s">
        <v>33</v>
      </c>
      <c r="H968" s="1" t="s">
        <v>89</v>
      </c>
      <c r="I968" s="1" t="s">
        <v>92</v>
      </c>
      <c r="J968" s="1" t="s">
        <v>93</v>
      </c>
      <c r="K968" s="1" t="s">
        <v>28</v>
      </c>
      <c r="L968">
        <v>3</v>
      </c>
      <c r="M968">
        <v>1599</v>
      </c>
      <c r="N968">
        <v>0.2</v>
      </c>
      <c r="O968">
        <v>3837.6</v>
      </c>
      <c r="P968">
        <v>900</v>
      </c>
      <c r="Q968">
        <v>2700</v>
      </c>
      <c r="R968">
        <v>100</v>
      </c>
      <c r="S968">
        <v>1037.5999999999999</v>
      </c>
    </row>
    <row r="969" spans="1:19" x14ac:dyDescent="0.3">
      <c r="A969" s="1" t="s">
        <v>1450</v>
      </c>
      <c r="B969" s="4">
        <v>45760</v>
      </c>
      <c r="C969" s="1" t="s">
        <v>549</v>
      </c>
      <c r="D969" s="1" t="s">
        <v>21</v>
      </c>
      <c r="E969" s="1" t="s">
        <v>22</v>
      </c>
      <c r="F969" s="1" t="s">
        <v>23</v>
      </c>
      <c r="G969" s="1" t="s">
        <v>33</v>
      </c>
      <c r="H969" s="1" t="s">
        <v>71</v>
      </c>
      <c r="I969" s="1" t="s">
        <v>35</v>
      </c>
      <c r="J969" s="1" t="s">
        <v>36</v>
      </c>
      <c r="K969" s="1" t="s">
        <v>37</v>
      </c>
      <c r="L969">
        <v>2</v>
      </c>
      <c r="M969">
        <v>1299</v>
      </c>
      <c r="N969">
        <v>0.05</v>
      </c>
      <c r="O969">
        <v>2468.1</v>
      </c>
      <c r="P969">
        <v>700</v>
      </c>
      <c r="Q969">
        <v>1400</v>
      </c>
      <c r="R969">
        <v>40</v>
      </c>
      <c r="S969">
        <v>1028.0999999999999</v>
      </c>
    </row>
    <row r="970" spans="1:19" x14ac:dyDescent="0.3">
      <c r="A970" s="1" t="s">
        <v>1451</v>
      </c>
      <c r="B970" s="4">
        <v>45761</v>
      </c>
      <c r="C970" s="1" t="s">
        <v>539</v>
      </c>
      <c r="D970" s="1" t="s">
        <v>40</v>
      </c>
      <c r="E970" s="1" t="s">
        <v>96</v>
      </c>
      <c r="F970" s="1" t="s">
        <v>97</v>
      </c>
      <c r="G970" s="1" t="s">
        <v>42</v>
      </c>
      <c r="H970" s="1" t="s">
        <v>25</v>
      </c>
      <c r="I970" s="1" t="s">
        <v>76</v>
      </c>
      <c r="J970" s="1" t="s">
        <v>77</v>
      </c>
      <c r="K970" s="1" t="s">
        <v>37</v>
      </c>
      <c r="L970">
        <v>3</v>
      </c>
      <c r="M970">
        <v>6999</v>
      </c>
      <c r="N970">
        <v>0.15</v>
      </c>
      <c r="O970">
        <v>17847.45</v>
      </c>
      <c r="P970">
        <v>4900</v>
      </c>
      <c r="Q970">
        <v>14700</v>
      </c>
      <c r="R970">
        <v>40</v>
      </c>
      <c r="S970">
        <v>3107.45</v>
      </c>
    </row>
    <row r="971" spans="1:19" x14ac:dyDescent="0.3">
      <c r="A971" s="1" t="s">
        <v>1452</v>
      </c>
      <c r="B971" s="4">
        <v>45761</v>
      </c>
      <c r="C971" s="1" t="s">
        <v>817</v>
      </c>
      <c r="D971" s="1" t="s">
        <v>40</v>
      </c>
      <c r="E971" s="1" t="s">
        <v>22</v>
      </c>
      <c r="F971" s="1" t="s">
        <v>23</v>
      </c>
      <c r="G971" s="1" t="s">
        <v>24</v>
      </c>
      <c r="H971" s="1" t="s">
        <v>89</v>
      </c>
      <c r="I971" s="1" t="s">
        <v>59</v>
      </c>
      <c r="J971" s="1" t="s">
        <v>60</v>
      </c>
      <c r="K971" s="1" t="s">
        <v>61</v>
      </c>
      <c r="L971">
        <v>1</v>
      </c>
      <c r="M971">
        <v>999</v>
      </c>
      <c r="N971">
        <v>0.05</v>
      </c>
      <c r="O971">
        <v>949.05</v>
      </c>
      <c r="P971">
        <v>520</v>
      </c>
      <c r="Q971">
        <v>520</v>
      </c>
      <c r="R971">
        <v>40</v>
      </c>
      <c r="S971">
        <v>389.05</v>
      </c>
    </row>
    <row r="972" spans="1:19" x14ac:dyDescent="0.3">
      <c r="A972" s="1" t="s">
        <v>1453</v>
      </c>
      <c r="B972" s="4">
        <v>45761</v>
      </c>
      <c r="C972" s="1" t="s">
        <v>138</v>
      </c>
      <c r="D972" s="1" t="s">
        <v>48</v>
      </c>
      <c r="E972" s="1" t="s">
        <v>120</v>
      </c>
      <c r="F972" s="1" t="s">
        <v>121</v>
      </c>
      <c r="G972" s="1" t="s">
        <v>42</v>
      </c>
      <c r="H972" s="1" t="s">
        <v>71</v>
      </c>
      <c r="I972" s="1" t="s">
        <v>35</v>
      </c>
      <c r="J972" s="1" t="s">
        <v>36</v>
      </c>
      <c r="K972" s="1" t="s">
        <v>37</v>
      </c>
      <c r="L972">
        <v>1</v>
      </c>
      <c r="M972">
        <v>1299</v>
      </c>
      <c r="N972">
        <v>0</v>
      </c>
      <c r="O972">
        <v>1299</v>
      </c>
      <c r="P972">
        <v>700</v>
      </c>
      <c r="Q972">
        <v>700</v>
      </c>
      <c r="R972">
        <v>60</v>
      </c>
      <c r="S972">
        <v>539</v>
      </c>
    </row>
    <row r="973" spans="1:19" x14ac:dyDescent="0.3">
      <c r="A973" s="1" t="s">
        <v>1454</v>
      </c>
      <c r="B973" s="4">
        <v>45761</v>
      </c>
      <c r="C973" s="1" t="s">
        <v>646</v>
      </c>
      <c r="D973" s="1" t="s">
        <v>48</v>
      </c>
      <c r="E973" s="1" t="s">
        <v>112</v>
      </c>
      <c r="F973" s="1" t="s">
        <v>113</v>
      </c>
      <c r="G973" s="1" t="s">
        <v>42</v>
      </c>
      <c r="H973" s="1" t="s">
        <v>34</v>
      </c>
      <c r="I973" s="1" t="s">
        <v>76</v>
      </c>
      <c r="J973" s="1" t="s">
        <v>77</v>
      </c>
      <c r="K973" s="1" t="s">
        <v>37</v>
      </c>
      <c r="L973">
        <v>5</v>
      </c>
      <c r="M973">
        <v>6999</v>
      </c>
      <c r="N973">
        <v>0</v>
      </c>
      <c r="O973">
        <v>34995</v>
      </c>
      <c r="P973">
        <v>4900</v>
      </c>
      <c r="Q973">
        <v>24500</v>
      </c>
      <c r="R973">
        <v>80</v>
      </c>
      <c r="S973">
        <v>10415</v>
      </c>
    </row>
    <row r="974" spans="1:19" x14ac:dyDescent="0.3">
      <c r="A974" s="1" t="s">
        <v>1455</v>
      </c>
      <c r="B974" s="4">
        <v>45762</v>
      </c>
      <c r="C974" s="1" t="s">
        <v>1120</v>
      </c>
      <c r="D974" s="1" t="s">
        <v>40</v>
      </c>
      <c r="E974" s="1" t="s">
        <v>54</v>
      </c>
      <c r="F974" s="1" t="s">
        <v>55</v>
      </c>
      <c r="G974" s="1" t="s">
        <v>24</v>
      </c>
      <c r="H974" s="1" t="s">
        <v>89</v>
      </c>
      <c r="I974" s="1" t="s">
        <v>59</v>
      </c>
      <c r="J974" s="1" t="s">
        <v>60</v>
      </c>
      <c r="K974" s="1" t="s">
        <v>61</v>
      </c>
      <c r="L974">
        <v>2</v>
      </c>
      <c r="M974">
        <v>999</v>
      </c>
      <c r="N974">
        <v>0.15</v>
      </c>
      <c r="O974">
        <v>1698.3</v>
      </c>
      <c r="P974">
        <v>520</v>
      </c>
      <c r="Q974">
        <v>1040</v>
      </c>
      <c r="R974">
        <v>0</v>
      </c>
      <c r="S974">
        <v>658.3</v>
      </c>
    </row>
    <row r="975" spans="1:19" x14ac:dyDescent="0.3">
      <c r="A975" s="1" t="s">
        <v>1456</v>
      </c>
      <c r="B975" s="4">
        <v>45763</v>
      </c>
      <c r="C975" s="1" t="s">
        <v>1457</v>
      </c>
      <c r="D975" s="1" t="s">
        <v>21</v>
      </c>
      <c r="E975" s="1" t="s">
        <v>64</v>
      </c>
      <c r="F975" s="1" t="s">
        <v>65</v>
      </c>
      <c r="G975" s="1" t="s">
        <v>24</v>
      </c>
      <c r="H975" s="1" t="s">
        <v>71</v>
      </c>
      <c r="I975" s="1" t="s">
        <v>66</v>
      </c>
      <c r="J975" s="1" t="s">
        <v>67</v>
      </c>
      <c r="K975" s="1" t="s">
        <v>28</v>
      </c>
      <c r="L975">
        <v>1</v>
      </c>
      <c r="M975">
        <v>2499</v>
      </c>
      <c r="N975">
        <v>0</v>
      </c>
      <c r="O975">
        <v>2499</v>
      </c>
      <c r="P975">
        <v>1450</v>
      </c>
      <c r="Q975">
        <v>1450</v>
      </c>
      <c r="R975">
        <v>0</v>
      </c>
      <c r="S975">
        <v>1049</v>
      </c>
    </row>
    <row r="976" spans="1:19" x14ac:dyDescent="0.3">
      <c r="A976" s="1" t="s">
        <v>1458</v>
      </c>
      <c r="B976" s="4">
        <v>45763</v>
      </c>
      <c r="C976" s="1" t="s">
        <v>103</v>
      </c>
      <c r="D976" s="1" t="s">
        <v>40</v>
      </c>
      <c r="E976" s="1" t="s">
        <v>54</v>
      </c>
      <c r="F976" s="1" t="s">
        <v>55</v>
      </c>
      <c r="G976" s="1" t="s">
        <v>33</v>
      </c>
      <c r="H976" s="1" t="s">
        <v>71</v>
      </c>
      <c r="I976" s="1" t="s">
        <v>81</v>
      </c>
      <c r="J976" s="1" t="s">
        <v>82</v>
      </c>
      <c r="K976" s="1" t="s">
        <v>61</v>
      </c>
      <c r="L976">
        <v>1</v>
      </c>
      <c r="M976">
        <v>2999</v>
      </c>
      <c r="N976">
        <v>0</v>
      </c>
      <c r="O976">
        <v>2999</v>
      </c>
      <c r="P976">
        <v>1750</v>
      </c>
      <c r="Q976">
        <v>1750</v>
      </c>
      <c r="R976">
        <v>40</v>
      </c>
      <c r="S976">
        <v>1209</v>
      </c>
    </row>
    <row r="977" spans="1:19" x14ac:dyDescent="0.3">
      <c r="A977" s="1" t="s">
        <v>1459</v>
      </c>
      <c r="B977" s="4">
        <v>45764</v>
      </c>
      <c r="C977" s="1" t="s">
        <v>989</v>
      </c>
      <c r="D977" s="1" t="s">
        <v>21</v>
      </c>
      <c r="E977" s="1" t="s">
        <v>96</v>
      </c>
      <c r="F977" s="1" t="s">
        <v>97</v>
      </c>
      <c r="G977" s="1" t="s">
        <v>42</v>
      </c>
      <c r="H977" s="1" t="s">
        <v>34</v>
      </c>
      <c r="I977" s="1" t="s">
        <v>26</v>
      </c>
      <c r="J977" s="1" t="s">
        <v>27</v>
      </c>
      <c r="K977" s="1" t="s">
        <v>28</v>
      </c>
      <c r="L977">
        <v>1</v>
      </c>
      <c r="M977">
        <v>799</v>
      </c>
      <c r="N977">
        <v>0.15</v>
      </c>
      <c r="O977">
        <v>679.15</v>
      </c>
      <c r="P977">
        <v>420</v>
      </c>
      <c r="Q977">
        <v>420</v>
      </c>
      <c r="R977">
        <v>80</v>
      </c>
      <c r="S977">
        <v>179.15</v>
      </c>
    </row>
    <row r="978" spans="1:19" x14ac:dyDescent="0.3">
      <c r="A978" s="1" t="s">
        <v>1460</v>
      </c>
      <c r="B978" s="4">
        <v>45764</v>
      </c>
      <c r="C978" s="1" t="s">
        <v>476</v>
      </c>
      <c r="D978" s="1" t="s">
        <v>40</v>
      </c>
      <c r="E978" s="1" t="s">
        <v>96</v>
      </c>
      <c r="F978" s="1" t="s">
        <v>97</v>
      </c>
      <c r="G978" s="1" t="s">
        <v>33</v>
      </c>
      <c r="H978" s="1" t="s">
        <v>71</v>
      </c>
      <c r="I978" s="1" t="s">
        <v>66</v>
      </c>
      <c r="J978" s="1" t="s">
        <v>67</v>
      </c>
      <c r="K978" s="1" t="s">
        <v>28</v>
      </c>
      <c r="L978">
        <v>1</v>
      </c>
      <c r="M978">
        <v>2499</v>
      </c>
      <c r="N978">
        <v>0.2</v>
      </c>
      <c r="O978">
        <v>1999.2</v>
      </c>
      <c r="P978">
        <v>1450</v>
      </c>
      <c r="Q978">
        <v>1450</v>
      </c>
      <c r="R978">
        <v>40</v>
      </c>
      <c r="S978">
        <v>509.2</v>
      </c>
    </row>
    <row r="979" spans="1:19" x14ac:dyDescent="0.3">
      <c r="A979" s="1" t="s">
        <v>1461</v>
      </c>
      <c r="B979" s="4">
        <v>45765</v>
      </c>
      <c r="C979" s="1" t="s">
        <v>1462</v>
      </c>
      <c r="D979" s="1" t="s">
        <v>40</v>
      </c>
      <c r="E979" s="1" t="s">
        <v>49</v>
      </c>
      <c r="F979" s="1" t="s">
        <v>50</v>
      </c>
      <c r="G979" s="1" t="s">
        <v>33</v>
      </c>
      <c r="H979" s="1" t="s">
        <v>71</v>
      </c>
      <c r="I979" s="1" t="s">
        <v>81</v>
      </c>
      <c r="J979" s="1" t="s">
        <v>82</v>
      </c>
      <c r="K979" s="1" t="s">
        <v>61</v>
      </c>
      <c r="L979">
        <v>4</v>
      </c>
      <c r="M979">
        <v>2999</v>
      </c>
      <c r="N979">
        <v>0.1</v>
      </c>
      <c r="O979">
        <v>10796.4</v>
      </c>
      <c r="P979">
        <v>1750</v>
      </c>
      <c r="Q979">
        <v>7000</v>
      </c>
      <c r="R979">
        <v>0</v>
      </c>
      <c r="S979">
        <v>3796.4</v>
      </c>
    </row>
    <row r="980" spans="1:19" x14ac:dyDescent="0.3">
      <c r="A980" s="1" t="s">
        <v>1463</v>
      </c>
      <c r="B980" s="4">
        <v>45766</v>
      </c>
      <c r="C980" s="1" t="s">
        <v>658</v>
      </c>
      <c r="D980" s="1" t="s">
        <v>40</v>
      </c>
      <c r="E980" s="1" t="s">
        <v>124</v>
      </c>
      <c r="F980" s="1" t="s">
        <v>125</v>
      </c>
      <c r="G980" s="1" t="s">
        <v>42</v>
      </c>
      <c r="H980" s="1" t="s">
        <v>25</v>
      </c>
      <c r="I980" s="1" t="s">
        <v>76</v>
      </c>
      <c r="J980" s="1" t="s">
        <v>77</v>
      </c>
      <c r="K980" s="1" t="s">
        <v>37</v>
      </c>
      <c r="L980">
        <v>1</v>
      </c>
      <c r="M980">
        <v>6999</v>
      </c>
      <c r="N980">
        <v>0.2</v>
      </c>
      <c r="O980">
        <v>5599.2</v>
      </c>
      <c r="P980">
        <v>4900</v>
      </c>
      <c r="Q980">
        <v>4900</v>
      </c>
      <c r="R980">
        <v>80</v>
      </c>
      <c r="S980">
        <v>619.20000000000005</v>
      </c>
    </row>
    <row r="981" spans="1:19" x14ac:dyDescent="0.3">
      <c r="A981" s="1" t="s">
        <v>1464</v>
      </c>
      <c r="B981" s="4">
        <v>45766</v>
      </c>
      <c r="C981" s="1" t="s">
        <v>1465</v>
      </c>
      <c r="D981" s="1" t="s">
        <v>21</v>
      </c>
      <c r="E981" s="1" t="s">
        <v>70</v>
      </c>
      <c r="F981" s="1" t="s">
        <v>70</v>
      </c>
      <c r="G981" s="1" t="s">
        <v>33</v>
      </c>
      <c r="H981" s="1" t="s">
        <v>25</v>
      </c>
      <c r="I981" s="1" t="s">
        <v>72</v>
      </c>
      <c r="J981" s="1" t="s">
        <v>73</v>
      </c>
      <c r="K981" s="1" t="s">
        <v>28</v>
      </c>
      <c r="L981">
        <v>3</v>
      </c>
      <c r="M981">
        <v>2199</v>
      </c>
      <c r="N981">
        <v>0.05</v>
      </c>
      <c r="O981">
        <v>6267.15</v>
      </c>
      <c r="P981">
        <v>1250</v>
      </c>
      <c r="Q981">
        <v>3750</v>
      </c>
      <c r="R981">
        <v>0</v>
      </c>
      <c r="S981">
        <v>2517.15</v>
      </c>
    </row>
    <row r="982" spans="1:19" x14ac:dyDescent="0.3">
      <c r="A982" s="1" t="s">
        <v>1466</v>
      </c>
      <c r="B982" s="4">
        <v>45766</v>
      </c>
      <c r="C982" s="1" t="s">
        <v>558</v>
      </c>
      <c r="D982" s="1" t="s">
        <v>48</v>
      </c>
      <c r="E982" s="1" t="s">
        <v>41</v>
      </c>
      <c r="F982" s="1" t="s">
        <v>32</v>
      </c>
      <c r="G982" s="1" t="s">
        <v>24</v>
      </c>
      <c r="H982" s="1" t="s">
        <v>89</v>
      </c>
      <c r="I982" s="1" t="s">
        <v>35</v>
      </c>
      <c r="J982" s="1" t="s">
        <v>36</v>
      </c>
      <c r="K982" s="1" t="s">
        <v>37</v>
      </c>
      <c r="L982">
        <v>3</v>
      </c>
      <c r="M982">
        <v>1299</v>
      </c>
      <c r="N982">
        <v>0</v>
      </c>
      <c r="O982">
        <v>3897</v>
      </c>
      <c r="P982">
        <v>700</v>
      </c>
      <c r="Q982">
        <v>2100</v>
      </c>
      <c r="R982">
        <v>40</v>
      </c>
      <c r="S982">
        <v>1757</v>
      </c>
    </row>
    <row r="983" spans="1:19" x14ac:dyDescent="0.3">
      <c r="A983" s="1" t="s">
        <v>1467</v>
      </c>
      <c r="B983" s="4">
        <v>45767</v>
      </c>
      <c r="C983" s="1" t="s">
        <v>196</v>
      </c>
      <c r="D983" s="1" t="s">
        <v>48</v>
      </c>
      <c r="E983" s="1" t="s">
        <v>124</v>
      </c>
      <c r="F983" s="1" t="s">
        <v>125</v>
      </c>
      <c r="G983" s="1" t="s">
        <v>42</v>
      </c>
      <c r="H983" s="1" t="s">
        <v>34</v>
      </c>
      <c r="I983" s="1" t="s">
        <v>59</v>
      </c>
      <c r="J983" s="1" t="s">
        <v>60</v>
      </c>
      <c r="K983" s="1" t="s">
        <v>61</v>
      </c>
      <c r="L983">
        <v>3</v>
      </c>
      <c r="M983">
        <v>999</v>
      </c>
      <c r="N983">
        <v>0.15</v>
      </c>
      <c r="O983">
        <v>2547.4499999999998</v>
      </c>
      <c r="P983">
        <v>520</v>
      </c>
      <c r="Q983">
        <v>1560</v>
      </c>
      <c r="R983">
        <v>0</v>
      </c>
      <c r="S983">
        <v>987.45</v>
      </c>
    </row>
    <row r="984" spans="1:19" x14ac:dyDescent="0.3">
      <c r="A984" s="1" t="s">
        <v>1468</v>
      </c>
      <c r="B984" s="4">
        <v>45768</v>
      </c>
      <c r="C984" s="1" t="s">
        <v>773</v>
      </c>
      <c r="D984" s="1" t="s">
        <v>21</v>
      </c>
      <c r="E984" s="1" t="s">
        <v>112</v>
      </c>
      <c r="F984" s="1" t="s">
        <v>113</v>
      </c>
      <c r="G984" s="1" t="s">
        <v>42</v>
      </c>
      <c r="H984" s="1" t="s">
        <v>34</v>
      </c>
      <c r="I984" s="1" t="s">
        <v>66</v>
      </c>
      <c r="J984" s="1" t="s">
        <v>67</v>
      </c>
      <c r="K984" s="1" t="s">
        <v>28</v>
      </c>
      <c r="L984">
        <v>1</v>
      </c>
      <c r="M984">
        <v>2499</v>
      </c>
      <c r="N984">
        <v>0.2</v>
      </c>
      <c r="O984">
        <v>1999.2</v>
      </c>
      <c r="P984">
        <v>1450</v>
      </c>
      <c r="Q984">
        <v>1450</v>
      </c>
      <c r="R984">
        <v>0</v>
      </c>
      <c r="S984">
        <v>549.20000000000005</v>
      </c>
    </row>
    <row r="985" spans="1:19" x14ac:dyDescent="0.3">
      <c r="A985" s="1" t="s">
        <v>1469</v>
      </c>
      <c r="B985" s="4">
        <v>45768</v>
      </c>
      <c r="C985" s="1" t="s">
        <v>1470</v>
      </c>
      <c r="D985" s="1" t="s">
        <v>21</v>
      </c>
      <c r="E985" s="1" t="s">
        <v>64</v>
      </c>
      <c r="F985" s="1" t="s">
        <v>65</v>
      </c>
      <c r="G985" s="1" t="s">
        <v>33</v>
      </c>
      <c r="H985" s="1" t="s">
        <v>34</v>
      </c>
      <c r="I985" s="1" t="s">
        <v>85</v>
      </c>
      <c r="J985" s="1" t="s">
        <v>86</v>
      </c>
      <c r="K985" s="1" t="s">
        <v>45</v>
      </c>
      <c r="L985">
        <v>2</v>
      </c>
      <c r="M985">
        <v>599</v>
      </c>
      <c r="N985">
        <v>0.1</v>
      </c>
      <c r="O985">
        <v>1078.2</v>
      </c>
      <c r="P985">
        <v>240</v>
      </c>
      <c r="Q985">
        <v>480</v>
      </c>
      <c r="R985">
        <v>80</v>
      </c>
      <c r="S985">
        <v>518.20000000000005</v>
      </c>
    </row>
    <row r="986" spans="1:19" x14ac:dyDescent="0.3">
      <c r="A986" s="1" t="s">
        <v>1471</v>
      </c>
      <c r="B986" s="4">
        <v>45768</v>
      </c>
      <c r="C986" s="1" t="s">
        <v>20</v>
      </c>
      <c r="D986" s="1" t="s">
        <v>48</v>
      </c>
      <c r="E986" s="1" t="s">
        <v>49</v>
      </c>
      <c r="F986" s="1" t="s">
        <v>50</v>
      </c>
      <c r="G986" s="1" t="s">
        <v>24</v>
      </c>
      <c r="H986" s="1" t="s">
        <v>25</v>
      </c>
      <c r="I986" s="1" t="s">
        <v>85</v>
      </c>
      <c r="J986" s="1" t="s">
        <v>86</v>
      </c>
      <c r="K986" s="1" t="s">
        <v>45</v>
      </c>
      <c r="L986">
        <v>1</v>
      </c>
      <c r="M986">
        <v>599</v>
      </c>
      <c r="N986">
        <v>0.15</v>
      </c>
      <c r="O986">
        <v>509.15</v>
      </c>
      <c r="P986">
        <v>240</v>
      </c>
      <c r="Q986">
        <v>240</v>
      </c>
      <c r="R986">
        <v>0</v>
      </c>
      <c r="S986">
        <v>269.14999999999998</v>
      </c>
    </row>
    <row r="987" spans="1:19" x14ac:dyDescent="0.3">
      <c r="A987" s="1" t="s">
        <v>1472</v>
      </c>
      <c r="B987" s="4">
        <v>45768</v>
      </c>
      <c r="C987" s="1" t="s">
        <v>427</v>
      </c>
      <c r="D987" s="1" t="s">
        <v>40</v>
      </c>
      <c r="E987" s="1" t="s">
        <v>124</v>
      </c>
      <c r="F987" s="1" t="s">
        <v>125</v>
      </c>
      <c r="G987" s="1" t="s">
        <v>42</v>
      </c>
      <c r="H987" s="1" t="s">
        <v>71</v>
      </c>
      <c r="I987" s="1" t="s">
        <v>59</v>
      </c>
      <c r="J987" s="1" t="s">
        <v>60</v>
      </c>
      <c r="K987" s="1" t="s">
        <v>61</v>
      </c>
      <c r="L987">
        <v>3</v>
      </c>
      <c r="M987">
        <v>999</v>
      </c>
      <c r="N987">
        <v>0.15</v>
      </c>
      <c r="O987">
        <v>2547.4499999999998</v>
      </c>
      <c r="P987">
        <v>520</v>
      </c>
      <c r="Q987">
        <v>1560</v>
      </c>
      <c r="R987">
        <v>60</v>
      </c>
      <c r="S987">
        <v>927.45</v>
      </c>
    </row>
    <row r="988" spans="1:19" x14ac:dyDescent="0.3">
      <c r="A988" s="1" t="s">
        <v>1473</v>
      </c>
      <c r="B988" s="4">
        <v>45769</v>
      </c>
      <c r="C988" s="1" t="s">
        <v>1474</v>
      </c>
      <c r="D988" s="1" t="s">
        <v>40</v>
      </c>
      <c r="E988" s="1" t="s">
        <v>49</v>
      </c>
      <c r="F988" s="1" t="s">
        <v>50</v>
      </c>
      <c r="G988" s="1" t="s">
        <v>24</v>
      </c>
      <c r="H988" s="1" t="s">
        <v>25</v>
      </c>
      <c r="I988" s="1" t="s">
        <v>26</v>
      </c>
      <c r="J988" s="1" t="s">
        <v>27</v>
      </c>
      <c r="K988" s="1" t="s">
        <v>28</v>
      </c>
      <c r="L988">
        <v>5</v>
      </c>
      <c r="M988">
        <v>799</v>
      </c>
      <c r="N988">
        <v>0.1</v>
      </c>
      <c r="O988">
        <v>3595.5</v>
      </c>
      <c r="P988">
        <v>420</v>
      </c>
      <c r="Q988">
        <v>2100</v>
      </c>
      <c r="R988">
        <v>100</v>
      </c>
      <c r="S988">
        <v>1395.5</v>
      </c>
    </row>
    <row r="989" spans="1:19" x14ac:dyDescent="0.3">
      <c r="A989" s="1" t="s">
        <v>1475</v>
      </c>
      <c r="B989" s="4">
        <v>45771</v>
      </c>
      <c r="C989" s="1" t="s">
        <v>516</v>
      </c>
      <c r="D989" s="1" t="s">
        <v>48</v>
      </c>
      <c r="E989" s="1" t="s">
        <v>124</v>
      </c>
      <c r="F989" s="1" t="s">
        <v>125</v>
      </c>
      <c r="G989" s="1" t="s">
        <v>42</v>
      </c>
      <c r="H989" s="1" t="s">
        <v>89</v>
      </c>
      <c r="I989" s="1" t="s">
        <v>76</v>
      </c>
      <c r="J989" s="1" t="s">
        <v>77</v>
      </c>
      <c r="K989" s="1" t="s">
        <v>37</v>
      </c>
      <c r="L989">
        <v>1</v>
      </c>
      <c r="M989">
        <v>6999</v>
      </c>
      <c r="N989">
        <v>0.15</v>
      </c>
      <c r="O989">
        <v>5949.15</v>
      </c>
      <c r="P989">
        <v>4900</v>
      </c>
      <c r="Q989">
        <v>4900</v>
      </c>
      <c r="R989">
        <v>80</v>
      </c>
      <c r="S989">
        <v>969.15</v>
      </c>
    </row>
    <row r="990" spans="1:19" x14ac:dyDescent="0.3">
      <c r="A990" s="1" t="s">
        <v>1476</v>
      </c>
      <c r="B990" s="4">
        <v>45772</v>
      </c>
      <c r="C990" s="1" t="s">
        <v>1477</v>
      </c>
      <c r="D990" s="1" t="s">
        <v>21</v>
      </c>
      <c r="E990" s="1" t="s">
        <v>96</v>
      </c>
      <c r="F990" s="1" t="s">
        <v>97</v>
      </c>
      <c r="G990" s="1" t="s">
        <v>33</v>
      </c>
      <c r="H990" s="1" t="s">
        <v>71</v>
      </c>
      <c r="I990" s="1" t="s">
        <v>43</v>
      </c>
      <c r="J990" s="1" t="s">
        <v>44</v>
      </c>
      <c r="K990" s="1" t="s">
        <v>45</v>
      </c>
      <c r="L990">
        <v>2</v>
      </c>
      <c r="M990">
        <v>1799</v>
      </c>
      <c r="N990">
        <v>0.1</v>
      </c>
      <c r="O990">
        <v>3238.2</v>
      </c>
      <c r="P990">
        <v>850</v>
      </c>
      <c r="Q990">
        <v>1700</v>
      </c>
      <c r="R990">
        <v>100</v>
      </c>
      <c r="S990">
        <v>1438.2</v>
      </c>
    </row>
    <row r="991" spans="1:19" x14ac:dyDescent="0.3">
      <c r="A991" s="1" t="s">
        <v>1478</v>
      </c>
      <c r="B991" s="4">
        <v>45772</v>
      </c>
      <c r="C991" s="1" t="s">
        <v>794</v>
      </c>
      <c r="D991" s="1" t="s">
        <v>21</v>
      </c>
      <c r="E991" s="1" t="s">
        <v>31</v>
      </c>
      <c r="F991" s="1" t="s">
        <v>32</v>
      </c>
      <c r="G991" s="1" t="s">
        <v>24</v>
      </c>
      <c r="H991" s="1" t="s">
        <v>34</v>
      </c>
      <c r="I991" s="1" t="s">
        <v>81</v>
      </c>
      <c r="J991" s="1" t="s">
        <v>82</v>
      </c>
      <c r="K991" s="1" t="s">
        <v>61</v>
      </c>
      <c r="L991">
        <v>2</v>
      </c>
      <c r="M991">
        <v>2999</v>
      </c>
      <c r="N991">
        <v>0.15</v>
      </c>
      <c r="O991">
        <v>5098.3</v>
      </c>
      <c r="P991">
        <v>1750</v>
      </c>
      <c r="Q991">
        <v>3500</v>
      </c>
      <c r="R991">
        <v>40</v>
      </c>
      <c r="S991">
        <v>1558.3</v>
      </c>
    </row>
    <row r="992" spans="1:19" x14ac:dyDescent="0.3">
      <c r="A992" s="1" t="s">
        <v>1479</v>
      </c>
      <c r="B992" s="4">
        <v>45773</v>
      </c>
      <c r="C992" s="1" t="s">
        <v>518</v>
      </c>
      <c r="D992" s="1" t="s">
        <v>21</v>
      </c>
      <c r="E992" s="1" t="s">
        <v>120</v>
      </c>
      <c r="F992" s="1" t="s">
        <v>121</v>
      </c>
      <c r="G992" s="1" t="s">
        <v>24</v>
      </c>
      <c r="H992" s="1" t="s">
        <v>25</v>
      </c>
      <c r="I992" s="1" t="s">
        <v>72</v>
      </c>
      <c r="J992" s="1" t="s">
        <v>73</v>
      </c>
      <c r="K992" s="1" t="s">
        <v>28</v>
      </c>
      <c r="L992">
        <v>3</v>
      </c>
      <c r="M992">
        <v>2199</v>
      </c>
      <c r="N992">
        <v>0</v>
      </c>
      <c r="O992">
        <v>6597</v>
      </c>
      <c r="P992">
        <v>1250</v>
      </c>
      <c r="Q992">
        <v>3750</v>
      </c>
      <c r="R992">
        <v>80</v>
      </c>
      <c r="S992">
        <v>2767</v>
      </c>
    </row>
    <row r="993" spans="1:19" x14ac:dyDescent="0.3">
      <c r="A993" s="1" t="s">
        <v>1480</v>
      </c>
      <c r="B993" s="4">
        <v>45774</v>
      </c>
      <c r="C993" s="1" t="s">
        <v>489</v>
      </c>
      <c r="D993" s="1" t="s">
        <v>21</v>
      </c>
      <c r="E993" s="1" t="s">
        <v>112</v>
      </c>
      <c r="F993" s="1" t="s">
        <v>113</v>
      </c>
      <c r="G993" s="1" t="s">
        <v>33</v>
      </c>
      <c r="H993" s="1" t="s">
        <v>71</v>
      </c>
      <c r="I993" s="1" t="s">
        <v>59</v>
      </c>
      <c r="J993" s="1" t="s">
        <v>60</v>
      </c>
      <c r="K993" s="1" t="s">
        <v>61</v>
      </c>
      <c r="L993">
        <v>1</v>
      </c>
      <c r="M993">
        <v>999</v>
      </c>
      <c r="N993">
        <v>0</v>
      </c>
      <c r="O993">
        <v>999</v>
      </c>
      <c r="P993">
        <v>520</v>
      </c>
      <c r="Q993">
        <v>520</v>
      </c>
      <c r="R993">
        <v>40</v>
      </c>
      <c r="S993">
        <v>439</v>
      </c>
    </row>
    <row r="994" spans="1:19" x14ac:dyDescent="0.3">
      <c r="A994" s="1" t="s">
        <v>1481</v>
      </c>
      <c r="B994" s="4">
        <v>45774</v>
      </c>
      <c r="C994" s="1" t="s">
        <v>679</v>
      </c>
      <c r="D994" s="1" t="s">
        <v>48</v>
      </c>
      <c r="E994" s="1" t="s">
        <v>31</v>
      </c>
      <c r="F994" s="1" t="s">
        <v>32</v>
      </c>
      <c r="G994" s="1" t="s">
        <v>42</v>
      </c>
      <c r="H994" s="1" t="s">
        <v>34</v>
      </c>
      <c r="I994" s="1" t="s">
        <v>26</v>
      </c>
      <c r="J994" s="1" t="s">
        <v>27</v>
      </c>
      <c r="K994" s="1" t="s">
        <v>28</v>
      </c>
      <c r="L994">
        <v>2</v>
      </c>
      <c r="M994">
        <v>799</v>
      </c>
      <c r="N994">
        <v>0.15</v>
      </c>
      <c r="O994">
        <v>1358.3</v>
      </c>
      <c r="P994">
        <v>420</v>
      </c>
      <c r="Q994">
        <v>840</v>
      </c>
      <c r="R994">
        <v>60</v>
      </c>
      <c r="S994">
        <v>458.3</v>
      </c>
    </row>
    <row r="995" spans="1:19" x14ac:dyDescent="0.3">
      <c r="A995" s="1" t="s">
        <v>1482</v>
      </c>
      <c r="B995" s="4">
        <v>45775</v>
      </c>
      <c r="C995" s="1" t="s">
        <v>486</v>
      </c>
      <c r="D995" s="1" t="s">
        <v>48</v>
      </c>
      <c r="E995" s="1" t="s">
        <v>49</v>
      </c>
      <c r="F995" s="1" t="s">
        <v>50</v>
      </c>
      <c r="G995" s="1" t="s">
        <v>24</v>
      </c>
      <c r="H995" s="1" t="s">
        <v>71</v>
      </c>
      <c r="I995" s="1" t="s">
        <v>76</v>
      </c>
      <c r="J995" s="1" t="s">
        <v>77</v>
      </c>
      <c r="K995" s="1" t="s">
        <v>37</v>
      </c>
      <c r="L995">
        <v>3</v>
      </c>
      <c r="M995">
        <v>6999</v>
      </c>
      <c r="N995">
        <v>0.05</v>
      </c>
      <c r="O995">
        <v>19947.150000000001</v>
      </c>
      <c r="P995">
        <v>4900</v>
      </c>
      <c r="Q995">
        <v>14700</v>
      </c>
      <c r="R995">
        <v>80</v>
      </c>
      <c r="S995">
        <v>5167.1499999999996</v>
      </c>
    </row>
    <row r="996" spans="1:19" x14ac:dyDescent="0.3">
      <c r="A996" s="1" t="s">
        <v>1483</v>
      </c>
      <c r="B996" s="4">
        <v>45775</v>
      </c>
      <c r="C996" s="1" t="s">
        <v>622</v>
      </c>
      <c r="D996" s="1" t="s">
        <v>48</v>
      </c>
      <c r="E996" s="1" t="s">
        <v>49</v>
      </c>
      <c r="F996" s="1" t="s">
        <v>50</v>
      </c>
      <c r="G996" s="1" t="s">
        <v>24</v>
      </c>
      <c r="H996" s="1" t="s">
        <v>56</v>
      </c>
      <c r="I996" s="1" t="s">
        <v>51</v>
      </c>
      <c r="J996" s="1" t="s">
        <v>52</v>
      </c>
      <c r="K996" s="1" t="s">
        <v>37</v>
      </c>
      <c r="L996">
        <v>2</v>
      </c>
      <c r="M996">
        <v>499</v>
      </c>
      <c r="N996">
        <v>0</v>
      </c>
      <c r="O996">
        <v>998</v>
      </c>
      <c r="P996">
        <v>180</v>
      </c>
      <c r="Q996">
        <v>360</v>
      </c>
      <c r="R996">
        <v>80</v>
      </c>
      <c r="S996">
        <v>558</v>
      </c>
    </row>
    <row r="997" spans="1:19" x14ac:dyDescent="0.3">
      <c r="A997" s="1" t="s">
        <v>1484</v>
      </c>
      <c r="B997" s="4">
        <v>45775</v>
      </c>
      <c r="C997" s="1" t="s">
        <v>549</v>
      </c>
      <c r="D997" s="1" t="s">
        <v>48</v>
      </c>
      <c r="E997" s="1" t="s">
        <v>49</v>
      </c>
      <c r="F997" s="1" t="s">
        <v>50</v>
      </c>
      <c r="G997" s="1" t="s">
        <v>24</v>
      </c>
      <c r="H997" s="1" t="s">
        <v>56</v>
      </c>
      <c r="I997" s="1" t="s">
        <v>76</v>
      </c>
      <c r="J997" s="1" t="s">
        <v>77</v>
      </c>
      <c r="K997" s="1" t="s">
        <v>37</v>
      </c>
      <c r="L997">
        <v>2</v>
      </c>
      <c r="M997">
        <v>6999</v>
      </c>
      <c r="N997">
        <v>0</v>
      </c>
      <c r="O997">
        <v>13998</v>
      </c>
      <c r="P997">
        <v>4900</v>
      </c>
      <c r="Q997">
        <v>9800</v>
      </c>
      <c r="R997">
        <v>80</v>
      </c>
      <c r="S997">
        <v>4118</v>
      </c>
    </row>
    <row r="998" spans="1:19" x14ac:dyDescent="0.3">
      <c r="A998" s="1" t="s">
        <v>1485</v>
      </c>
      <c r="B998" s="4">
        <v>45776</v>
      </c>
      <c r="C998" s="1" t="s">
        <v>413</v>
      </c>
      <c r="D998" s="1" t="s">
        <v>48</v>
      </c>
      <c r="E998" s="1" t="s">
        <v>70</v>
      </c>
      <c r="F998" s="1" t="s">
        <v>70</v>
      </c>
      <c r="G998" s="1" t="s">
        <v>42</v>
      </c>
      <c r="H998" s="1" t="s">
        <v>89</v>
      </c>
      <c r="I998" s="1" t="s">
        <v>59</v>
      </c>
      <c r="J998" s="1" t="s">
        <v>60</v>
      </c>
      <c r="K998" s="1" t="s">
        <v>61</v>
      </c>
      <c r="L998">
        <v>2</v>
      </c>
      <c r="M998">
        <v>999</v>
      </c>
      <c r="N998">
        <v>0.05</v>
      </c>
      <c r="O998">
        <v>1898.1</v>
      </c>
      <c r="P998">
        <v>520</v>
      </c>
      <c r="Q998">
        <v>1040</v>
      </c>
      <c r="R998">
        <v>60</v>
      </c>
      <c r="S998">
        <v>798.1</v>
      </c>
    </row>
    <row r="999" spans="1:19" x14ac:dyDescent="0.3">
      <c r="A999" s="1" t="s">
        <v>1486</v>
      </c>
      <c r="B999" s="4">
        <v>45776</v>
      </c>
      <c r="C999" s="1" t="s">
        <v>210</v>
      </c>
      <c r="D999" s="1" t="s">
        <v>40</v>
      </c>
      <c r="E999" s="1" t="s">
        <v>22</v>
      </c>
      <c r="F999" s="1" t="s">
        <v>23</v>
      </c>
      <c r="G999" s="1" t="s">
        <v>24</v>
      </c>
      <c r="H999" s="1" t="s">
        <v>71</v>
      </c>
      <c r="I999" s="1" t="s">
        <v>35</v>
      </c>
      <c r="J999" s="1" t="s">
        <v>36</v>
      </c>
      <c r="K999" s="1" t="s">
        <v>37</v>
      </c>
      <c r="L999">
        <v>1</v>
      </c>
      <c r="M999">
        <v>1299</v>
      </c>
      <c r="N999">
        <v>0.2</v>
      </c>
      <c r="O999">
        <v>1039.2</v>
      </c>
      <c r="P999">
        <v>700</v>
      </c>
      <c r="Q999">
        <v>700</v>
      </c>
      <c r="R999">
        <v>40</v>
      </c>
      <c r="S999">
        <v>299.2</v>
      </c>
    </row>
    <row r="1000" spans="1:19" x14ac:dyDescent="0.3">
      <c r="A1000" s="1" t="s">
        <v>1487</v>
      </c>
      <c r="B1000" s="4">
        <v>45776</v>
      </c>
      <c r="C1000" s="1" t="s">
        <v>516</v>
      </c>
      <c r="D1000" s="1" t="s">
        <v>40</v>
      </c>
      <c r="E1000" s="1" t="s">
        <v>120</v>
      </c>
      <c r="F1000" s="1" t="s">
        <v>121</v>
      </c>
      <c r="G1000" s="1" t="s">
        <v>42</v>
      </c>
      <c r="H1000" s="1" t="s">
        <v>89</v>
      </c>
      <c r="I1000" s="1" t="s">
        <v>51</v>
      </c>
      <c r="J1000" s="1" t="s">
        <v>52</v>
      </c>
      <c r="K1000" s="1" t="s">
        <v>37</v>
      </c>
      <c r="L1000">
        <v>4</v>
      </c>
      <c r="M1000">
        <v>499</v>
      </c>
      <c r="N1000">
        <v>0</v>
      </c>
      <c r="O1000">
        <v>1996</v>
      </c>
      <c r="P1000">
        <v>180</v>
      </c>
      <c r="Q1000">
        <v>720</v>
      </c>
      <c r="R1000">
        <v>60</v>
      </c>
      <c r="S1000">
        <v>1216</v>
      </c>
    </row>
    <row r="1001" spans="1:19" x14ac:dyDescent="0.3">
      <c r="A1001" s="1" t="s">
        <v>1488</v>
      </c>
      <c r="B1001" s="4">
        <v>45777</v>
      </c>
      <c r="C1001" s="1" t="s">
        <v>524</v>
      </c>
      <c r="D1001" s="1" t="s">
        <v>40</v>
      </c>
      <c r="E1001" s="1" t="s">
        <v>80</v>
      </c>
      <c r="F1001" s="1" t="s">
        <v>55</v>
      </c>
      <c r="G1001" s="1" t="s">
        <v>24</v>
      </c>
      <c r="H1001" s="1" t="s">
        <v>71</v>
      </c>
      <c r="I1001" s="1" t="s">
        <v>134</v>
      </c>
      <c r="J1001" s="1" t="s">
        <v>135</v>
      </c>
      <c r="K1001" s="1" t="s">
        <v>136</v>
      </c>
      <c r="L1001">
        <v>1</v>
      </c>
      <c r="M1001">
        <v>299</v>
      </c>
      <c r="N1001">
        <v>0</v>
      </c>
      <c r="O1001">
        <v>299</v>
      </c>
      <c r="P1001">
        <v>110</v>
      </c>
      <c r="Q1001">
        <v>110</v>
      </c>
      <c r="R1001">
        <v>80</v>
      </c>
      <c r="S1001">
        <v>109</v>
      </c>
    </row>
    <row r="1002" spans="1:19" x14ac:dyDescent="0.3">
      <c r="A1002" s="1" t="s">
        <v>1489</v>
      </c>
      <c r="B1002" s="4">
        <v>45777</v>
      </c>
      <c r="C1002" s="1" t="s">
        <v>787</v>
      </c>
      <c r="D1002" s="1" t="s">
        <v>21</v>
      </c>
      <c r="E1002" s="1" t="s">
        <v>96</v>
      </c>
      <c r="F1002" s="1" t="s">
        <v>97</v>
      </c>
      <c r="G1002" s="1" t="s">
        <v>33</v>
      </c>
      <c r="H1002" s="1" t="s">
        <v>25</v>
      </c>
      <c r="I1002" s="1" t="s">
        <v>51</v>
      </c>
      <c r="J1002" s="1" t="s">
        <v>52</v>
      </c>
      <c r="K1002" s="1" t="s">
        <v>37</v>
      </c>
      <c r="L1002">
        <v>2</v>
      </c>
      <c r="M1002">
        <v>499</v>
      </c>
      <c r="N1002">
        <v>0.15</v>
      </c>
      <c r="O1002">
        <v>848.3</v>
      </c>
      <c r="P1002">
        <v>180</v>
      </c>
      <c r="Q1002">
        <v>360</v>
      </c>
      <c r="R1002">
        <v>80</v>
      </c>
      <c r="S1002">
        <v>408.3</v>
      </c>
    </row>
    <row r="1003" spans="1:19" x14ac:dyDescent="0.3">
      <c r="A1003" s="1" t="s">
        <v>1490</v>
      </c>
      <c r="B1003" s="4">
        <v>45777</v>
      </c>
      <c r="C1003" s="1" t="s">
        <v>285</v>
      </c>
      <c r="D1003" s="1" t="s">
        <v>48</v>
      </c>
      <c r="E1003" s="1" t="s">
        <v>70</v>
      </c>
      <c r="F1003" s="1" t="s">
        <v>70</v>
      </c>
      <c r="G1003" s="1" t="s">
        <v>33</v>
      </c>
      <c r="H1003" s="1" t="s">
        <v>56</v>
      </c>
      <c r="I1003" s="1" t="s">
        <v>85</v>
      </c>
      <c r="J1003" s="1" t="s">
        <v>86</v>
      </c>
      <c r="K1003" s="1" t="s">
        <v>45</v>
      </c>
      <c r="L1003">
        <v>2</v>
      </c>
      <c r="M1003">
        <v>599</v>
      </c>
      <c r="N1003">
        <v>0.15</v>
      </c>
      <c r="O1003">
        <v>1018.3</v>
      </c>
      <c r="P1003">
        <v>240</v>
      </c>
      <c r="Q1003">
        <v>480</v>
      </c>
      <c r="R1003">
        <v>100</v>
      </c>
      <c r="S1003">
        <v>438.3</v>
      </c>
    </row>
    <row r="1004" spans="1:19" x14ac:dyDescent="0.3">
      <c r="A1004" s="1" t="s">
        <v>1491</v>
      </c>
      <c r="B1004" s="4">
        <v>45780</v>
      </c>
      <c r="C1004" s="1" t="s">
        <v>192</v>
      </c>
      <c r="D1004" s="1" t="s">
        <v>21</v>
      </c>
      <c r="E1004" s="1" t="s">
        <v>70</v>
      </c>
      <c r="F1004" s="1" t="s">
        <v>70</v>
      </c>
      <c r="G1004" s="1" t="s">
        <v>24</v>
      </c>
      <c r="H1004" s="1" t="s">
        <v>34</v>
      </c>
      <c r="I1004" s="1" t="s">
        <v>81</v>
      </c>
      <c r="J1004" s="1" t="s">
        <v>82</v>
      </c>
      <c r="K1004" s="1" t="s">
        <v>61</v>
      </c>
      <c r="L1004">
        <v>2</v>
      </c>
      <c r="M1004">
        <v>2999</v>
      </c>
      <c r="N1004">
        <v>0.1</v>
      </c>
      <c r="O1004">
        <v>5398.2</v>
      </c>
      <c r="P1004">
        <v>1750</v>
      </c>
      <c r="Q1004">
        <v>3500</v>
      </c>
      <c r="R1004">
        <v>80</v>
      </c>
      <c r="S1004">
        <v>1818.2</v>
      </c>
    </row>
    <row r="1005" spans="1:19" x14ac:dyDescent="0.3">
      <c r="A1005" s="1" t="s">
        <v>1492</v>
      </c>
      <c r="B1005" s="4">
        <v>45780</v>
      </c>
      <c r="C1005" s="1" t="s">
        <v>1171</v>
      </c>
      <c r="D1005" s="1" t="s">
        <v>48</v>
      </c>
      <c r="E1005" s="1" t="s">
        <v>112</v>
      </c>
      <c r="F1005" s="1" t="s">
        <v>113</v>
      </c>
      <c r="G1005" s="1" t="s">
        <v>24</v>
      </c>
      <c r="H1005" s="1" t="s">
        <v>89</v>
      </c>
      <c r="I1005" s="1" t="s">
        <v>26</v>
      </c>
      <c r="J1005" s="1" t="s">
        <v>27</v>
      </c>
      <c r="K1005" s="1" t="s">
        <v>28</v>
      </c>
      <c r="L1005">
        <v>4</v>
      </c>
      <c r="M1005">
        <v>799</v>
      </c>
      <c r="N1005">
        <v>0.05</v>
      </c>
      <c r="O1005">
        <v>3036.2</v>
      </c>
      <c r="P1005">
        <v>420</v>
      </c>
      <c r="Q1005">
        <v>1680</v>
      </c>
      <c r="R1005">
        <v>80</v>
      </c>
      <c r="S1005">
        <v>1276.2</v>
      </c>
    </row>
    <row r="1006" spans="1:19" x14ac:dyDescent="0.3">
      <c r="A1006" s="1" t="s">
        <v>1493</v>
      </c>
      <c r="B1006" s="4">
        <v>45780</v>
      </c>
      <c r="C1006" s="1" t="s">
        <v>101</v>
      </c>
      <c r="D1006" s="1" t="s">
        <v>40</v>
      </c>
      <c r="E1006" s="1" t="s">
        <v>124</v>
      </c>
      <c r="F1006" s="1" t="s">
        <v>125</v>
      </c>
      <c r="G1006" s="1" t="s">
        <v>42</v>
      </c>
      <c r="H1006" s="1" t="s">
        <v>25</v>
      </c>
      <c r="I1006" s="1" t="s">
        <v>134</v>
      </c>
      <c r="J1006" s="1" t="s">
        <v>135</v>
      </c>
      <c r="K1006" s="1" t="s">
        <v>136</v>
      </c>
      <c r="L1006">
        <v>3</v>
      </c>
      <c r="M1006">
        <v>299</v>
      </c>
      <c r="N1006">
        <v>0</v>
      </c>
      <c r="O1006">
        <v>897</v>
      </c>
      <c r="P1006">
        <v>110</v>
      </c>
      <c r="Q1006">
        <v>330</v>
      </c>
      <c r="R1006">
        <v>40</v>
      </c>
      <c r="S1006">
        <v>527</v>
      </c>
    </row>
    <row r="1007" spans="1:19" x14ac:dyDescent="0.3">
      <c r="A1007" s="1" t="s">
        <v>1494</v>
      </c>
      <c r="B1007" s="4">
        <v>45780</v>
      </c>
      <c r="C1007" s="1" t="s">
        <v>1123</v>
      </c>
      <c r="D1007" s="1" t="s">
        <v>40</v>
      </c>
      <c r="E1007" s="1" t="s">
        <v>22</v>
      </c>
      <c r="F1007" s="1" t="s">
        <v>23</v>
      </c>
      <c r="G1007" s="1" t="s">
        <v>42</v>
      </c>
      <c r="H1007" s="1" t="s">
        <v>89</v>
      </c>
      <c r="I1007" s="1" t="s">
        <v>76</v>
      </c>
      <c r="J1007" s="1" t="s">
        <v>77</v>
      </c>
      <c r="K1007" s="1" t="s">
        <v>37</v>
      </c>
      <c r="L1007">
        <v>1</v>
      </c>
      <c r="M1007">
        <v>6999</v>
      </c>
      <c r="N1007">
        <v>0.05</v>
      </c>
      <c r="O1007">
        <v>6649.05</v>
      </c>
      <c r="P1007">
        <v>4900</v>
      </c>
      <c r="Q1007">
        <v>4900</v>
      </c>
      <c r="R1007">
        <v>60</v>
      </c>
      <c r="S1007">
        <v>1689.05</v>
      </c>
    </row>
    <row r="1008" spans="1:19" x14ac:dyDescent="0.3">
      <c r="A1008" s="1" t="s">
        <v>1495</v>
      </c>
      <c r="B1008" s="4">
        <v>45781</v>
      </c>
      <c r="C1008" s="1" t="s">
        <v>1057</v>
      </c>
      <c r="D1008" s="1" t="s">
        <v>21</v>
      </c>
      <c r="E1008" s="1" t="s">
        <v>49</v>
      </c>
      <c r="F1008" s="1" t="s">
        <v>50</v>
      </c>
      <c r="G1008" s="1" t="s">
        <v>24</v>
      </c>
      <c r="H1008" s="1" t="s">
        <v>34</v>
      </c>
      <c r="I1008" s="1" t="s">
        <v>72</v>
      </c>
      <c r="J1008" s="1" t="s">
        <v>73</v>
      </c>
      <c r="K1008" s="1" t="s">
        <v>28</v>
      </c>
      <c r="L1008">
        <v>1</v>
      </c>
      <c r="M1008">
        <v>2199</v>
      </c>
      <c r="N1008">
        <v>0</v>
      </c>
      <c r="O1008">
        <v>2199</v>
      </c>
      <c r="P1008">
        <v>1250</v>
      </c>
      <c r="Q1008">
        <v>1250</v>
      </c>
      <c r="R1008">
        <v>40</v>
      </c>
      <c r="S1008">
        <v>909</v>
      </c>
    </row>
    <row r="1009" spans="1:19" x14ac:dyDescent="0.3">
      <c r="A1009" s="1" t="s">
        <v>1496</v>
      </c>
      <c r="B1009" s="4">
        <v>45782</v>
      </c>
      <c r="C1009" s="1" t="s">
        <v>372</v>
      </c>
      <c r="D1009" s="1" t="s">
        <v>48</v>
      </c>
      <c r="E1009" s="1" t="s">
        <v>22</v>
      </c>
      <c r="F1009" s="1" t="s">
        <v>23</v>
      </c>
      <c r="G1009" s="1" t="s">
        <v>24</v>
      </c>
      <c r="H1009" s="1" t="s">
        <v>34</v>
      </c>
      <c r="I1009" s="1" t="s">
        <v>81</v>
      </c>
      <c r="J1009" s="1" t="s">
        <v>82</v>
      </c>
      <c r="K1009" s="1" t="s">
        <v>61</v>
      </c>
      <c r="L1009">
        <v>1</v>
      </c>
      <c r="M1009">
        <v>2999</v>
      </c>
      <c r="N1009">
        <v>0.1</v>
      </c>
      <c r="O1009">
        <v>2699.1</v>
      </c>
      <c r="P1009">
        <v>1750</v>
      </c>
      <c r="Q1009">
        <v>1750</v>
      </c>
      <c r="R1009">
        <v>60</v>
      </c>
      <c r="S1009">
        <v>889.1</v>
      </c>
    </row>
    <row r="1010" spans="1:19" x14ac:dyDescent="0.3">
      <c r="A1010" s="1" t="s">
        <v>1497</v>
      </c>
      <c r="B1010" s="4">
        <v>45782</v>
      </c>
      <c r="C1010" s="1" t="s">
        <v>329</v>
      </c>
      <c r="D1010" s="1" t="s">
        <v>21</v>
      </c>
      <c r="E1010" s="1" t="s">
        <v>80</v>
      </c>
      <c r="F1010" s="1" t="s">
        <v>55</v>
      </c>
      <c r="G1010" s="1" t="s">
        <v>24</v>
      </c>
      <c r="H1010" s="1" t="s">
        <v>25</v>
      </c>
      <c r="I1010" s="1" t="s">
        <v>85</v>
      </c>
      <c r="J1010" s="1" t="s">
        <v>86</v>
      </c>
      <c r="K1010" s="1" t="s">
        <v>45</v>
      </c>
      <c r="L1010">
        <v>1</v>
      </c>
      <c r="M1010">
        <v>599</v>
      </c>
      <c r="N1010">
        <v>0.1</v>
      </c>
      <c r="O1010">
        <v>539.1</v>
      </c>
      <c r="P1010">
        <v>240</v>
      </c>
      <c r="Q1010">
        <v>240</v>
      </c>
      <c r="R1010">
        <v>100</v>
      </c>
      <c r="S1010">
        <v>199.1</v>
      </c>
    </row>
    <row r="1011" spans="1:19" x14ac:dyDescent="0.3">
      <c r="A1011" s="1" t="s">
        <v>1498</v>
      </c>
      <c r="B1011" s="4">
        <v>45783</v>
      </c>
      <c r="C1011" s="1" t="s">
        <v>1228</v>
      </c>
      <c r="D1011" s="1" t="s">
        <v>40</v>
      </c>
      <c r="E1011" s="1" t="s">
        <v>41</v>
      </c>
      <c r="F1011" s="1" t="s">
        <v>32</v>
      </c>
      <c r="G1011" s="1" t="s">
        <v>33</v>
      </c>
      <c r="H1011" s="1" t="s">
        <v>25</v>
      </c>
      <c r="I1011" s="1" t="s">
        <v>51</v>
      </c>
      <c r="J1011" s="1" t="s">
        <v>52</v>
      </c>
      <c r="K1011" s="1" t="s">
        <v>37</v>
      </c>
      <c r="L1011">
        <v>1</v>
      </c>
      <c r="M1011">
        <v>499</v>
      </c>
      <c r="N1011">
        <v>0</v>
      </c>
      <c r="O1011">
        <v>499</v>
      </c>
      <c r="P1011">
        <v>180</v>
      </c>
      <c r="Q1011">
        <v>180</v>
      </c>
      <c r="R1011">
        <v>40</v>
      </c>
      <c r="S1011">
        <v>279</v>
      </c>
    </row>
    <row r="1012" spans="1:19" x14ac:dyDescent="0.3">
      <c r="A1012" s="1" t="s">
        <v>1499</v>
      </c>
      <c r="B1012" s="4">
        <v>45784</v>
      </c>
      <c r="C1012" s="1" t="s">
        <v>489</v>
      </c>
      <c r="D1012" s="1" t="s">
        <v>48</v>
      </c>
      <c r="E1012" s="1" t="s">
        <v>49</v>
      </c>
      <c r="F1012" s="1" t="s">
        <v>50</v>
      </c>
      <c r="G1012" s="1" t="s">
        <v>24</v>
      </c>
      <c r="H1012" s="1" t="s">
        <v>89</v>
      </c>
      <c r="I1012" s="1" t="s">
        <v>85</v>
      </c>
      <c r="J1012" s="1" t="s">
        <v>86</v>
      </c>
      <c r="K1012" s="1" t="s">
        <v>45</v>
      </c>
      <c r="L1012">
        <v>1</v>
      </c>
      <c r="M1012">
        <v>599</v>
      </c>
      <c r="N1012">
        <v>0.1</v>
      </c>
      <c r="O1012">
        <v>539.1</v>
      </c>
      <c r="P1012">
        <v>240</v>
      </c>
      <c r="Q1012">
        <v>240</v>
      </c>
      <c r="R1012">
        <v>100</v>
      </c>
      <c r="S1012">
        <v>199.1</v>
      </c>
    </row>
    <row r="1013" spans="1:19" x14ac:dyDescent="0.3">
      <c r="A1013" s="1" t="s">
        <v>1500</v>
      </c>
      <c r="B1013" s="4">
        <v>45784</v>
      </c>
      <c r="C1013" s="1" t="s">
        <v>39</v>
      </c>
      <c r="D1013" s="1" t="s">
        <v>21</v>
      </c>
      <c r="E1013" s="1" t="s">
        <v>112</v>
      </c>
      <c r="F1013" s="1" t="s">
        <v>113</v>
      </c>
      <c r="G1013" s="1" t="s">
        <v>33</v>
      </c>
      <c r="H1013" s="1" t="s">
        <v>34</v>
      </c>
      <c r="I1013" s="1" t="s">
        <v>66</v>
      </c>
      <c r="J1013" s="1" t="s">
        <v>67</v>
      </c>
      <c r="K1013" s="1" t="s">
        <v>28</v>
      </c>
      <c r="L1013">
        <v>4</v>
      </c>
      <c r="M1013">
        <v>2499</v>
      </c>
      <c r="N1013">
        <v>0.05</v>
      </c>
      <c r="O1013">
        <v>9496.2000000000007</v>
      </c>
      <c r="P1013">
        <v>1450</v>
      </c>
      <c r="Q1013">
        <v>5800</v>
      </c>
      <c r="R1013">
        <v>80</v>
      </c>
      <c r="S1013">
        <v>3616.2</v>
      </c>
    </row>
    <row r="1014" spans="1:19" x14ac:dyDescent="0.3">
      <c r="A1014" s="1" t="s">
        <v>1501</v>
      </c>
      <c r="B1014" s="4">
        <v>45785</v>
      </c>
      <c r="C1014" s="1" t="s">
        <v>508</v>
      </c>
      <c r="D1014" s="1" t="s">
        <v>40</v>
      </c>
      <c r="E1014" s="1" t="s">
        <v>64</v>
      </c>
      <c r="F1014" s="1" t="s">
        <v>65</v>
      </c>
      <c r="G1014" s="1" t="s">
        <v>42</v>
      </c>
      <c r="H1014" s="1" t="s">
        <v>34</v>
      </c>
      <c r="I1014" s="1" t="s">
        <v>35</v>
      </c>
      <c r="J1014" s="1" t="s">
        <v>36</v>
      </c>
      <c r="K1014" s="1" t="s">
        <v>37</v>
      </c>
      <c r="L1014">
        <v>3</v>
      </c>
      <c r="M1014">
        <v>1299</v>
      </c>
      <c r="N1014">
        <v>0.05</v>
      </c>
      <c r="O1014">
        <v>3702.15</v>
      </c>
      <c r="P1014">
        <v>700</v>
      </c>
      <c r="Q1014">
        <v>2100</v>
      </c>
      <c r="R1014">
        <v>0</v>
      </c>
      <c r="S1014">
        <v>1602.15</v>
      </c>
    </row>
    <row r="1015" spans="1:19" x14ac:dyDescent="0.3">
      <c r="A1015" s="1" t="s">
        <v>1502</v>
      </c>
      <c r="B1015" s="4">
        <v>45785</v>
      </c>
      <c r="C1015" s="1" t="s">
        <v>498</v>
      </c>
      <c r="D1015" s="1" t="s">
        <v>21</v>
      </c>
      <c r="E1015" s="1" t="s">
        <v>64</v>
      </c>
      <c r="F1015" s="1" t="s">
        <v>65</v>
      </c>
      <c r="G1015" s="1" t="s">
        <v>24</v>
      </c>
      <c r="H1015" s="1" t="s">
        <v>25</v>
      </c>
      <c r="I1015" s="1" t="s">
        <v>92</v>
      </c>
      <c r="J1015" s="1" t="s">
        <v>93</v>
      </c>
      <c r="K1015" s="1" t="s">
        <v>28</v>
      </c>
      <c r="L1015">
        <v>2</v>
      </c>
      <c r="M1015">
        <v>1599</v>
      </c>
      <c r="N1015">
        <v>0.15</v>
      </c>
      <c r="O1015">
        <v>2718.3</v>
      </c>
      <c r="P1015">
        <v>900</v>
      </c>
      <c r="Q1015">
        <v>1800</v>
      </c>
      <c r="R1015">
        <v>60</v>
      </c>
      <c r="S1015">
        <v>858.3</v>
      </c>
    </row>
    <row r="1016" spans="1:19" x14ac:dyDescent="0.3">
      <c r="A1016" s="1" t="s">
        <v>1503</v>
      </c>
      <c r="B1016" s="4">
        <v>45785</v>
      </c>
      <c r="C1016" s="1" t="s">
        <v>88</v>
      </c>
      <c r="D1016" s="1" t="s">
        <v>48</v>
      </c>
      <c r="E1016" s="1" t="s">
        <v>124</v>
      </c>
      <c r="F1016" s="1" t="s">
        <v>125</v>
      </c>
      <c r="G1016" s="1" t="s">
        <v>33</v>
      </c>
      <c r="H1016" s="1" t="s">
        <v>25</v>
      </c>
      <c r="I1016" s="1" t="s">
        <v>43</v>
      </c>
      <c r="J1016" s="1" t="s">
        <v>44</v>
      </c>
      <c r="K1016" s="1" t="s">
        <v>45</v>
      </c>
      <c r="L1016">
        <v>2</v>
      </c>
      <c r="M1016">
        <v>1799</v>
      </c>
      <c r="N1016">
        <v>0</v>
      </c>
      <c r="O1016">
        <v>3598</v>
      </c>
      <c r="P1016">
        <v>850</v>
      </c>
      <c r="Q1016">
        <v>1700</v>
      </c>
      <c r="R1016">
        <v>80</v>
      </c>
      <c r="S1016">
        <v>1818</v>
      </c>
    </row>
    <row r="1017" spans="1:19" x14ac:dyDescent="0.3">
      <c r="A1017" s="1" t="s">
        <v>1504</v>
      </c>
      <c r="B1017" s="4">
        <v>45786</v>
      </c>
      <c r="C1017" s="1" t="s">
        <v>904</v>
      </c>
      <c r="D1017" s="1" t="s">
        <v>21</v>
      </c>
      <c r="E1017" s="1" t="s">
        <v>112</v>
      </c>
      <c r="F1017" s="1" t="s">
        <v>113</v>
      </c>
      <c r="G1017" s="1" t="s">
        <v>24</v>
      </c>
      <c r="H1017" s="1" t="s">
        <v>89</v>
      </c>
      <c r="I1017" s="1" t="s">
        <v>35</v>
      </c>
      <c r="J1017" s="1" t="s">
        <v>36</v>
      </c>
      <c r="K1017" s="1" t="s">
        <v>37</v>
      </c>
      <c r="L1017">
        <v>1</v>
      </c>
      <c r="M1017">
        <v>1299</v>
      </c>
      <c r="N1017">
        <v>0</v>
      </c>
      <c r="O1017">
        <v>1299</v>
      </c>
      <c r="P1017">
        <v>700</v>
      </c>
      <c r="Q1017">
        <v>700</v>
      </c>
      <c r="R1017">
        <v>100</v>
      </c>
      <c r="S1017">
        <v>499</v>
      </c>
    </row>
    <row r="1018" spans="1:19" x14ac:dyDescent="0.3">
      <c r="A1018" s="1" t="s">
        <v>1505</v>
      </c>
      <c r="B1018" s="4">
        <v>45786</v>
      </c>
      <c r="C1018" s="1" t="s">
        <v>101</v>
      </c>
      <c r="D1018" s="1" t="s">
        <v>21</v>
      </c>
      <c r="E1018" s="1" t="s">
        <v>96</v>
      </c>
      <c r="F1018" s="1" t="s">
        <v>97</v>
      </c>
      <c r="G1018" s="1" t="s">
        <v>33</v>
      </c>
      <c r="H1018" s="1" t="s">
        <v>71</v>
      </c>
      <c r="I1018" s="1" t="s">
        <v>66</v>
      </c>
      <c r="J1018" s="1" t="s">
        <v>67</v>
      </c>
      <c r="K1018" s="1" t="s">
        <v>28</v>
      </c>
      <c r="L1018">
        <v>1</v>
      </c>
      <c r="M1018">
        <v>2499</v>
      </c>
      <c r="N1018">
        <v>0</v>
      </c>
      <c r="O1018">
        <v>2499</v>
      </c>
      <c r="P1018">
        <v>1450</v>
      </c>
      <c r="Q1018">
        <v>1450</v>
      </c>
      <c r="R1018">
        <v>0</v>
      </c>
      <c r="S1018">
        <v>1049</v>
      </c>
    </row>
    <row r="1019" spans="1:19" x14ac:dyDescent="0.3">
      <c r="A1019" s="1" t="s">
        <v>1506</v>
      </c>
      <c r="B1019" s="4">
        <v>45786</v>
      </c>
      <c r="C1019" s="1" t="s">
        <v>1282</v>
      </c>
      <c r="D1019" s="1" t="s">
        <v>40</v>
      </c>
      <c r="E1019" s="1" t="s">
        <v>70</v>
      </c>
      <c r="F1019" s="1" t="s">
        <v>70</v>
      </c>
      <c r="G1019" s="1" t="s">
        <v>42</v>
      </c>
      <c r="H1019" s="1" t="s">
        <v>34</v>
      </c>
      <c r="I1019" s="1" t="s">
        <v>85</v>
      </c>
      <c r="J1019" s="1" t="s">
        <v>86</v>
      </c>
      <c r="K1019" s="1" t="s">
        <v>45</v>
      </c>
      <c r="L1019">
        <v>3</v>
      </c>
      <c r="M1019">
        <v>599</v>
      </c>
      <c r="N1019">
        <v>0</v>
      </c>
      <c r="O1019">
        <v>1797</v>
      </c>
      <c r="P1019">
        <v>240</v>
      </c>
      <c r="Q1019">
        <v>720</v>
      </c>
      <c r="R1019">
        <v>100</v>
      </c>
      <c r="S1019">
        <v>977</v>
      </c>
    </row>
    <row r="1020" spans="1:19" x14ac:dyDescent="0.3">
      <c r="A1020" s="1" t="s">
        <v>1507</v>
      </c>
      <c r="B1020" s="4">
        <v>45787</v>
      </c>
      <c r="C1020" s="1" t="s">
        <v>210</v>
      </c>
      <c r="D1020" s="1" t="s">
        <v>21</v>
      </c>
      <c r="E1020" s="1" t="s">
        <v>54</v>
      </c>
      <c r="F1020" s="1" t="s">
        <v>55</v>
      </c>
      <c r="G1020" s="1" t="s">
        <v>33</v>
      </c>
      <c r="H1020" s="1" t="s">
        <v>89</v>
      </c>
      <c r="I1020" s="1" t="s">
        <v>26</v>
      </c>
      <c r="J1020" s="1" t="s">
        <v>27</v>
      </c>
      <c r="K1020" s="1" t="s">
        <v>28</v>
      </c>
      <c r="L1020">
        <v>1</v>
      </c>
      <c r="M1020">
        <v>799</v>
      </c>
      <c r="N1020">
        <v>0</v>
      </c>
      <c r="O1020">
        <v>799</v>
      </c>
      <c r="P1020">
        <v>420</v>
      </c>
      <c r="Q1020">
        <v>420</v>
      </c>
      <c r="R1020">
        <v>60</v>
      </c>
      <c r="S1020">
        <v>319</v>
      </c>
    </row>
    <row r="1021" spans="1:19" x14ac:dyDescent="0.3">
      <c r="A1021" s="1" t="s">
        <v>1508</v>
      </c>
      <c r="B1021" s="4">
        <v>45788</v>
      </c>
      <c r="C1021" s="1" t="s">
        <v>253</v>
      </c>
      <c r="D1021" s="1" t="s">
        <v>21</v>
      </c>
      <c r="E1021" s="1" t="s">
        <v>80</v>
      </c>
      <c r="F1021" s="1" t="s">
        <v>55</v>
      </c>
      <c r="G1021" s="1" t="s">
        <v>42</v>
      </c>
      <c r="H1021" s="1" t="s">
        <v>25</v>
      </c>
      <c r="I1021" s="1" t="s">
        <v>81</v>
      </c>
      <c r="J1021" s="1" t="s">
        <v>82</v>
      </c>
      <c r="K1021" s="1" t="s">
        <v>61</v>
      </c>
      <c r="L1021">
        <v>4</v>
      </c>
      <c r="M1021">
        <v>2999</v>
      </c>
      <c r="N1021">
        <v>0</v>
      </c>
      <c r="O1021">
        <v>11996</v>
      </c>
      <c r="P1021">
        <v>1750</v>
      </c>
      <c r="Q1021">
        <v>7000</v>
      </c>
      <c r="R1021">
        <v>0</v>
      </c>
      <c r="S1021">
        <v>4996</v>
      </c>
    </row>
    <row r="1022" spans="1:19" x14ac:dyDescent="0.3">
      <c r="A1022" s="1" t="s">
        <v>1509</v>
      </c>
      <c r="B1022" s="4">
        <v>45788</v>
      </c>
      <c r="C1022" s="1" t="s">
        <v>1009</v>
      </c>
      <c r="D1022" s="1" t="s">
        <v>48</v>
      </c>
      <c r="E1022" s="1" t="s">
        <v>54</v>
      </c>
      <c r="F1022" s="1" t="s">
        <v>55</v>
      </c>
      <c r="G1022" s="1" t="s">
        <v>42</v>
      </c>
      <c r="H1022" s="1" t="s">
        <v>89</v>
      </c>
      <c r="I1022" s="1" t="s">
        <v>134</v>
      </c>
      <c r="J1022" s="1" t="s">
        <v>135</v>
      </c>
      <c r="K1022" s="1" t="s">
        <v>136</v>
      </c>
      <c r="L1022">
        <v>2</v>
      </c>
      <c r="M1022">
        <v>299</v>
      </c>
      <c r="N1022">
        <v>0</v>
      </c>
      <c r="O1022">
        <v>598</v>
      </c>
      <c r="P1022">
        <v>110</v>
      </c>
      <c r="Q1022">
        <v>220</v>
      </c>
      <c r="R1022">
        <v>0</v>
      </c>
      <c r="S1022">
        <v>378</v>
      </c>
    </row>
    <row r="1023" spans="1:19" x14ac:dyDescent="0.3">
      <c r="A1023" s="1" t="s">
        <v>1510</v>
      </c>
      <c r="B1023" s="4">
        <v>45789</v>
      </c>
      <c r="C1023" s="1" t="s">
        <v>1070</v>
      </c>
      <c r="D1023" s="1" t="s">
        <v>40</v>
      </c>
      <c r="E1023" s="1" t="s">
        <v>70</v>
      </c>
      <c r="F1023" s="1" t="s">
        <v>70</v>
      </c>
      <c r="G1023" s="1" t="s">
        <v>33</v>
      </c>
      <c r="H1023" s="1" t="s">
        <v>71</v>
      </c>
      <c r="I1023" s="1" t="s">
        <v>43</v>
      </c>
      <c r="J1023" s="1" t="s">
        <v>44</v>
      </c>
      <c r="K1023" s="1" t="s">
        <v>45</v>
      </c>
      <c r="L1023">
        <v>1</v>
      </c>
      <c r="M1023">
        <v>1799</v>
      </c>
      <c r="N1023">
        <v>0.1</v>
      </c>
      <c r="O1023">
        <v>1619.1</v>
      </c>
      <c r="P1023">
        <v>850</v>
      </c>
      <c r="Q1023">
        <v>850</v>
      </c>
      <c r="R1023">
        <v>0</v>
      </c>
      <c r="S1023">
        <v>769.1</v>
      </c>
    </row>
    <row r="1024" spans="1:19" x14ac:dyDescent="0.3">
      <c r="A1024" s="1" t="s">
        <v>1511</v>
      </c>
      <c r="B1024" s="4">
        <v>45790</v>
      </c>
      <c r="C1024" s="1" t="s">
        <v>1298</v>
      </c>
      <c r="D1024" s="1" t="s">
        <v>48</v>
      </c>
      <c r="E1024" s="1" t="s">
        <v>96</v>
      </c>
      <c r="F1024" s="1" t="s">
        <v>97</v>
      </c>
      <c r="G1024" s="1" t="s">
        <v>24</v>
      </c>
      <c r="H1024" s="1" t="s">
        <v>34</v>
      </c>
      <c r="I1024" s="1" t="s">
        <v>35</v>
      </c>
      <c r="J1024" s="1" t="s">
        <v>36</v>
      </c>
      <c r="K1024" s="1" t="s">
        <v>37</v>
      </c>
      <c r="L1024">
        <v>2</v>
      </c>
      <c r="M1024">
        <v>1299</v>
      </c>
      <c r="N1024">
        <v>0.15</v>
      </c>
      <c r="O1024">
        <v>2208.3000000000002</v>
      </c>
      <c r="P1024">
        <v>700</v>
      </c>
      <c r="Q1024">
        <v>1400</v>
      </c>
      <c r="R1024">
        <v>60</v>
      </c>
      <c r="S1024">
        <v>748.3</v>
      </c>
    </row>
    <row r="1025" spans="1:19" x14ac:dyDescent="0.3">
      <c r="A1025" s="1" t="s">
        <v>1512</v>
      </c>
      <c r="B1025" s="4">
        <v>45790</v>
      </c>
      <c r="C1025" s="1" t="s">
        <v>1219</v>
      </c>
      <c r="D1025" s="1" t="s">
        <v>48</v>
      </c>
      <c r="E1025" s="1" t="s">
        <v>112</v>
      </c>
      <c r="F1025" s="1" t="s">
        <v>113</v>
      </c>
      <c r="G1025" s="1" t="s">
        <v>33</v>
      </c>
      <c r="H1025" s="1" t="s">
        <v>56</v>
      </c>
      <c r="I1025" s="1" t="s">
        <v>76</v>
      </c>
      <c r="J1025" s="1" t="s">
        <v>77</v>
      </c>
      <c r="K1025" s="1" t="s">
        <v>37</v>
      </c>
      <c r="L1025">
        <v>1</v>
      </c>
      <c r="M1025">
        <v>6999</v>
      </c>
      <c r="N1025">
        <v>0.2</v>
      </c>
      <c r="O1025">
        <v>5599.2</v>
      </c>
      <c r="P1025">
        <v>4900</v>
      </c>
      <c r="Q1025">
        <v>4900</v>
      </c>
      <c r="R1025">
        <v>80</v>
      </c>
      <c r="S1025">
        <v>619.20000000000005</v>
      </c>
    </row>
    <row r="1026" spans="1:19" x14ac:dyDescent="0.3">
      <c r="A1026" s="1" t="s">
        <v>1513</v>
      </c>
      <c r="B1026" s="4">
        <v>45790</v>
      </c>
      <c r="C1026" s="1" t="s">
        <v>323</v>
      </c>
      <c r="D1026" s="1" t="s">
        <v>40</v>
      </c>
      <c r="E1026" s="1" t="s">
        <v>70</v>
      </c>
      <c r="F1026" s="1" t="s">
        <v>70</v>
      </c>
      <c r="G1026" s="1" t="s">
        <v>42</v>
      </c>
      <c r="H1026" s="1" t="s">
        <v>89</v>
      </c>
      <c r="I1026" s="1" t="s">
        <v>66</v>
      </c>
      <c r="J1026" s="1" t="s">
        <v>67</v>
      </c>
      <c r="K1026" s="1" t="s">
        <v>28</v>
      </c>
      <c r="L1026">
        <v>4</v>
      </c>
      <c r="M1026">
        <v>2499</v>
      </c>
      <c r="N1026">
        <v>0.1</v>
      </c>
      <c r="O1026">
        <v>8996.4</v>
      </c>
      <c r="P1026">
        <v>1450</v>
      </c>
      <c r="Q1026">
        <v>5800</v>
      </c>
      <c r="R1026">
        <v>40</v>
      </c>
      <c r="S1026">
        <v>3156.4</v>
      </c>
    </row>
    <row r="1027" spans="1:19" x14ac:dyDescent="0.3">
      <c r="A1027" s="1" t="s">
        <v>1514</v>
      </c>
      <c r="B1027" s="4">
        <v>45790</v>
      </c>
      <c r="C1027" s="1" t="s">
        <v>300</v>
      </c>
      <c r="D1027" s="1" t="s">
        <v>21</v>
      </c>
      <c r="E1027" s="1" t="s">
        <v>112</v>
      </c>
      <c r="F1027" s="1" t="s">
        <v>113</v>
      </c>
      <c r="G1027" s="1" t="s">
        <v>42</v>
      </c>
      <c r="H1027" s="1" t="s">
        <v>34</v>
      </c>
      <c r="I1027" s="1" t="s">
        <v>92</v>
      </c>
      <c r="J1027" s="1" t="s">
        <v>93</v>
      </c>
      <c r="K1027" s="1" t="s">
        <v>28</v>
      </c>
      <c r="L1027">
        <v>3</v>
      </c>
      <c r="M1027">
        <v>1599</v>
      </c>
      <c r="N1027">
        <v>0.15</v>
      </c>
      <c r="O1027">
        <v>4077.45</v>
      </c>
      <c r="P1027">
        <v>900</v>
      </c>
      <c r="Q1027">
        <v>2700</v>
      </c>
      <c r="R1027">
        <v>80</v>
      </c>
      <c r="S1027">
        <v>1297.45</v>
      </c>
    </row>
    <row r="1028" spans="1:19" x14ac:dyDescent="0.3">
      <c r="A1028" s="1" t="s">
        <v>1515</v>
      </c>
      <c r="B1028" s="4">
        <v>45791</v>
      </c>
      <c r="C1028" s="1" t="s">
        <v>138</v>
      </c>
      <c r="D1028" s="1" t="s">
        <v>48</v>
      </c>
      <c r="E1028" s="1" t="s">
        <v>112</v>
      </c>
      <c r="F1028" s="1" t="s">
        <v>113</v>
      </c>
      <c r="G1028" s="1" t="s">
        <v>24</v>
      </c>
      <c r="H1028" s="1" t="s">
        <v>56</v>
      </c>
      <c r="I1028" s="1" t="s">
        <v>26</v>
      </c>
      <c r="J1028" s="1" t="s">
        <v>27</v>
      </c>
      <c r="K1028" s="1" t="s">
        <v>28</v>
      </c>
      <c r="L1028">
        <v>1</v>
      </c>
      <c r="M1028">
        <v>799</v>
      </c>
      <c r="N1028">
        <v>0.05</v>
      </c>
      <c r="O1028">
        <v>759.05</v>
      </c>
      <c r="P1028">
        <v>420</v>
      </c>
      <c r="Q1028">
        <v>420</v>
      </c>
      <c r="R1028">
        <v>80</v>
      </c>
      <c r="S1028">
        <v>259.05</v>
      </c>
    </row>
    <row r="1029" spans="1:19" x14ac:dyDescent="0.3">
      <c r="A1029" s="1" t="s">
        <v>1516</v>
      </c>
      <c r="B1029" s="4">
        <v>45791</v>
      </c>
      <c r="C1029" s="1" t="s">
        <v>698</v>
      </c>
      <c r="D1029" s="1" t="s">
        <v>48</v>
      </c>
      <c r="E1029" s="1" t="s">
        <v>41</v>
      </c>
      <c r="F1029" s="1" t="s">
        <v>32</v>
      </c>
      <c r="G1029" s="1" t="s">
        <v>33</v>
      </c>
      <c r="H1029" s="1" t="s">
        <v>34</v>
      </c>
      <c r="I1029" s="1" t="s">
        <v>66</v>
      </c>
      <c r="J1029" s="1" t="s">
        <v>67</v>
      </c>
      <c r="K1029" s="1" t="s">
        <v>28</v>
      </c>
      <c r="L1029">
        <v>2</v>
      </c>
      <c r="M1029">
        <v>2499</v>
      </c>
      <c r="N1029">
        <v>0.1</v>
      </c>
      <c r="O1029">
        <v>4498.2</v>
      </c>
      <c r="P1029">
        <v>1450</v>
      </c>
      <c r="Q1029">
        <v>2900</v>
      </c>
      <c r="R1029">
        <v>100</v>
      </c>
      <c r="S1029">
        <v>1498.2</v>
      </c>
    </row>
    <row r="1030" spans="1:19" x14ac:dyDescent="0.3">
      <c r="A1030" s="1" t="s">
        <v>1517</v>
      </c>
      <c r="B1030" s="4">
        <v>45792</v>
      </c>
      <c r="C1030" s="1" t="s">
        <v>1328</v>
      </c>
      <c r="D1030" s="1" t="s">
        <v>21</v>
      </c>
      <c r="E1030" s="1" t="s">
        <v>70</v>
      </c>
      <c r="F1030" s="1" t="s">
        <v>70</v>
      </c>
      <c r="G1030" s="1" t="s">
        <v>42</v>
      </c>
      <c r="H1030" s="1" t="s">
        <v>56</v>
      </c>
      <c r="I1030" s="1" t="s">
        <v>72</v>
      </c>
      <c r="J1030" s="1" t="s">
        <v>73</v>
      </c>
      <c r="K1030" s="1" t="s">
        <v>28</v>
      </c>
      <c r="L1030">
        <v>2</v>
      </c>
      <c r="M1030">
        <v>2199</v>
      </c>
      <c r="N1030">
        <v>0.1</v>
      </c>
      <c r="O1030">
        <v>3958.2</v>
      </c>
      <c r="P1030">
        <v>1250</v>
      </c>
      <c r="Q1030">
        <v>2500</v>
      </c>
      <c r="R1030">
        <v>80</v>
      </c>
      <c r="S1030">
        <v>1378.2</v>
      </c>
    </row>
    <row r="1031" spans="1:19" x14ac:dyDescent="0.3">
      <c r="A1031" s="1" t="s">
        <v>1518</v>
      </c>
      <c r="B1031" s="4">
        <v>45792</v>
      </c>
      <c r="C1031" s="1" t="s">
        <v>281</v>
      </c>
      <c r="D1031" s="1" t="s">
        <v>48</v>
      </c>
      <c r="E1031" s="1" t="s">
        <v>96</v>
      </c>
      <c r="F1031" s="1" t="s">
        <v>97</v>
      </c>
      <c r="G1031" s="1" t="s">
        <v>24</v>
      </c>
      <c r="H1031" s="1" t="s">
        <v>25</v>
      </c>
      <c r="I1031" s="1" t="s">
        <v>35</v>
      </c>
      <c r="J1031" s="1" t="s">
        <v>36</v>
      </c>
      <c r="K1031" s="1" t="s">
        <v>37</v>
      </c>
      <c r="L1031">
        <v>2</v>
      </c>
      <c r="M1031">
        <v>1299</v>
      </c>
      <c r="N1031">
        <v>0</v>
      </c>
      <c r="O1031">
        <v>2598</v>
      </c>
      <c r="P1031">
        <v>700</v>
      </c>
      <c r="Q1031">
        <v>1400</v>
      </c>
      <c r="R1031">
        <v>80</v>
      </c>
      <c r="S1031">
        <v>1118</v>
      </c>
    </row>
    <row r="1032" spans="1:19" x14ac:dyDescent="0.3">
      <c r="A1032" s="1" t="s">
        <v>1519</v>
      </c>
      <c r="B1032" s="4">
        <v>45792</v>
      </c>
      <c r="C1032" s="1" t="s">
        <v>636</v>
      </c>
      <c r="D1032" s="1" t="s">
        <v>21</v>
      </c>
      <c r="E1032" s="1" t="s">
        <v>22</v>
      </c>
      <c r="F1032" s="1" t="s">
        <v>23</v>
      </c>
      <c r="G1032" s="1" t="s">
        <v>42</v>
      </c>
      <c r="H1032" s="1" t="s">
        <v>89</v>
      </c>
      <c r="I1032" s="1" t="s">
        <v>92</v>
      </c>
      <c r="J1032" s="1" t="s">
        <v>93</v>
      </c>
      <c r="K1032" s="1" t="s">
        <v>28</v>
      </c>
      <c r="L1032">
        <v>1</v>
      </c>
      <c r="M1032">
        <v>1599</v>
      </c>
      <c r="N1032">
        <v>0</v>
      </c>
      <c r="O1032">
        <v>1599</v>
      </c>
      <c r="P1032">
        <v>900</v>
      </c>
      <c r="Q1032">
        <v>900</v>
      </c>
      <c r="R1032">
        <v>40</v>
      </c>
      <c r="S1032">
        <v>659</v>
      </c>
    </row>
    <row r="1033" spans="1:19" x14ac:dyDescent="0.3">
      <c r="A1033" s="1" t="s">
        <v>1520</v>
      </c>
      <c r="B1033" s="4">
        <v>45792</v>
      </c>
      <c r="C1033" s="1" t="s">
        <v>159</v>
      </c>
      <c r="D1033" s="1" t="s">
        <v>21</v>
      </c>
      <c r="E1033" s="1" t="s">
        <v>54</v>
      </c>
      <c r="F1033" s="1" t="s">
        <v>55</v>
      </c>
      <c r="G1033" s="1" t="s">
        <v>24</v>
      </c>
      <c r="H1033" s="1" t="s">
        <v>71</v>
      </c>
      <c r="I1033" s="1" t="s">
        <v>26</v>
      </c>
      <c r="J1033" s="1" t="s">
        <v>27</v>
      </c>
      <c r="K1033" s="1" t="s">
        <v>28</v>
      </c>
      <c r="L1033">
        <v>1</v>
      </c>
      <c r="M1033">
        <v>799</v>
      </c>
      <c r="N1033">
        <v>0.05</v>
      </c>
      <c r="O1033">
        <v>759.05</v>
      </c>
      <c r="P1033">
        <v>420</v>
      </c>
      <c r="Q1033">
        <v>420</v>
      </c>
      <c r="R1033">
        <v>0</v>
      </c>
      <c r="S1033">
        <v>339.05</v>
      </c>
    </row>
    <row r="1034" spans="1:19" x14ac:dyDescent="0.3">
      <c r="A1034" s="1" t="s">
        <v>1521</v>
      </c>
      <c r="B1034" s="4">
        <v>45793</v>
      </c>
      <c r="C1034" s="1" t="s">
        <v>306</v>
      </c>
      <c r="D1034" s="1" t="s">
        <v>40</v>
      </c>
      <c r="E1034" s="1" t="s">
        <v>112</v>
      </c>
      <c r="F1034" s="1" t="s">
        <v>113</v>
      </c>
      <c r="G1034" s="1" t="s">
        <v>24</v>
      </c>
      <c r="H1034" s="1" t="s">
        <v>25</v>
      </c>
      <c r="I1034" s="1" t="s">
        <v>92</v>
      </c>
      <c r="J1034" s="1" t="s">
        <v>93</v>
      </c>
      <c r="K1034" s="1" t="s">
        <v>28</v>
      </c>
      <c r="L1034">
        <v>2</v>
      </c>
      <c r="M1034">
        <v>1599</v>
      </c>
      <c r="N1034">
        <v>0.05</v>
      </c>
      <c r="O1034">
        <v>3038.1</v>
      </c>
      <c r="P1034">
        <v>900</v>
      </c>
      <c r="Q1034">
        <v>1800</v>
      </c>
      <c r="R1034">
        <v>80</v>
      </c>
      <c r="S1034">
        <v>1158.0999999999999</v>
      </c>
    </row>
    <row r="1035" spans="1:19" x14ac:dyDescent="0.3">
      <c r="A1035" s="1" t="s">
        <v>1522</v>
      </c>
      <c r="B1035" s="4">
        <v>45794</v>
      </c>
      <c r="C1035" s="1" t="s">
        <v>686</v>
      </c>
      <c r="D1035" s="1" t="s">
        <v>48</v>
      </c>
      <c r="E1035" s="1" t="s">
        <v>80</v>
      </c>
      <c r="F1035" s="1" t="s">
        <v>55</v>
      </c>
      <c r="G1035" s="1" t="s">
        <v>24</v>
      </c>
      <c r="H1035" s="1" t="s">
        <v>89</v>
      </c>
      <c r="I1035" s="1" t="s">
        <v>92</v>
      </c>
      <c r="J1035" s="1" t="s">
        <v>93</v>
      </c>
      <c r="K1035" s="1" t="s">
        <v>28</v>
      </c>
      <c r="L1035">
        <v>1</v>
      </c>
      <c r="M1035">
        <v>1599</v>
      </c>
      <c r="N1035">
        <v>0</v>
      </c>
      <c r="O1035">
        <v>1599</v>
      </c>
      <c r="P1035">
        <v>900</v>
      </c>
      <c r="Q1035">
        <v>900</v>
      </c>
      <c r="R1035">
        <v>80</v>
      </c>
      <c r="S1035">
        <v>619</v>
      </c>
    </row>
    <row r="1036" spans="1:19" x14ac:dyDescent="0.3">
      <c r="A1036" s="1" t="s">
        <v>1523</v>
      </c>
      <c r="B1036" s="4">
        <v>45794</v>
      </c>
      <c r="C1036" s="1" t="s">
        <v>824</v>
      </c>
      <c r="D1036" s="1" t="s">
        <v>21</v>
      </c>
      <c r="E1036" s="1" t="s">
        <v>41</v>
      </c>
      <c r="F1036" s="1" t="s">
        <v>32</v>
      </c>
      <c r="G1036" s="1" t="s">
        <v>33</v>
      </c>
      <c r="H1036" s="1" t="s">
        <v>34</v>
      </c>
      <c r="I1036" s="1" t="s">
        <v>72</v>
      </c>
      <c r="J1036" s="1" t="s">
        <v>73</v>
      </c>
      <c r="K1036" s="1" t="s">
        <v>28</v>
      </c>
      <c r="L1036">
        <v>1</v>
      </c>
      <c r="M1036">
        <v>2199</v>
      </c>
      <c r="N1036">
        <v>0.15</v>
      </c>
      <c r="O1036">
        <v>1869.15</v>
      </c>
      <c r="P1036">
        <v>1250</v>
      </c>
      <c r="Q1036">
        <v>1250</v>
      </c>
      <c r="R1036">
        <v>60</v>
      </c>
      <c r="S1036">
        <v>559.15</v>
      </c>
    </row>
    <row r="1037" spans="1:19" x14ac:dyDescent="0.3">
      <c r="A1037" s="1" t="s">
        <v>1524</v>
      </c>
      <c r="B1037" s="4">
        <v>45794</v>
      </c>
      <c r="C1037" s="1" t="s">
        <v>1036</v>
      </c>
      <c r="D1037" s="1" t="s">
        <v>48</v>
      </c>
      <c r="E1037" s="1" t="s">
        <v>70</v>
      </c>
      <c r="F1037" s="1" t="s">
        <v>70</v>
      </c>
      <c r="G1037" s="1" t="s">
        <v>24</v>
      </c>
      <c r="H1037" s="1" t="s">
        <v>34</v>
      </c>
      <c r="I1037" s="1" t="s">
        <v>51</v>
      </c>
      <c r="J1037" s="1" t="s">
        <v>52</v>
      </c>
      <c r="K1037" s="1" t="s">
        <v>37</v>
      </c>
      <c r="L1037">
        <v>1</v>
      </c>
      <c r="M1037">
        <v>499</v>
      </c>
      <c r="N1037">
        <v>0.1</v>
      </c>
      <c r="O1037">
        <v>449.1</v>
      </c>
      <c r="P1037">
        <v>180</v>
      </c>
      <c r="Q1037">
        <v>180</v>
      </c>
      <c r="R1037">
        <v>80</v>
      </c>
      <c r="S1037">
        <v>189.1</v>
      </c>
    </row>
    <row r="1038" spans="1:19" x14ac:dyDescent="0.3">
      <c r="A1038" s="1" t="s">
        <v>1525</v>
      </c>
      <c r="B1038" s="4">
        <v>45795</v>
      </c>
      <c r="C1038" s="1" t="s">
        <v>294</v>
      </c>
      <c r="D1038" s="1" t="s">
        <v>40</v>
      </c>
      <c r="E1038" s="1" t="s">
        <v>22</v>
      </c>
      <c r="F1038" s="1" t="s">
        <v>23</v>
      </c>
      <c r="G1038" s="1" t="s">
        <v>24</v>
      </c>
      <c r="H1038" s="1" t="s">
        <v>71</v>
      </c>
      <c r="I1038" s="1" t="s">
        <v>72</v>
      </c>
      <c r="J1038" s="1" t="s">
        <v>73</v>
      </c>
      <c r="K1038" s="1" t="s">
        <v>28</v>
      </c>
      <c r="L1038">
        <v>2</v>
      </c>
      <c r="M1038">
        <v>2199</v>
      </c>
      <c r="N1038">
        <v>0</v>
      </c>
      <c r="O1038">
        <v>4398</v>
      </c>
      <c r="P1038">
        <v>1250</v>
      </c>
      <c r="Q1038">
        <v>2500</v>
      </c>
      <c r="R1038">
        <v>0</v>
      </c>
      <c r="S1038">
        <v>1898</v>
      </c>
    </row>
    <row r="1039" spans="1:19" x14ac:dyDescent="0.3">
      <c r="A1039" s="1" t="s">
        <v>1526</v>
      </c>
      <c r="B1039" s="4">
        <v>45795</v>
      </c>
      <c r="C1039" s="1" t="s">
        <v>1462</v>
      </c>
      <c r="D1039" s="1" t="s">
        <v>21</v>
      </c>
      <c r="E1039" s="1" t="s">
        <v>22</v>
      </c>
      <c r="F1039" s="1" t="s">
        <v>23</v>
      </c>
      <c r="G1039" s="1" t="s">
        <v>33</v>
      </c>
      <c r="H1039" s="1" t="s">
        <v>71</v>
      </c>
      <c r="I1039" s="1" t="s">
        <v>72</v>
      </c>
      <c r="J1039" s="1" t="s">
        <v>73</v>
      </c>
      <c r="K1039" s="1" t="s">
        <v>28</v>
      </c>
      <c r="L1039">
        <v>2</v>
      </c>
      <c r="M1039">
        <v>2199</v>
      </c>
      <c r="N1039">
        <v>0</v>
      </c>
      <c r="O1039">
        <v>4398</v>
      </c>
      <c r="P1039">
        <v>1250</v>
      </c>
      <c r="Q1039">
        <v>2500</v>
      </c>
      <c r="R1039">
        <v>40</v>
      </c>
      <c r="S1039">
        <v>1858</v>
      </c>
    </row>
    <row r="1040" spans="1:19" x14ac:dyDescent="0.3">
      <c r="A1040" s="1" t="s">
        <v>1527</v>
      </c>
      <c r="B1040" s="4">
        <v>45795</v>
      </c>
      <c r="C1040" s="1" t="s">
        <v>210</v>
      </c>
      <c r="D1040" s="1" t="s">
        <v>40</v>
      </c>
      <c r="E1040" s="1" t="s">
        <v>22</v>
      </c>
      <c r="F1040" s="1" t="s">
        <v>23</v>
      </c>
      <c r="G1040" s="1" t="s">
        <v>24</v>
      </c>
      <c r="H1040" s="1" t="s">
        <v>71</v>
      </c>
      <c r="I1040" s="1" t="s">
        <v>92</v>
      </c>
      <c r="J1040" s="1" t="s">
        <v>93</v>
      </c>
      <c r="K1040" s="1" t="s">
        <v>28</v>
      </c>
      <c r="L1040">
        <v>5</v>
      </c>
      <c r="M1040">
        <v>1599</v>
      </c>
      <c r="N1040">
        <v>0</v>
      </c>
      <c r="O1040">
        <v>7995</v>
      </c>
      <c r="P1040">
        <v>900</v>
      </c>
      <c r="Q1040">
        <v>4500</v>
      </c>
      <c r="R1040">
        <v>0</v>
      </c>
      <c r="S1040">
        <v>3495</v>
      </c>
    </row>
    <row r="1041" spans="1:19" x14ac:dyDescent="0.3">
      <c r="A1041" s="1" t="s">
        <v>1528</v>
      </c>
      <c r="B1041" s="4">
        <v>45795</v>
      </c>
      <c r="C1041" s="1" t="s">
        <v>1529</v>
      </c>
      <c r="D1041" s="1" t="s">
        <v>21</v>
      </c>
      <c r="E1041" s="1" t="s">
        <v>112</v>
      </c>
      <c r="F1041" s="1" t="s">
        <v>113</v>
      </c>
      <c r="G1041" s="1" t="s">
        <v>42</v>
      </c>
      <c r="H1041" s="1" t="s">
        <v>56</v>
      </c>
      <c r="I1041" s="1" t="s">
        <v>51</v>
      </c>
      <c r="J1041" s="1" t="s">
        <v>52</v>
      </c>
      <c r="K1041" s="1" t="s">
        <v>37</v>
      </c>
      <c r="L1041">
        <v>1</v>
      </c>
      <c r="M1041">
        <v>499</v>
      </c>
      <c r="N1041">
        <v>0.15</v>
      </c>
      <c r="O1041">
        <v>424.15</v>
      </c>
      <c r="P1041">
        <v>180</v>
      </c>
      <c r="Q1041">
        <v>180</v>
      </c>
      <c r="R1041">
        <v>40</v>
      </c>
      <c r="S1041">
        <v>204.15</v>
      </c>
    </row>
    <row r="1042" spans="1:19" x14ac:dyDescent="0.3">
      <c r="A1042" s="1" t="s">
        <v>1530</v>
      </c>
      <c r="B1042" s="4">
        <v>45797</v>
      </c>
      <c r="C1042" s="1" t="s">
        <v>1189</v>
      </c>
      <c r="D1042" s="1" t="s">
        <v>48</v>
      </c>
      <c r="E1042" s="1" t="s">
        <v>41</v>
      </c>
      <c r="F1042" s="1" t="s">
        <v>32</v>
      </c>
      <c r="G1042" s="1" t="s">
        <v>33</v>
      </c>
      <c r="H1042" s="1" t="s">
        <v>89</v>
      </c>
      <c r="I1042" s="1" t="s">
        <v>66</v>
      </c>
      <c r="J1042" s="1" t="s">
        <v>67</v>
      </c>
      <c r="K1042" s="1" t="s">
        <v>28</v>
      </c>
      <c r="L1042">
        <v>3</v>
      </c>
      <c r="M1042">
        <v>2499</v>
      </c>
      <c r="N1042">
        <v>0</v>
      </c>
      <c r="O1042">
        <v>7497</v>
      </c>
      <c r="P1042">
        <v>1450</v>
      </c>
      <c r="Q1042">
        <v>4350</v>
      </c>
      <c r="R1042">
        <v>40</v>
      </c>
      <c r="S1042">
        <v>3107</v>
      </c>
    </row>
    <row r="1043" spans="1:19" x14ac:dyDescent="0.3">
      <c r="A1043" s="1" t="s">
        <v>1531</v>
      </c>
      <c r="B1043" s="4">
        <v>45797</v>
      </c>
      <c r="C1043" s="1" t="s">
        <v>222</v>
      </c>
      <c r="D1043" s="1" t="s">
        <v>48</v>
      </c>
      <c r="E1043" s="1" t="s">
        <v>96</v>
      </c>
      <c r="F1043" s="1" t="s">
        <v>97</v>
      </c>
      <c r="G1043" s="1" t="s">
        <v>33</v>
      </c>
      <c r="H1043" s="1" t="s">
        <v>25</v>
      </c>
      <c r="I1043" s="1" t="s">
        <v>43</v>
      </c>
      <c r="J1043" s="1" t="s">
        <v>44</v>
      </c>
      <c r="K1043" s="1" t="s">
        <v>45</v>
      </c>
      <c r="L1043">
        <v>1</v>
      </c>
      <c r="M1043">
        <v>1799</v>
      </c>
      <c r="N1043">
        <v>0</v>
      </c>
      <c r="O1043">
        <v>1799</v>
      </c>
      <c r="P1043">
        <v>850</v>
      </c>
      <c r="Q1043">
        <v>850</v>
      </c>
      <c r="R1043">
        <v>80</v>
      </c>
      <c r="S1043">
        <v>869</v>
      </c>
    </row>
    <row r="1044" spans="1:19" x14ac:dyDescent="0.3">
      <c r="A1044" s="1" t="s">
        <v>1532</v>
      </c>
      <c r="B1044" s="4">
        <v>45797</v>
      </c>
      <c r="C1044" s="1" t="s">
        <v>1006</v>
      </c>
      <c r="D1044" s="1" t="s">
        <v>21</v>
      </c>
      <c r="E1044" s="1" t="s">
        <v>31</v>
      </c>
      <c r="F1044" s="1" t="s">
        <v>32</v>
      </c>
      <c r="G1044" s="1" t="s">
        <v>33</v>
      </c>
      <c r="H1044" s="1" t="s">
        <v>71</v>
      </c>
      <c r="I1044" s="1" t="s">
        <v>81</v>
      </c>
      <c r="J1044" s="1" t="s">
        <v>82</v>
      </c>
      <c r="K1044" s="1" t="s">
        <v>61</v>
      </c>
      <c r="L1044">
        <v>1</v>
      </c>
      <c r="M1044">
        <v>2999</v>
      </c>
      <c r="N1044">
        <v>0.15</v>
      </c>
      <c r="O1044">
        <v>2549.15</v>
      </c>
      <c r="P1044">
        <v>1750</v>
      </c>
      <c r="Q1044">
        <v>1750</v>
      </c>
      <c r="R1044">
        <v>100</v>
      </c>
      <c r="S1044">
        <v>699.15</v>
      </c>
    </row>
    <row r="1045" spans="1:19" x14ac:dyDescent="0.3">
      <c r="A1045" s="1" t="s">
        <v>1533</v>
      </c>
      <c r="B1045" s="4">
        <v>45797</v>
      </c>
      <c r="C1045" s="1" t="s">
        <v>957</v>
      </c>
      <c r="D1045" s="1" t="s">
        <v>40</v>
      </c>
      <c r="E1045" s="1" t="s">
        <v>96</v>
      </c>
      <c r="F1045" s="1" t="s">
        <v>97</v>
      </c>
      <c r="G1045" s="1" t="s">
        <v>33</v>
      </c>
      <c r="H1045" s="1" t="s">
        <v>25</v>
      </c>
      <c r="I1045" s="1" t="s">
        <v>35</v>
      </c>
      <c r="J1045" s="1" t="s">
        <v>36</v>
      </c>
      <c r="K1045" s="1" t="s">
        <v>37</v>
      </c>
      <c r="L1045">
        <v>1</v>
      </c>
      <c r="M1045">
        <v>1299</v>
      </c>
      <c r="N1045">
        <v>0</v>
      </c>
      <c r="O1045">
        <v>1299</v>
      </c>
      <c r="P1045">
        <v>700</v>
      </c>
      <c r="Q1045">
        <v>700</v>
      </c>
      <c r="R1045">
        <v>60</v>
      </c>
      <c r="S1045">
        <v>539</v>
      </c>
    </row>
    <row r="1046" spans="1:19" x14ac:dyDescent="0.3">
      <c r="A1046" s="1" t="s">
        <v>1534</v>
      </c>
      <c r="B1046" s="4">
        <v>45798</v>
      </c>
      <c r="C1046" s="1" t="s">
        <v>1535</v>
      </c>
      <c r="D1046" s="1" t="s">
        <v>40</v>
      </c>
      <c r="E1046" s="1" t="s">
        <v>22</v>
      </c>
      <c r="F1046" s="1" t="s">
        <v>23</v>
      </c>
      <c r="G1046" s="1" t="s">
        <v>42</v>
      </c>
      <c r="H1046" s="1" t="s">
        <v>34</v>
      </c>
      <c r="I1046" s="1" t="s">
        <v>134</v>
      </c>
      <c r="J1046" s="1" t="s">
        <v>135</v>
      </c>
      <c r="K1046" s="1" t="s">
        <v>136</v>
      </c>
      <c r="L1046">
        <v>4</v>
      </c>
      <c r="M1046">
        <v>299</v>
      </c>
      <c r="N1046">
        <v>0.2</v>
      </c>
      <c r="O1046">
        <v>956.8</v>
      </c>
      <c r="P1046">
        <v>110</v>
      </c>
      <c r="Q1046">
        <v>440</v>
      </c>
      <c r="R1046">
        <v>80</v>
      </c>
      <c r="S1046">
        <v>436.8</v>
      </c>
    </row>
    <row r="1047" spans="1:19" x14ac:dyDescent="0.3">
      <c r="A1047" s="1" t="s">
        <v>1536</v>
      </c>
      <c r="B1047" s="4">
        <v>45799</v>
      </c>
      <c r="C1047" s="1" t="s">
        <v>1477</v>
      </c>
      <c r="D1047" s="1" t="s">
        <v>21</v>
      </c>
      <c r="E1047" s="1" t="s">
        <v>49</v>
      </c>
      <c r="F1047" s="1" t="s">
        <v>50</v>
      </c>
      <c r="G1047" s="1" t="s">
        <v>42</v>
      </c>
      <c r="H1047" s="1" t="s">
        <v>89</v>
      </c>
      <c r="I1047" s="1" t="s">
        <v>92</v>
      </c>
      <c r="J1047" s="1" t="s">
        <v>93</v>
      </c>
      <c r="K1047" s="1" t="s">
        <v>28</v>
      </c>
      <c r="L1047">
        <v>1</v>
      </c>
      <c r="M1047">
        <v>1599</v>
      </c>
      <c r="N1047">
        <v>0.1</v>
      </c>
      <c r="O1047">
        <v>1439.1</v>
      </c>
      <c r="P1047">
        <v>900</v>
      </c>
      <c r="Q1047">
        <v>900</v>
      </c>
      <c r="R1047">
        <v>60</v>
      </c>
      <c r="S1047">
        <v>479.1</v>
      </c>
    </row>
    <row r="1048" spans="1:19" x14ac:dyDescent="0.3">
      <c r="A1048" s="1" t="s">
        <v>1537</v>
      </c>
      <c r="B1048" s="4">
        <v>45799</v>
      </c>
      <c r="C1048" s="1" t="s">
        <v>251</v>
      </c>
      <c r="D1048" s="1" t="s">
        <v>48</v>
      </c>
      <c r="E1048" s="1" t="s">
        <v>54</v>
      </c>
      <c r="F1048" s="1" t="s">
        <v>55</v>
      </c>
      <c r="G1048" s="1" t="s">
        <v>24</v>
      </c>
      <c r="H1048" s="1" t="s">
        <v>25</v>
      </c>
      <c r="I1048" s="1" t="s">
        <v>92</v>
      </c>
      <c r="J1048" s="1" t="s">
        <v>93</v>
      </c>
      <c r="K1048" s="1" t="s">
        <v>28</v>
      </c>
      <c r="L1048">
        <v>4</v>
      </c>
      <c r="M1048">
        <v>1599</v>
      </c>
      <c r="N1048">
        <v>0.05</v>
      </c>
      <c r="O1048">
        <v>6076.2</v>
      </c>
      <c r="P1048">
        <v>900</v>
      </c>
      <c r="Q1048">
        <v>3600</v>
      </c>
      <c r="R1048">
        <v>0</v>
      </c>
      <c r="S1048">
        <v>2476.1999999999998</v>
      </c>
    </row>
    <row r="1049" spans="1:19" x14ac:dyDescent="0.3">
      <c r="A1049" s="1" t="s">
        <v>1538</v>
      </c>
      <c r="B1049" s="4">
        <v>45799</v>
      </c>
      <c r="C1049" s="1" t="s">
        <v>302</v>
      </c>
      <c r="D1049" s="1" t="s">
        <v>40</v>
      </c>
      <c r="E1049" s="1" t="s">
        <v>22</v>
      </c>
      <c r="F1049" s="1" t="s">
        <v>23</v>
      </c>
      <c r="G1049" s="1" t="s">
        <v>24</v>
      </c>
      <c r="H1049" s="1" t="s">
        <v>71</v>
      </c>
      <c r="I1049" s="1" t="s">
        <v>59</v>
      </c>
      <c r="J1049" s="1" t="s">
        <v>60</v>
      </c>
      <c r="K1049" s="1" t="s">
        <v>61</v>
      </c>
      <c r="L1049">
        <v>2</v>
      </c>
      <c r="M1049">
        <v>999</v>
      </c>
      <c r="N1049">
        <v>0.1</v>
      </c>
      <c r="O1049">
        <v>1798.2</v>
      </c>
      <c r="P1049">
        <v>520</v>
      </c>
      <c r="Q1049">
        <v>1040</v>
      </c>
      <c r="R1049">
        <v>40</v>
      </c>
      <c r="S1049">
        <v>718.2</v>
      </c>
    </row>
    <row r="1050" spans="1:19" x14ac:dyDescent="0.3">
      <c r="A1050" s="1" t="s">
        <v>1539</v>
      </c>
      <c r="B1050" s="4">
        <v>45799</v>
      </c>
      <c r="C1050" s="1" t="s">
        <v>514</v>
      </c>
      <c r="D1050" s="1" t="s">
        <v>21</v>
      </c>
      <c r="E1050" s="1" t="s">
        <v>22</v>
      </c>
      <c r="F1050" s="1" t="s">
        <v>23</v>
      </c>
      <c r="G1050" s="1" t="s">
        <v>24</v>
      </c>
      <c r="H1050" s="1" t="s">
        <v>25</v>
      </c>
      <c r="I1050" s="1" t="s">
        <v>92</v>
      </c>
      <c r="J1050" s="1" t="s">
        <v>93</v>
      </c>
      <c r="K1050" s="1" t="s">
        <v>28</v>
      </c>
      <c r="L1050">
        <v>1</v>
      </c>
      <c r="M1050">
        <v>1599</v>
      </c>
      <c r="N1050">
        <v>0.2</v>
      </c>
      <c r="O1050">
        <v>1279.2</v>
      </c>
      <c r="P1050">
        <v>900</v>
      </c>
      <c r="Q1050">
        <v>900</v>
      </c>
      <c r="R1050">
        <v>40</v>
      </c>
      <c r="S1050">
        <v>339.2</v>
      </c>
    </row>
    <row r="1051" spans="1:19" x14ac:dyDescent="0.3">
      <c r="A1051" s="1" t="s">
        <v>1540</v>
      </c>
      <c r="B1051" s="4">
        <v>45799</v>
      </c>
      <c r="C1051" s="1" t="s">
        <v>1044</v>
      </c>
      <c r="D1051" s="1" t="s">
        <v>48</v>
      </c>
      <c r="E1051" s="1" t="s">
        <v>41</v>
      </c>
      <c r="F1051" s="1" t="s">
        <v>32</v>
      </c>
      <c r="G1051" s="1" t="s">
        <v>24</v>
      </c>
      <c r="H1051" s="1" t="s">
        <v>71</v>
      </c>
      <c r="I1051" s="1" t="s">
        <v>51</v>
      </c>
      <c r="J1051" s="1" t="s">
        <v>52</v>
      </c>
      <c r="K1051" s="1" t="s">
        <v>37</v>
      </c>
      <c r="L1051">
        <v>1</v>
      </c>
      <c r="M1051">
        <v>499</v>
      </c>
      <c r="N1051">
        <v>0</v>
      </c>
      <c r="O1051">
        <v>499</v>
      </c>
      <c r="P1051">
        <v>180</v>
      </c>
      <c r="Q1051">
        <v>180</v>
      </c>
      <c r="R1051">
        <v>60</v>
      </c>
      <c r="S1051">
        <v>259</v>
      </c>
    </row>
    <row r="1052" spans="1:19" x14ac:dyDescent="0.3">
      <c r="A1052" s="1" t="s">
        <v>1541</v>
      </c>
      <c r="B1052" s="4">
        <v>45799</v>
      </c>
      <c r="C1052" s="1" t="s">
        <v>323</v>
      </c>
      <c r="D1052" s="1" t="s">
        <v>21</v>
      </c>
      <c r="E1052" s="1" t="s">
        <v>22</v>
      </c>
      <c r="F1052" s="1" t="s">
        <v>23</v>
      </c>
      <c r="G1052" s="1" t="s">
        <v>33</v>
      </c>
      <c r="H1052" s="1" t="s">
        <v>34</v>
      </c>
      <c r="I1052" s="1" t="s">
        <v>72</v>
      </c>
      <c r="J1052" s="1" t="s">
        <v>73</v>
      </c>
      <c r="K1052" s="1" t="s">
        <v>28</v>
      </c>
      <c r="L1052">
        <v>2</v>
      </c>
      <c r="M1052">
        <v>2199</v>
      </c>
      <c r="N1052">
        <v>0.2</v>
      </c>
      <c r="O1052">
        <v>3518.4</v>
      </c>
      <c r="P1052">
        <v>1250</v>
      </c>
      <c r="Q1052">
        <v>2500</v>
      </c>
      <c r="R1052">
        <v>100</v>
      </c>
      <c r="S1052">
        <v>918.4</v>
      </c>
    </row>
    <row r="1053" spans="1:19" x14ac:dyDescent="0.3">
      <c r="A1053" s="1" t="s">
        <v>1542</v>
      </c>
      <c r="B1053" s="4">
        <v>45800</v>
      </c>
      <c r="C1053" s="1" t="s">
        <v>532</v>
      </c>
      <c r="D1053" s="1" t="s">
        <v>21</v>
      </c>
      <c r="E1053" s="1" t="s">
        <v>80</v>
      </c>
      <c r="F1053" s="1" t="s">
        <v>55</v>
      </c>
      <c r="G1053" s="1" t="s">
        <v>42</v>
      </c>
      <c r="H1053" s="1" t="s">
        <v>34</v>
      </c>
      <c r="I1053" s="1" t="s">
        <v>72</v>
      </c>
      <c r="J1053" s="1" t="s">
        <v>73</v>
      </c>
      <c r="K1053" s="1" t="s">
        <v>28</v>
      </c>
      <c r="L1053">
        <v>2</v>
      </c>
      <c r="M1053">
        <v>2199</v>
      </c>
      <c r="N1053">
        <v>0.15</v>
      </c>
      <c r="O1053">
        <v>3738.3</v>
      </c>
      <c r="P1053">
        <v>1250</v>
      </c>
      <c r="Q1053">
        <v>2500</v>
      </c>
      <c r="R1053">
        <v>60</v>
      </c>
      <c r="S1053">
        <v>1178.3</v>
      </c>
    </row>
    <row r="1054" spans="1:19" x14ac:dyDescent="0.3">
      <c r="A1054" s="1" t="s">
        <v>1543</v>
      </c>
      <c r="B1054" s="4">
        <v>45800</v>
      </c>
      <c r="C1054" s="1" t="s">
        <v>402</v>
      </c>
      <c r="D1054" s="1" t="s">
        <v>21</v>
      </c>
      <c r="E1054" s="1" t="s">
        <v>120</v>
      </c>
      <c r="F1054" s="1" t="s">
        <v>121</v>
      </c>
      <c r="G1054" s="1" t="s">
        <v>24</v>
      </c>
      <c r="H1054" s="1" t="s">
        <v>89</v>
      </c>
      <c r="I1054" s="1" t="s">
        <v>51</v>
      </c>
      <c r="J1054" s="1" t="s">
        <v>52</v>
      </c>
      <c r="K1054" s="1" t="s">
        <v>37</v>
      </c>
      <c r="L1054">
        <v>3</v>
      </c>
      <c r="M1054">
        <v>499</v>
      </c>
      <c r="N1054">
        <v>0.15</v>
      </c>
      <c r="O1054">
        <v>1272.45</v>
      </c>
      <c r="P1054">
        <v>180</v>
      </c>
      <c r="Q1054">
        <v>540</v>
      </c>
      <c r="R1054">
        <v>80</v>
      </c>
      <c r="S1054">
        <v>652.45000000000005</v>
      </c>
    </row>
    <row r="1055" spans="1:19" x14ac:dyDescent="0.3">
      <c r="A1055" s="1" t="s">
        <v>1544</v>
      </c>
      <c r="B1055" s="4">
        <v>45800</v>
      </c>
      <c r="C1055" s="1" t="s">
        <v>138</v>
      </c>
      <c r="D1055" s="1" t="s">
        <v>48</v>
      </c>
      <c r="E1055" s="1" t="s">
        <v>120</v>
      </c>
      <c r="F1055" s="1" t="s">
        <v>121</v>
      </c>
      <c r="G1055" s="1" t="s">
        <v>24</v>
      </c>
      <c r="H1055" s="1" t="s">
        <v>56</v>
      </c>
      <c r="I1055" s="1" t="s">
        <v>35</v>
      </c>
      <c r="J1055" s="1" t="s">
        <v>36</v>
      </c>
      <c r="K1055" s="1" t="s">
        <v>37</v>
      </c>
      <c r="L1055">
        <v>1</v>
      </c>
      <c r="M1055">
        <v>1299</v>
      </c>
      <c r="N1055">
        <v>0.2</v>
      </c>
      <c r="O1055">
        <v>1039.2</v>
      </c>
      <c r="P1055">
        <v>700</v>
      </c>
      <c r="Q1055">
        <v>700</v>
      </c>
      <c r="R1055">
        <v>0</v>
      </c>
      <c r="S1055">
        <v>339.2</v>
      </c>
    </row>
    <row r="1056" spans="1:19" x14ac:dyDescent="0.3">
      <c r="A1056" s="1" t="s">
        <v>1545</v>
      </c>
      <c r="B1056" s="4">
        <v>45801</v>
      </c>
      <c r="C1056" s="1" t="s">
        <v>570</v>
      </c>
      <c r="D1056" s="1" t="s">
        <v>40</v>
      </c>
      <c r="E1056" s="1" t="s">
        <v>64</v>
      </c>
      <c r="F1056" s="1" t="s">
        <v>65</v>
      </c>
      <c r="G1056" s="1" t="s">
        <v>24</v>
      </c>
      <c r="H1056" s="1" t="s">
        <v>34</v>
      </c>
      <c r="I1056" s="1" t="s">
        <v>43</v>
      </c>
      <c r="J1056" s="1" t="s">
        <v>44</v>
      </c>
      <c r="K1056" s="1" t="s">
        <v>45</v>
      </c>
      <c r="L1056">
        <v>2</v>
      </c>
      <c r="M1056">
        <v>1799</v>
      </c>
      <c r="N1056">
        <v>0</v>
      </c>
      <c r="O1056">
        <v>3598</v>
      </c>
      <c r="P1056">
        <v>850</v>
      </c>
      <c r="Q1056">
        <v>1700</v>
      </c>
      <c r="R1056">
        <v>100</v>
      </c>
      <c r="S1056">
        <v>1798</v>
      </c>
    </row>
    <row r="1057" spans="1:19" x14ac:dyDescent="0.3">
      <c r="A1057" s="1" t="s">
        <v>1546</v>
      </c>
      <c r="B1057" s="4">
        <v>45801</v>
      </c>
      <c r="C1057" s="1" t="s">
        <v>1529</v>
      </c>
      <c r="D1057" s="1" t="s">
        <v>21</v>
      </c>
      <c r="E1057" s="1" t="s">
        <v>96</v>
      </c>
      <c r="F1057" s="1" t="s">
        <v>97</v>
      </c>
      <c r="G1057" s="1" t="s">
        <v>42</v>
      </c>
      <c r="H1057" s="1" t="s">
        <v>89</v>
      </c>
      <c r="I1057" s="1" t="s">
        <v>85</v>
      </c>
      <c r="J1057" s="1" t="s">
        <v>86</v>
      </c>
      <c r="K1057" s="1" t="s">
        <v>45</v>
      </c>
      <c r="L1057">
        <v>2</v>
      </c>
      <c r="M1057">
        <v>599</v>
      </c>
      <c r="N1057">
        <v>0.2</v>
      </c>
      <c r="O1057">
        <v>958.4</v>
      </c>
      <c r="P1057">
        <v>240</v>
      </c>
      <c r="Q1057">
        <v>480</v>
      </c>
      <c r="R1057">
        <v>100</v>
      </c>
      <c r="S1057">
        <v>378.4</v>
      </c>
    </row>
    <row r="1058" spans="1:19" x14ac:dyDescent="0.3">
      <c r="A1058" s="1" t="s">
        <v>1547</v>
      </c>
      <c r="B1058" s="4">
        <v>45802</v>
      </c>
      <c r="C1058" s="1" t="s">
        <v>1036</v>
      </c>
      <c r="D1058" s="1" t="s">
        <v>48</v>
      </c>
      <c r="E1058" s="1" t="s">
        <v>22</v>
      </c>
      <c r="F1058" s="1" t="s">
        <v>23</v>
      </c>
      <c r="G1058" s="1" t="s">
        <v>42</v>
      </c>
      <c r="H1058" s="1" t="s">
        <v>34</v>
      </c>
      <c r="I1058" s="1" t="s">
        <v>76</v>
      </c>
      <c r="J1058" s="1" t="s">
        <v>77</v>
      </c>
      <c r="K1058" s="1" t="s">
        <v>37</v>
      </c>
      <c r="L1058">
        <v>1</v>
      </c>
      <c r="M1058">
        <v>6999</v>
      </c>
      <c r="N1058">
        <v>0.05</v>
      </c>
      <c r="O1058">
        <v>6649.05</v>
      </c>
      <c r="P1058">
        <v>4900</v>
      </c>
      <c r="Q1058">
        <v>4900</v>
      </c>
      <c r="R1058">
        <v>0</v>
      </c>
      <c r="S1058">
        <v>1749.05</v>
      </c>
    </row>
    <row r="1059" spans="1:19" x14ac:dyDescent="0.3">
      <c r="A1059" s="1" t="s">
        <v>1548</v>
      </c>
      <c r="B1059" s="4">
        <v>45803</v>
      </c>
      <c r="C1059" s="1" t="s">
        <v>63</v>
      </c>
      <c r="D1059" s="1" t="s">
        <v>48</v>
      </c>
      <c r="E1059" s="1" t="s">
        <v>54</v>
      </c>
      <c r="F1059" s="1" t="s">
        <v>55</v>
      </c>
      <c r="G1059" s="1" t="s">
        <v>24</v>
      </c>
      <c r="H1059" s="1" t="s">
        <v>71</v>
      </c>
      <c r="I1059" s="1" t="s">
        <v>92</v>
      </c>
      <c r="J1059" s="1" t="s">
        <v>93</v>
      </c>
      <c r="K1059" s="1" t="s">
        <v>28</v>
      </c>
      <c r="L1059">
        <v>4</v>
      </c>
      <c r="M1059">
        <v>1599</v>
      </c>
      <c r="N1059">
        <v>0.05</v>
      </c>
      <c r="O1059">
        <v>6076.2</v>
      </c>
      <c r="P1059">
        <v>900</v>
      </c>
      <c r="Q1059">
        <v>3600</v>
      </c>
      <c r="R1059">
        <v>40</v>
      </c>
      <c r="S1059">
        <v>2436.1999999999998</v>
      </c>
    </row>
    <row r="1060" spans="1:19" x14ac:dyDescent="0.3">
      <c r="A1060" s="1" t="s">
        <v>1549</v>
      </c>
      <c r="B1060" s="4">
        <v>45804</v>
      </c>
      <c r="C1060" s="1" t="s">
        <v>327</v>
      </c>
      <c r="D1060" s="1" t="s">
        <v>48</v>
      </c>
      <c r="E1060" s="1" t="s">
        <v>112</v>
      </c>
      <c r="F1060" s="1" t="s">
        <v>113</v>
      </c>
      <c r="G1060" s="1" t="s">
        <v>42</v>
      </c>
      <c r="H1060" s="1" t="s">
        <v>34</v>
      </c>
      <c r="I1060" s="1" t="s">
        <v>85</v>
      </c>
      <c r="J1060" s="1" t="s">
        <v>86</v>
      </c>
      <c r="K1060" s="1" t="s">
        <v>45</v>
      </c>
      <c r="L1060">
        <v>3</v>
      </c>
      <c r="M1060">
        <v>599</v>
      </c>
      <c r="N1060">
        <v>0.05</v>
      </c>
      <c r="O1060">
        <v>1707.15</v>
      </c>
      <c r="P1060">
        <v>240</v>
      </c>
      <c r="Q1060">
        <v>720</v>
      </c>
      <c r="R1060">
        <v>0</v>
      </c>
      <c r="S1060">
        <v>987.15</v>
      </c>
    </row>
    <row r="1061" spans="1:19" x14ac:dyDescent="0.3">
      <c r="A1061" s="1" t="s">
        <v>1550</v>
      </c>
      <c r="B1061" s="4">
        <v>45806</v>
      </c>
      <c r="C1061" s="1" t="s">
        <v>427</v>
      </c>
      <c r="D1061" s="1" t="s">
        <v>21</v>
      </c>
      <c r="E1061" s="1" t="s">
        <v>70</v>
      </c>
      <c r="F1061" s="1" t="s">
        <v>70</v>
      </c>
      <c r="G1061" s="1" t="s">
        <v>33</v>
      </c>
      <c r="H1061" s="1" t="s">
        <v>34</v>
      </c>
      <c r="I1061" s="1" t="s">
        <v>134</v>
      </c>
      <c r="J1061" s="1" t="s">
        <v>135</v>
      </c>
      <c r="K1061" s="1" t="s">
        <v>136</v>
      </c>
      <c r="L1061">
        <v>2</v>
      </c>
      <c r="M1061">
        <v>299</v>
      </c>
      <c r="N1061">
        <v>0.2</v>
      </c>
      <c r="O1061">
        <v>478.4</v>
      </c>
      <c r="P1061">
        <v>110</v>
      </c>
      <c r="Q1061">
        <v>220</v>
      </c>
      <c r="R1061">
        <v>60</v>
      </c>
      <c r="S1061">
        <v>198.4</v>
      </c>
    </row>
    <row r="1062" spans="1:19" x14ac:dyDescent="0.3">
      <c r="A1062" s="1" t="s">
        <v>1551</v>
      </c>
      <c r="B1062" s="4">
        <v>45806</v>
      </c>
      <c r="C1062" s="1" t="s">
        <v>565</v>
      </c>
      <c r="D1062" s="1" t="s">
        <v>40</v>
      </c>
      <c r="E1062" s="1" t="s">
        <v>80</v>
      </c>
      <c r="F1062" s="1" t="s">
        <v>55</v>
      </c>
      <c r="G1062" s="1" t="s">
        <v>42</v>
      </c>
      <c r="H1062" s="1" t="s">
        <v>56</v>
      </c>
      <c r="I1062" s="1" t="s">
        <v>72</v>
      </c>
      <c r="J1062" s="1" t="s">
        <v>73</v>
      </c>
      <c r="K1062" s="1" t="s">
        <v>28</v>
      </c>
      <c r="L1062">
        <v>2</v>
      </c>
      <c r="M1062">
        <v>2199</v>
      </c>
      <c r="N1062">
        <v>0</v>
      </c>
      <c r="O1062">
        <v>4398</v>
      </c>
      <c r="P1062">
        <v>1250</v>
      </c>
      <c r="Q1062">
        <v>2500</v>
      </c>
      <c r="R1062">
        <v>0</v>
      </c>
      <c r="S1062">
        <v>1898</v>
      </c>
    </row>
    <row r="1063" spans="1:19" x14ac:dyDescent="0.3">
      <c r="A1063" s="1" t="s">
        <v>1552</v>
      </c>
      <c r="B1063" s="4">
        <v>45806</v>
      </c>
      <c r="C1063" s="1" t="s">
        <v>1553</v>
      </c>
      <c r="D1063" s="1" t="s">
        <v>40</v>
      </c>
      <c r="E1063" s="1" t="s">
        <v>124</v>
      </c>
      <c r="F1063" s="1" t="s">
        <v>125</v>
      </c>
      <c r="G1063" s="1" t="s">
        <v>33</v>
      </c>
      <c r="H1063" s="1" t="s">
        <v>25</v>
      </c>
      <c r="I1063" s="1" t="s">
        <v>76</v>
      </c>
      <c r="J1063" s="1" t="s">
        <v>77</v>
      </c>
      <c r="K1063" s="1" t="s">
        <v>37</v>
      </c>
      <c r="L1063">
        <v>1</v>
      </c>
      <c r="M1063">
        <v>6999</v>
      </c>
      <c r="N1063">
        <v>0.15</v>
      </c>
      <c r="O1063">
        <v>5949.15</v>
      </c>
      <c r="P1063">
        <v>4900</v>
      </c>
      <c r="Q1063">
        <v>4900</v>
      </c>
      <c r="R1063">
        <v>60</v>
      </c>
      <c r="S1063">
        <v>989.15</v>
      </c>
    </row>
    <row r="1064" spans="1:19" x14ac:dyDescent="0.3">
      <c r="A1064" s="1" t="s">
        <v>1554</v>
      </c>
      <c r="B1064" s="4">
        <v>45806</v>
      </c>
      <c r="C1064" s="1" t="s">
        <v>1555</v>
      </c>
      <c r="D1064" s="1" t="s">
        <v>40</v>
      </c>
      <c r="E1064" s="1" t="s">
        <v>124</v>
      </c>
      <c r="F1064" s="1" t="s">
        <v>125</v>
      </c>
      <c r="G1064" s="1" t="s">
        <v>42</v>
      </c>
      <c r="H1064" s="1" t="s">
        <v>71</v>
      </c>
      <c r="I1064" s="1" t="s">
        <v>81</v>
      </c>
      <c r="J1064" s="1" t="s">
        <v>82</v>
      </c>
      <c r="K1064" s="1" t="s">
        <v>61</v>
      </c>
      <c r="L1064">
        <v>1</v>
      </c>
      <c r="M1064">
        <v>2999</v>
      </c>
      <c r="N1064">
        <v>0</v>
      </c>
      <c r="O1064">
        <v>2999</v>
      </c>
      <c r="P1064">
        <v>1750</v>
      </c>
      <c r="Q1064">
        <v>1750</v>
      </c>
      <c r="R1064">
        <v>0</v>
      </c>
      <c r="S1064">
        <v>1249</v>
      </c>
    </row>
    <row r="1065" spans="1:19" x14ac:dyDescent="0.3">
      <c r="A1065" s="1" t="s">
        <v>1556</v>
      </c>
      <c r="B1065" s="4">
        <v>45807</v>
      </c>
      <c r="C1065" s="1" t="s">
        <v>673</v>
      </c>
      <c r="D1065" s="1" t="s">
        <v>48</v>
      </c>
      <c r="E1065" s="1" t="s">
        <v>80</v>
      </c>
      <c r="F1065" s="1" t="s">
        <v>55</v>
      </c>
      <c r="G1065" s="1" t="s">
        <v>24</v>
      </c>
      <c r="H1065" s="1" t="s">
        <v>34</v>
      </c>
      <c r="I1065" s="1" t="s">
        <v>43</v>
      </c>
      <c r="J1065" s="1" t="s">
        <v>44</v>
      </c>
      <c r="K1065" s="1" t="s">
        <v>45</v>
      </c>
      <c r="L1065">
        <v>4</v>
      </c>
      <c r="M1065">
        <v>1799</v>
      </c>
      <c r="N1065">
        <v>0.1</v>
      </c>
      <c r="O1065">
        <v>6476.4</v>
      </c>
      <c r="P1065">
        <v>850</v>
      </c>
      <c r="Q1065">
        <v>3400</v>
      </c>
      <c r="R1065">
        <v>40</v>
      </c>
      <c r="S1065">
        <v>3036.4</v>
      </c>
    </row>
    <row r="1066" spans="1:19" x14ac:dyDescent="0.3">
      <c r="A1066" s="1" t="s">
        <v>1557</v>
      </c>
      <c r="B1066" s="4">
        <v>45807</v>
      </c>
      <c r="C1066" s="1" t="s">
        <v>1328</v>
      </c>
      <c r="D1066" s="1" t="s">
        <v>40</v>
      </c>
      <c r="E1066" s="1" t="s">
        <v>120</v>
      </c>
      <c r="F1066" s="1" t="s">
        <v>121</v>
      </c>
      <c r="G1066" s="1" t="s">
        <v>24</v>
      </c>
      <c r="H1066" s="1" t="s">
        <v>25</v>
      </c>
      <c r="I1066" s="1" t="s">
        <v>134</v>
      </c>
      <c r="J1066" s="1" t="s">
        <v>135</v>
      </c>
      <c r="K1066" s="1" t="s">
        <v>136</v>
      </c>
      <c r="L1066">
        <v>2</v>
      </c>
      <c r="M1066">
        <v>299</v>
      </c>
      <c r="N1066">
        <v>0.2</v>
      </c>
      <c r="O1066">
        <v>478.4</v>
      </c>
      <c r="P1066">
        <v>110</v>
      </c>
      <c r="Q1066">
        <v>220</v>
      </c>
      <c r="R1066">
        <v>80</v>
      </c>
      <c r="S1066">
        <v>178.4</v>
      </c>
    </row>
    <row r="1067" spans="1:19" x14ac:dyDescent="0.3">
      <c r="A1067" s="1" t="s">
        <v>1558</v>
      </c>
      <c r="B1067" s="4">
        <v>45807</v>
      </c>
      <c r="C1067" s="1" t="s">
        <v>589</v>
      </c>
      <c r="D1067" s="1" t="s">
        <v>21</v>
      </c>
      <c r="E1067" s="1" t="s">
        <v>112</v>
      </c>
      <c r="F1067" s="1" t="s">
        <v>113</v>
      </c>
      <c r="G1067" s="1" t="s">
        <v>33</v>
      </c>
      <c r="H1067" s="1" t="s">
        <v>34</v>
      </c>
      <c r="I1067" s="1" t="s">
        <v>76</v>
      </c>
      <c r="J1067" s="1" t="s">
        <v>77</v>
      </c>
      <c r="K1067" s="1" t="s">
        <v>37</v>
      </c>
      <c r="L1067">
        <v>2</v>
      </c>
      <c r="M1067">
        <v>6999</v>
      </c>
      <c r="N1067">
        <v>0.1</v>
      </c>
      <c r="O1067">
        <v>12598.2</v>
      </c>
      <c r="P1067">
        <v>4900</v>
      </c>
      <c r="Q1067">
        <v>9800</v>
      </c>
      <c r="R1067">
        <v>60</v>
      </c>
      <c r="S1067">
        <v>2738.2</v>
      </c>
    </row>
    <row r="1068" spans="1:19" x14ac:dyDescent="0.3">
      <c r="A1068" s="1" t="s">
        <v>1559</v>
      </c>
      <c r="B1068" s="4">
        <v>45808</v>
      </c>
      <c r="C1068" s="1" t="s">
        <v>1462</v>
      </c>
      <c r="D1068" s="1" t="s">
        <v>21</v>
      </c>
      <c r="E1068" s="1" t="s">
        <v>70</v>
      </c>
      <c r="F1068" s="1" t="s">
        <v>70</v>
      </c>
      <c r="G1068" s="1" t="s">
        <v>33</v>
      </c>
      <c r="H1068" s="1" t="s">
        <v>71</v>
      </c>
      <c r="I1068" s="1" t="s">
        <v>59</v>
      </c>
      <c r="J1068" s="1" t="s">
        <v>60</v>
      </c>
      <c r="K1068" s="1" t="s">
        <v>61</v>
      </c>
      <c r="L1068">
        <v>3</v>
      </c>
      <c r="M1068">
        <v>999</v>
      </c>
      <c r="N1068">
        <v>0.15</v>
      </c>
      <c r="O1068">
        <v>2547.4499999999998</v>
      </c>
      <c r="P1068">
        <v>520</v>
      </c>
      <c r="Q1068">
        <v>1560</v>
      </c>
      <c r="R1068">
        <v>80</v>
      </c>
      <c r="S1068">
        <v>907.45</v>
      </c>
    </row>
    <row r="1069" spans="1:19" x14ac:dyDescent="0.3">
      <c r="A1069" s="1" t="s">
        <v>1560</v>
      </c>
      <c r="B1069" s="4">
        <v>45808</v>
      </c>
      <c r="C1069" s="1" t="s">
        <v>1295</v>
      </c>
      <c r="D1069" s="1" t="s">
        <v>48</v>
      </c>
      <c r="E1069" s="1" t="s">
        <v>96</v>
      </c>
      <c r="F1069" s="1" t="s">
        <v>97</v>
      </c>
      <c r="G1069" s="1" t="s">
        <v>33</v>
      </c>
      <c r="H1069" s="1" t="s">
        <v>89</v>
      </c>
      <c r="I1069" s="1" t="s">
        <v>92</v>
      </c>
      <c r="J1069" s="1" t="s">
        <v>93</v>
      </c>
      <c r="K1069" s="1" t="s">
        <v>28</v>
      </c>
      <c r="L1069">
        <v>5</v>
      </c>
      <c r="M1069">
        <v>1599</v>
      </c>
      <c r="N1069">
        <v>0</v>
      </c>
      <c r="O1069">
        <v>7995</v>
      </c>
      <c r="P1069">
        <v>900</v>
      </c>
      <c r="Q1069">
        <v>4500</v>
      </c>
      <c r="R1069">
        <v>100</v>
      </c>
      <c r="S1069">
        <v>3395</v>
      </c>
    </row>
    <row r="1070" spans="1:19" x14ac:dyDescent="0.3">
      <c r="A1070" s="1" t="s">
        <v>1561</v>
      </c>
      <c r="B1070" s="4">
        <v>45808</v>
      </c>
      <c r="C1070" s="1" t="s">
        <v>1562</v>
      </c>
      <c r="D1070" s="1" t="s">
        <v>48</v>
      </c>
      <c r="E1070" s="1" t="s">
        <v>70</v>
      </c>
      <c r="F1070" s="1" t="s">
        <v>70</v>
      </c>
      <c r="G1070" s="1" t="s">
        <v>33</v>
      </c>
      <c r="H1070" s="1" t="s">
        <v>25</v>
      </c>
      <c r="I1070" s="1" t="s">
        <v>76</v>
      </c>
      <c r="J1070" s="1" t="s">
        <v>77</v>
      </c>
      <c r="K1070" s="1" t="s">
        <v>37</v>
      </c>
      <c r="L1070">
        <v>2</v>
      </c>
      <c r="M1070">
        <v>6999</v>
      </c>
      <c r="N1070">
        <v>0.1</v>
      </c>
      <c r="O1070">
        <v>12598.2</v>
      </c>
      <c r="P1070">
        <v>4900</v>
      </c>
      <c r="Q1070">
        <v>9800</v>
      </c>
      <c r="R1070">
        <v>80</v>
      </c>
      <c r="S1070">
        <v>2718.2</v>
      </c>
    </row>
    <row r="1071" spans="1:19" x14ac:dyDescent="0.3">
      <c r="A1071" s="1" t="s">
        <v>1563</v>
      </c>
      <c r="B1071" s="4">
        <v>45808</v>
      </c>
      <c r="C1071" s="1" t="s">
        <v>306</v>
      </c>
      <c r="D1071" s="1" t="s">
        <v>21</v>
      </c>
      <c r="E1071" s="1" t="s">
        <v>96</v>
      </c>
      <c r="F1071" s="1" t="s">
        <v>97</v>
      </c>
      <c r="G1071" s="1" t="s">
        <v>42</v>
      </c>
      <c r="H1071" s="1" t="s">
        <v>71</v>
      </c>
      <c r="I1071" s="1" t="s">
        <v>81</v>
      </c>
      <c r="J1071" s="1" t="s">
        <v>82</v>
      </c>
      <c r="K1071" s="1" t="s">
        <v>61</v>
      </c>
      <c r="L1071">
        <v>4</v>
      </c>
      <c r="M1071">
        <v>2999</v>
      </c>
      <c r="N1071">
        <v>0.05</v>
      </c>
      <c r="O1071">
        <v>11396.2</v>
      </c>
      <c r="P1071">
        <v>1750</v>
      </c>
      <c r="Q1071">
        <v>7000</v>
      </c>
      <c r="R1071">
        <v>60</v>
      </c>
      <c r="S1071">
        <v>4336.2</v>
      </c>
    </row>
    <row r="1072" spans="1:19" x14ac:dyDescent="0.3">
      <c r="A1072" s="1" t="s">
        <v>1564</v>
      </c>
      <c r="B1072" s="4">
        <v>45809</v>
      </c>
      <c r="C1072" s="1" t="s">
        <v>850</v>
      </c>
      <c r="D1072" s="1" t="s">
        <v>21</v>
      </c>
      <c r="E1072" s="1" t="s">
        <v>54</v>
      </c>
      <c r="F1072" s="1" t="s">
        <v>55</v>
      </c>
      <c r="G1072" s="1" t="s">
        <v>33</v>
      </c>
      <c r="H1072" s="1" t="s">
        <v>25</v>
      </c>
      <c r="I1072" s="1" t="s">
        <v>134</v>
      </c>
      <c r="J1072" s="1" t="s">
        <v>135</v>
      </c>
      <c r="K1072" s="1" t="s">
        <v>136</v>
      </c>
      <c r="L1072">
        <v>3</v>
      </c>
      <c r="M1072">
        <v>299</v>
      </c>
      <c r="N1072">
        <v>0</v>
      </c>
      <c r="O1072">
        <v>897</v>
      </c>
      <c r="P1072">
        <v>110</v>
      </c>
      <c r="Q1072">
        <v>330</v>
      </c>
      <c r="R1072">
        <v>80</v>
      </c>
      <c r="S1072">
        <v>487</v>
      </c>
    </row>
    <row r="1073" spans="1:19" x14ac:dyDescent="0.3">
      <c r="A1073" s="1" t="s">
        <v>1565</v>
      </c>
      <c r="B1073" s="4">
        <v>45809</v>
      </c>
      <c r="C1073" s="1" t="s">
        <v>196</v>
      </c>
      <c r="D1073" s="1" t="s">
        <v>48</v>
      </c>
      <c r="E1073" s="1" t="s">
        <v>41</v>
      </c>
      <c r="F1073" s="1" t="s">
        <v>32</v>
      </c>
      <c r="G1073" s="1" t="s">
        <v>24</v>
      </c>
      <c r="H1073" s="1" t="s">
        <v>56</v>
      </c>
      <c r="I1073" s="1" t="s">
        <v>134</v>
      </c>
      <c r="J1073" s="1" t="s">
        <v>135</v>
      </c>
      <c r="K1073" s="1" t="s">
        <v>136</v>
      </c>
      <c r="L1073">
        <v>2</v>
      </c>
      <c r="M1073">
        <v>299</v>
      </c>
      <c r="N1073">
        <v>0.2</v>
      </c>
      <c r="O1073">
        <v>478.4</v>
      </c>
      <c r="P1073">
        <v>110</v>
      </c>
      <c r="Q1073">
        <v>220</v>
      </c>
      <c r="R1073">
        <v>0</v>
      </c>
      <c r="S1073">
        <v>258.39999999999998</v>
      </c>
    </row>
    <row r="1074" spans="1:19" x14ac:dyDescent="0.3">
      <c r="A1074" s="1" t="s">
        <v>1566</v>
      </c>
      <c r="B1074" s="4">
        <v>45809</v>
      </c>
      <c r="C1074" s="1" t="s">
        <v>69</v>
      </c>
      <c r="D1074" s="1" t="s">
        <v>21</v>
      </c>
      <c r="E1074" s="1" t="s">
        <v>41</v>
      </c>
      <c r="F1074" s="1" t="s">
        <v>32</v>
      </c>
      <c r="G1074" s="1" t="s">
        <v>42</v>
      </c>
      <c r="H1074" s="1" t="s">
        <v>25</v>
      </c>
      <c r="I1074" s="1" t="s">
        <v>66</v>
      </c>
      <c r="J1074" s="1" t="s">
        <v>67</v>
      </c>
      <c r="K1074" s="1" t="s">
        <v>28</v>
      </c>
      <c r="L1074">
        <v>3</v>
      </c>
      <c r="M1074">
        <v>2499</v>
      </c>
      <c r="N1074">
        <v>0.05</v>
      </c>
      <c r="O1074">
        <v>7122.15</v>
      </c>
      <c r="P1074">
        <v>1450</v>
      </c>
      <c r="Q1074">
        <v>4350</v>
      </c>
      <c r="R1074">
        <v>60</v>
      </c>
      <c r="S1074">
        <v>2712.15</v>
      </c>
    </row>
    <row r="1075" spans="1:19" x14ac:dyDescent="0.3">
      <c r="A1075" s="1" t="s">
        <v>1567</v>
      </c>
      <c r="B1075" s="4">
        <v>45809</v>
      </c>
      <c r="C1075" s="1" t="s">
        <v>103</v>
      </c>
      <c r="D1075" s="1" t="s">
        <v>21</v>
      </c>
      <c r="E1075" s="1" t="s">
        <v>64</v>
      </c>
      <c r="F1075" s="1" t="s">
        <v>65</v>
      </c>
      <c r="G1075" s="1" t="s">
        <v>42</v>
      </c>
      <c r="H1075" s="1" t="s">
        <v>25</v>
      </c>
      <c r="I1075" s="1" t="s">
        <v>43</v>
      </c>
      <c r="J1075" s="1" t="s">
        <v>44</v>
      </c>
      <c r="K1075" s="1" t="s">
        <v>45</v>
      </c>
      <c r="L1075">
        <v>1</v>
      </c>
      <c r="M1075">
        <v>1799</v>
      </c>
      <c r="N1075">
        <v>0.15</v>
      </c>
      <c r="O1075">
        <v>1529.15</v>
      </c>
      <c r="P1075">
        <v>850</v>
      </c>
      <c r="Q1075">
        <v>850</v>
      </c>
      <c r="R1075">
        <v>100</v>
      </c>
      <c r="S1075">
        <v>579.15</v>
      </c>
    </row>
    <row r="1076" spans="1:19" x14ac:dyDescent="0.3">
      <c r="A1076" s="1" t="s">
        <v>1568</v>
      </c>
      <c r="B1076" s="4">
        <v>45809</v>
      </c>
      <c r="C1076" s="1" t="s">
        <v>413</v>
      </c>
      <c r="D1076" s="1" t="s">
        <v>48</v>
      </c>
      <c r="E1076" s="1" t="s">
        <v>124</v>
      </c>
      <c r="F1076" s="1" t="s">
        <v>125</v>
      </c>
      <c r="G1076" s="1" t="s">
        <v>42</v>
      </c>
      <c r="H1076" s="1" t="s">
        <v>56</v>
      </c>
      <c r="I1076" s="1" t="s">
        <v>92</v>
      </c>
      <c r="J1076" s="1" t="s">
        <v>93</v>
      </c>
      <c r="K1076" s="1" t="s">
        <v>28</v>
      </c>
      <c r="L1076">
        <v>1</v>
      </c>
      <c r="M1076">
        <v>1599</v>
      </c>
      <c r="N1076">
        <v>0.05</v>
      </c>
      <c r="O1076">
        <v>1519.05</v>
      </c>
      <c r="P1076">
        <v>900</v>
      </c>
      <c r="Q1076">
        <v>900</v>
      </c>
      <c r="R1076">
        <v>80</v>
      </c>
      <c r="S1076">
        <v>539.04999999999995</v>
      </c>
    </row>
    <row r="1077" spans="1:19" x14ac:dyDescent="0.3">
      <c r="A1077" s="1" t="s">
        <v>1569</v>
      </c>
      <c r="B1077" s="4">
        <v>45811</v>
      </c>
      <c r="C1077" s="1" t="s">
        <v>169</v>
      </c>
      <c r="D1077" s="1" t="s">
        <v>40</v>
      </c>
      <c r="E1077" s="1" t="s">
        <v>22</v>
      </c>
      <c r="F1077" s="1" t="s">
        <v>23</v>
      </c>
      <c r="G1077" s="1" t="s">
        <v>42</v>
      </c>
      <c r="H1077" s="1" t="s">
        <v>25</v>
      </c>
      <c r="I1077" s="1" t="s">
        <v>51</v>
      </c>
      <c r="J1077" s="1" t="s">
        <v>52</v>
      </c>
      <c r="K1077" s="1" t="s">
        <v>37</v>
      </c>
      <c r="L1077">
        <v>2</v>
      </c>
      <c r="M1077">
        <v>499</v>
      </c>
      <c r="N1077">
        <v>0.1</v>
      </c>
      <c r="O1077">
        <v>898.2</v>
      </c>
      <c r="P1077">
        <v>180</v>
      </c>
      <c r="Q1077">
        <v>360</v>
      </c>
      <c r="R1077">
        <v>80</v>
      </c>
      <c r="S1077">
        <v>458.2</v>
      </c>
    </row>
    <row r="1078" spans="1:19" x14ac:dyDescent="0.3">
      <c r="A1078" s="1" t="s">
        <v>1570</v>
      </c>
      <c r="B1078" s="4">
        <v>45811</v>
      </c>
      <c r="C1078" s="1" t="s">
        <v>668</v>
      </c>
      <c r="D1078" s="1" t="s">
        <v>48</v>
      </c>
      <c r="E1078" s="1" t="s">
        <v>96</v>
      </c>
      <c r="F1078" s="1" t="s">
        <v>97</v>
      </c>
      <c r="G1078" s="1" t="s">
        <v>42</v>
      </c>
      <c r="H1078" s="1" t="s">
        <v>56</v>
      </c>
      <c r="I1078" s="1" t="s">
        <v>35</v>
      </c>
      <c r="J1078" s="1" t="s">
        <v>36</v>
      </c>
      <c r="K1078" s="1" t="s">
        <v>37</v>
      </c>
      <c r="L1078">
        <v>2</v>
      </c>
      <c r="M1078">
        <v>1299</v>
      </c>
      <c r="N1078">
        <v>0.05</v>
      </c>
      <c r="O1078">
        <v>2468.1</v>
      </c>
      <c r="P1078">
        <v>700</v>
      </c>
      <c r="Q1078">
        <v>1400</v>
      </c>
      <c r="R1078">
        <v>80</v>
      </c>
      <c r="S1078">
        <v>988.1</v>
      </c>
    </row>
    <row r="1079" spans="1:19" x14ac:dyDescent="0.3">
      <c r="A1079" s="1" t="s">
        <v>1571</v>
      </c>
      <c r="B1079" s="4">
        <v>45811</v>
      </c>
      <c r="C1079" s="1" t="s">
        <v>185</v>
      </c>
      <c r="D1079" s="1" t="s">
        <v>48</v>
      </c>
      <c r="E1079" s="1" t="s">
        <v>49</v>
      </c>
      <c r="F1079" s="1" t="s">
        <v>50</v>
      </c>
      <c r="G1079" s="1" t="s">
        <v>42</v>
      </c>
      <c r="H1079" s="1" t="s">
        <v>25</v>
      </c>
      <c r="I1079" s="1" t="s">
        <v>85</v>
      </c>
      <c r="J1079" s="1" t="s">
        <v>86</v>
      </c>
      <c r="K1079" s="1" t="s">
        <v>45</v>
      </c>
      <c r="L1079">
        <v>3</v>
      </c>
      <c r="M1079">
        <v>599</v>
      </c>
      <c r="N1079">
        <v>0.1</v>
      </c>
      <c r="O1079">
        <v>1617.3</v>
      </c>
      <c r="P1079">
        <v>240</v>
      </c>
      <c r="Q1079">
        <v>720</v>
      </c>
      <c r="R1079">
        <v>60</v>
      </c>
      <c r="S1079">
        <v>837.3</v>
      </c>
    </row>
    <row r="1080" spans="1:19" x14ac:dyDescent="0.3">
      <c r="A1080" s="1" t="s">
        <v>1572</v>
      </c>
      <c r="B1080" s="4">
        <v>45814</v>
      </c>
      <c r="C1080" s="1" t="s">
        <v>283</v>
      </c>
      <c r="D1080" s="1" t="s">
        <v>21</v>
      </c>
      <c r="E1080" s="1" t="s">
        <v>31</v>
      </c>
      <c r="F1080" s="1" t="s">
        <v>32</v>
      </c>
      <c r="G1080" s="1" t="s">
        <v>42</v>
      </c>
      <c r="H1080" s="1" t="s">
        <v>34</v>
      </c>
      <c r="I1080" s="1" t="s">
        <v>35</v>
      </c>
      <c r="J1080" s="1" t="s">
        <v>36</v>
      </c>
      <c r="K1080" s="1" t="s">
        <v>37</v>
      </c>
      <c r="L1080">
        <v>1</v>
      </c>
      <c r="M1080">
        <v>1299</v>
      </c>
      <c r="N1080">
        <v>0.2</v>
      </c>
      <c r="O1080">
        <v>1039.2</v>
      </c>
      <c r="P1080">
        <v>700</v>
      </c>
      <c r="Q1080">
        <v>700</v>
      </c>
      <c r="R1080">
        <v>100</v>
      </c>
      <c r="S1080">
        <v>239.2</v>
      </c>
    </row>
    <row r="1081" spans="1:19" x14ac:dyDescent="0.3">
      <c r="A1081" s="1" t="s">
        <v>1573</v>
      </c>
      <c r="B1081" s="4">
        <v>45815</v>
      </c>
      <c r="C1081" s="1" t="s">
        <v>181</v>
      </c>
      <c r="D1081" s="1" t="s">
        <v>21</v>
      </c>
      <c r="E1081" s="1" t="s">
        <v>70</v>
      </c>
      <c r="F1081" s="1" t="s">
        <v>70</v>
      </c>
      <c r="G1081" s="1" t="s">
        <v>33</v>
      </c>
      <c r="H1081" s="1" t="s">
        <v>34</v>
      </c>
      <c r="I1081" s="1" t="s">
        <v>26</v>
      </c>
      <c r="J1081" s="1" t="s">
        <v>27</v>
      </c>
      <c r="K1081" s="1" t="s">
        <v>28</v>
      </c>
      <c r="L1081">
        <v>4</v>
      </c>
      <c r="M1081">
        <v>799</v>
      </c>
      <c r="N1081">
        <v>0.05</v>
      </c>
      <c r="O1081">
        <v>3036.2</v>
      </c>
      <c r="P1081">
        <v>420</v>
      </c>
      <c r="Q1081">
        <v>1680</v>
      </c>
      <c r="R1081">
        <v>80</v>
      </c>
      <c r="S1081">
        <v>1276.2</v>
      </c>
    </row>
    <row r="1082" spans="1:19" x14ac:dyDescent="0.3">
      <c r="A1082" s="1" t="s">
        <v>1574</v>
      </c>
      <c r="B1082" s="4">
        <v>45816</v>
      </c>
      <c r="C1082" s="1" t="s">
        <v>321</v>
      </c>
      <c r="D1082" s="1" t="s">
        <v>21</v>
      </c>
      <c r="E1082" s="1" t="s">
        <v>49</v>
      </c>
      <c r="F1082" s="1" t="s">
        <v>50</v>
      </c>
      <c r="G1082" s="1" t="s">
        <v>24</v>
      </c>
      <c r="H1082" s="1" t="s">
        <v>89</v>
      </c>
      <c r="I1082" s="1" t="s">
        <v>72</v>
      </c>
      <c r="J1082" s="1" t="s">
        <v>73</v>
      </c>
      <c r="K1082" s="1" t="s">
        <v>28</v>
      </c>
      <c r="L1082">
        <v>1</v>
      </c>
      <c r="M1082">
        <v>2199</v>
      </c>
      <c r="N1082">
        <v>0.05</v>
      </c>
      <c r="O1082">
        <v>2089.0500000000002</v>
      </c>
      <c r="P1082">
        <v>1250</v>
      </c>
      <c r="Q1082">
        <v>1250</v>
      </c>
      <c r="R1082">
        <v>80</v>
      </c>
      <c r="S1082">
        <v>759.05</v>
      </c>
    </row>
    <row r="1083" spans="1:19" x14ac:dyDescent="0.3">
      <c r="A1083" s="1" t="s">
        <v>1575</v>
      </c>
      <c r="B1083" s="4">
        <v>45816</v>
      </c>
      <c r="C1083" s="1" t="s">
        <v>192</v>
      </c>
      <c r="D1083" s="1" t="s">
        <v>21</v>
      </c>
      <c r="E1083" s="1" t="s">
        <v>22</v>
      </c>
      <c r="F1083" s="1" t="s">
        <v>23</v>
      </c>
      <c r="G1083" s="1" t="s">
        <v>42</v>
      </c>
      <c r="H1083" s="1" t="s">
        <v>34</v>
      </c>
      <c r="I1083" s="1" t="s">
        <v>81</v>
      </c>
      <c r="J1083" s="1" t="s">
        <v>82</v>
      </c>
      <c r="K1083" s="1" t="s">
        <v>61</v>
      </c>
      <c r="L1083">
        <v>1</v>
      </c>
      <c r="M1083">
        <v>2999</v>
      </c>
      <c r="N1083">
        <v>0.15</v>
      </c>
      <c r="O1083">
        <v>2549.15</v>
      </c>
      <c r="P1083">
        <v>1750</v>
      </c>
      <c r="Q1083">
        <v>1750</v>
      </c>
      <c r="R1083">
        <v>100</v>
      </c>
      <c r="S1083">
        <v>699.15</v>
      </c>
    </row>
    <row r="1084" spans="1:19" x14ac:dyDescent="0.3">
      <c r="A1084" s="1" t="s">
        <v>1576</v>
      </c>
      <c r="B1084" s="4">
        <v>45817</v>
      </c>
      <c r="C1084" s="1" t="s">
        <v>792</v>
      </c>
      <c r="D1084" s="1" t="s">
        <v>40</v>
      </c>
      <c r="E1084" s="1" t="s">
        <v>49</v>
      </c>
      <c r="F1084" s="1" t="s">
        <v>50</v>
      </c>
      <c r="G1084" s="1" t="s">
        <v>24</v>
      </c>
      <c r="H1084" s="1" t="s">
        <v>25</v>
      </c>
      <c r="I1084" s="1" t="s">
        <v>134</v>
      </c>
      <c r="J1084" s="1" t="s">
        <v>135</v>
      </c>
      <c r="K1084" s="1" t="s">
        <v>136</v>
      </c>
      <c r="L1084">
        <v>2</v>
      </c>
      <c r="M1084">
        <v>299</v>
      </c>
      <c r="N1084">
        <v>0.2</v>
      </c>
      <c r="O1084">
        <v>478.4</v>
      </c>
      <c r="P1084">
        <v>110</v>
      </c>
      <c r="Q1084">
        <v>220</v>
      </c>
      <c r="R1084">
        <v>80</v>
      </c>
      <c r="S1084">
        <v>178.4</v>
      </c>
    </row>
    <row r="1085" spans="1:19" x14ac:dyDescent="0.3">
      <c r="A1085" s="1" t="s">
        <v>1577</v>
      </c>
      <c r="B1085" s="4">
        <v>45817</v>
      </c>
      <c r="C1085" s="1" t="s">
        <v>206</v>
      </c>
      <c r="D1085" s="1" t="s">
        <v>21</v>
      </c>
      <c r="E1085" s="1" t="s">
        <v>54</v>
      </c>
      <c r="F1085" s="1" t="s">
        <v>55</v>
      </c>
      <c r="G1085" s="1" t="s">
        <v>24</v>
      </c>
      <c r="H1085" s="1" t="s">
        <v>89</v>
      </c>
      <c r="I1085" s="1" t="s">
        <v>26</v>
      </c>
      <c r="J1085" s="1" t="s">
        <v>27</v>
      </c>
      <c r="K1085" s="1" t="s">
        <v>28</v>
      </c>
      <c r="L1085">
        <v>2</v>
      </c>
      <c r="M1085">
        <v>799</v>
      </c>
      <c r="N1085">
        <v>0.05</v>
      </c>
      <c r="O1085">
        <v>1518.1</v>
      </c>
      <c r="P1085">
        <v>420</v>
      </c>
      <c r="Q1085">
        <v>840</v>
      </c>
      <c r="R1085">
        <v>40</v>
      </c>
      <c r="S1085">
        <v>638.1</v>
      </c>
    </row>
    <row r="1086" spans="1:19" x14ac:dyDescent="0.3">
      <c r="A1086" s="1" t="s">
        <v>1578</v>
      </c>
      <c r="B1086" s="4">
        <v>45817</v>
      </c>
      <c r="C1086" s="1" t="s">
        <v>333</v>
      </c>
      <c r="D1086" s="1" t="s">
        <v>48</v>
      </c>
      <c r="E1086" s="1" t="s">
        <v>41</v>
      </c>
      <c r="F1086" s="1" t="s">
        <v>32</v>
      </c>
      <c r="G1086" s="1" t="s">
        <v>42</v>
      </c>
      <c r="H1086" s="1" t="s">
        <v>34</v>
      </c>
      <c r="I1086" s="1" t="s">
        <v>81</v>
      </c>
      <c r="J1086" s="1" t="s">
        <v>82</v>
      </c>
      <c r="K1086" s="1" t="s">
        <v>61</v>
      </c>
      <c r="L1086">
        <v>5</v>
      </c>
      <c r="M1086">
        <v>2999</v>
      </c>
      <c r="N1086">
        <v>0.2</v>
      </c>
      <c r="O1086">
        <v>11996</v>
      </c>
      <c r="P1086">
        <v>1750</v>
      </c>
      <c r="Q1086">
        <v>8750</v>
      </c>
      <c r="R1086">
        <v>40</v>
      </c>
      <c r="S1086">
        <v>3206</v>
      </c>
    </row>
    <row r="1087" spans="1:19" x14ac:dyDescent="0.3">
      <c r="A1087" s="1" t="s">
        <v>1579</v>
      </c>
      <c r="B1087" s="4">
        <v>45819</v>
      </c>
      <c r="C1087" s="1" t="s">
        <v>409</v>
      </c>
      <c r="D1087" s="1" t="s">
        <v>21</v>
      </c>
      <c r="E1087" s="1" t="s">
        <v>31</v>
      </c>
      <c r="F1087" s="1" t="s">
        <v>32</v>
      </c>
      <c r="G1087" s="1" t="s">
        <v>33</v>
      </c>
      <c r="H1087" s="1" t="s">
        <v>89</v>
      </c>
      <c r="I1087" s="1" t="s">
        <v>59</v>
      </c>
      <c r="J1087" s="1" t="s">
        <v>60</v>
      </c>
      <c r="K1087" s="1" t="s">
        <v>61</v>
      </c>
      <c r="L1087">
        <v>1</v>
      </c>
      <c r="M1087">
        <v>999</v>
      </c>
      <c r="N1087">
        <v>0.2</v>
      </c>
      <c r="O1087">
        <v>799.2</v>
      </c>
      <c r="P1087">
        <v>520</v>
      </c>
      <c r="Q1087">
        <v>520</v>
      </c>
      <c r="R1087">
        <v>80</v>
      </c>
      <c r="S1087">
        <v>199.2</v>
      </c>
    </row>
    <row r="1088" spans="1:19" x14ac:dyDescent="0.3">
      <c r="A1088" s="1" t="s">
        <v>1580</v>
      </c>
      <c r="B1088" s="4">
        <v>45820</v>
      </c>
      <c r="C1088" s="1" t="s">
        <v>1368</v>
      </c>
      <c r="D1088" s="1" t="s">
        <v>48</v>
      </c>
      <c r="E1088" s="1" t="s">
        <v>80</v>
      </c>
      <c r="F1088" s="1" t="s">
        <v>55</v>
      </c>
      <c r="G1088" s="1" t="s">
        <v>33</v>
      </c>
      <c r="H1088" s="1" t="s">
        <v>34</v>
      </c>
      <c r="I1088" s="1" t="s">
        <v>134</v>
      </c>
      <c r="J1088" s="1" t="s">
        <v>135</v>
      </c>
      <c r="K1088" s="1" t="s">
        <v>136</v>
      </c>
      <c r="L1088">
        <v>1</v>
      </c>
      <c r="M1088">
        <v>299</v>
      </c>
      <c r="N1088">
        <v>0.05</v>
      </c>
      <c r="O1088">
        <v>284.05</v>
      </c>
      <c r="P1088">
        <v>110</v>
      </c>
      <c r="Q1088">
        <v>110</v>
      </c>
      <c r="R1088">
        <v>80</v>
      </c>
      <c r="S1088">
        <v>94.05</v>
      </c>
    </row>
    <row r="1089" spans="1:19" x14ac:dyDescent="0.3">
      <c r="A1089" s="1" t="s">
        <v>1581</v>
      </c>
      <c r="B1089" s="4">
        <v>45820</v>
      </c>
      <c r="C1089" s="1" t="s">
        <v>1120</v>
      </c>
      <c r="D1089" s="1" t="s">
        <v>48</v>
      </c>
      <c r="E1089" s="1" t="s">
        <v>80</v>
      </c>
      <c r="F1089" s="1" t="s">
        <v>55</v>
      </c>
      <c r="G1089" s="1" t="s">
        <v>24</v>
      </c>
      <c r="H1089" s="1" t="s">
        <v>34</v>
      </c>
      <c r="I1089" s="1" t="s">
        <v>81</v>
      </c>
      <c r="J1089" s="1" t="s">
        <v>82</v>
      </c>
      <c r="K1089" s="1" t="s">
        <v>61</v>
      </c>
      <c r="L1089">
        <v>3</v>
      </c>
      <c r="M1089">
        <v>2999</v>
      </c>
      <c r="N1089">
        <v>0.15</v>
      </c>
      <c r="O1089">
        <v>7647.45</v>
      </c>
      <c r="P1089">
        <v>1750</v>
      </c>
      <c r="Q1089">
        <v>5250</v>
      </c>
      <c r="R1089">
        <v>40</v>
      </c>
      <c r="S1089">
        <v>2357.4499999999998</v>
      </c>
    </row>
    <row r="1090" spans="1:19" x14ac:dyDescent="0.3">
      <c r="A1090" s="1" t="s">
        <v>1582</v>
      </c>
      <c r="B1090" s="4">
        <v>45820</v>
      </c>
      <c r="C1090" s="1" t="s">
        <v>504</v>
      </c>
      <c r="D1090" s="1" t="s">
        <v>48</v>
      </c>
      <c r="E1090" s="1" t="s">
        <v>124</v>
      </c>
      <c r="F1090" s="1" t="s">
        <v>125</v>
      </c>
      <c r="G1090" s="1" t="s">
        <v>42</v>
      </c>
      <c r="H1090" s="1" t="s">
        <v>56</v>
      </c>
      <c r="I1090" s="1" t="s">
        <v>72</v>
      </c>
      <c r="J1090" s="1" t="s">
        <v>73</v>
      </c>
      <c r="K1090" s="1" t="s">
        <v>28</v>
      </c>
      <c r="L1090">
        <v>1</v>
      </c>
      <c r="M1090">
        <v>2199</v>
      </c>
      <c r="N1090">
        <v>0</v>
      </c>
      <c r="O1090">
        <v>2199</v>
      </c>
      <c r="P1090">
        <v>1250</v>
      </c>
      <c r="Q1090">
        <v>1250</v>
      </c>
      <c r="R1090">
        <v>0</v>
      </c>
      <c r="S1090">
        <v>949</v>
      </c>
    </row>
    <row r="1091" spans="1:19" x14ac:dyDescent="0.3">
      <c r="A1091" s="1" t="s">
        <v>1583</v>
      </c>
      <c r="B1091" s="4">
        <v>45821</v>
      </c>
      <c r="C1091" s="1" t="s">
        <v>402</v>
      </c>
      <c r="D1091" s="1" t="s">
        <v>21</v>
      </c>
      <c r="E1091" s="1" t="s">
        <v>112</v>
      </c>
      <c r="F1091" s="1" t="s">
        <v>113</v>
      </c>
      <c r="G1091" s="1" t="s">
        <v>33</v>
      </c>
      <c r="H1091" s="1" t="s">
        <v>34</v>
      </c>
      <c r="I1091" s="1" t="s">
        <v>35</v>
      </c>
      <c r="J1091" s="1" t="s">
        <v>36</v>
      </c>
      <c r="K1091" s="1" t="s">
        <v>37</v>
      </c>
      <c r="L1091">
        <v>1</v>
      </c>
      <c r="M1091">
        <v>1299</v>
      </c>
      <c r="N1091">
        <v>0</v>
      </c>
      <c r="O1091">
        <v>1299</v>
      </c>
      <c r="P1091">
        <v>700</v>
      </c>
      <c r="Q1091">
        <v>700</v>
      </c>
      <c r="R1091">
        <v>100</v>
      </c>
      <c r="S1091">
        <v>499</v>
      </c>
    </row>
    <row r="1092" spans="1:19" x14ac:dyDescent="0.3">
      <c r="A1092" s="1" t="s">
        <v>1584</v>
      </c>
      <c r="B1092" s="4">
        <v>45821</v>
      </c>
      <c r="C1092" s="1" t="s">
        <v>727</v>
      </c>
      <c r="D1092" s="1" t="s">
        <v>48</v>
      </c>
      <c r="E1092" s="1" t="s">
        <v>54</v>
      </c>
      <c r="F1092" s="1" t="s">
        <v>55</v>
      </c>
      <c r="G1092" s="1" t="s">
        <v>42</v>
      </c>
      <c r="H1092" s="1" t="s">
        <v>89</v>
      </c>
      <c r="I1092" s="1" t="s">
        <v>81</v>
      </c>
      <c r="J1092" s="1" t="s">
        <v>82</v>
      </c>
      <c r="K1092" s="1" t="s">
        <v>61</v>
      </c>
      <c r="L1092">
        <v>2</v>
      </c>
      <c r="M1092">
        <v>2999</v>
      </c>
      <c r="N1092">
        <v>0</v>
      </c>
      <c r="O1092">
        <v>5998</v>
      </c>
      <c r="P1092">
        <v>1750</v>
      </c>
      <c r="Q1092">
        <v>3500</v>
      </c>
      <c r="R1092">
        <v>0</v>
      </c>
      <c r="S1092">
        <v>2498</v>
      </c>
    </row>
    <row r="1093" spans="1:19" x14ac:dyDescent="0.3">
      <c r="A1093" s="1" t="s">
        <v>1585</v>
      </c>
      <c r="B1093" s="4">
        <v>45823</v>
      </c>
      <c r="C1093" s="1" t="s">
        <v>570</v>
      </c>
      <c r="D1093" s="1" t="s">
        <v>40</v>
      </c>
      <c r="E1093" s="1" t="s">
        <v>96</v>
      </c>
      <c r="F1093" s="1" t="s">
        <v>97</v>
      </c>
      <c r="G1093" s="1" t="s">
        <v>42</v>
      </c>
      <c r="H1093" s="1" t="s">
        <v>71</v>
      </c>
      <c r="I1093" s="1" t="s">
        <v>35</v>
      </c>
      <c r="J1093" s="1" t="s">
        <v>36</v>
      </c>
      <c r="K1093" s="1" t="s">
        <v>37</v>
      </c>
      <c r="L1093">
        <v>1</v>
      </c>
      <c r="M1093">
        <v>1299</v>
      </c>
      <c r="N1093">
        <v>0.1</v>
      </c>
      <c r="O1093">
        <v>1169.0999999999999</v>
      </c>
      <c r="P1093">
        <v>700</v>
      </c>
      <c r="Q1093">
        <v>700</v>
      </c>
      <c r="R1093">
        <v>80</v>
      </c>
      <c r="S1093">
        <v>389.1</v>
      </c>
    </row>
    <row r="1094" spans="1:19" x14ac:dyDescent="0.3">
      <c r="A1094" s="1" t="s">
        <v>1586</v>
      </c>
      <c r="B1094" s="4">
        <v>45823</v>
      </c>
      <c r="C1094" s="1" t="s">
        <v>989</v>
      </c>
      <c r="D1094" s="1" t="s">
        <v>48</v>
      </c>
      <c r="E1094" s="1" t="s">
        <v>120</v>
      </c>
      <c r="F1094" s="1" t="s">
        <v>121</v>
      </c>
      <c r="G1094" s="1" t="s">
        <v>42</v>
      </c>
      <c r="H1094" s="1" t="s">
        <v>71</v>
      </c>
      <c r="I1094" s="1" t="s">
        <v>51</v>
      </c>
      <c r="J1094" s="1" t="s">
        <v>52</v>
      </c>
      <c r="K1094" s="1" t="s">
        <v>37</v>
      </c>
      <c r="L1094">
        <v>1</v>
      </c>
      <c r="M1094">
        <v>499</v>
      </c>
      <c r="N1094">
        <v>0</v>
      </c>
      <c r="O1094">
        <v>499</v>
      </c>
      <c r="P1094">
        <v>180</v>
      </c>
      <c r="Q1094">
        <v>180</v>
      </c>
      <c r="R1094">
        <v>40</v>
      </c>
      <c r="S1094">
        <v>279</v>
      </c>
    </row>
    <row r="1095" spans="1:19" x14ac:dyDescent="0.3">
      <c r="A1095" s="1" t="s">
        <v>1587</v>
      </c>
      <c r="B1095" s="4">
        <v>45825</v>
      </c>
      <c r="C1095" s="1" t="s">
        <v>542</v>
      </c>
      <c r="D1095" s="1" t="s">
        <v>40</v>
      </c>
      <c r="E1095" s="1" t="s">
        <v>96</v>
      </c>
      <c r="F1095" s="1" t="s">
        <v>97</v>
      </c>
      <c r="G1095" s="1" t="s">
        <v>33</v>
      </c>
      <c r="H1095" s="1" t="s">
        <v>34</v>
      </c>
      <c r="I1095" s="1" t="s">
        <v>92</v>
      </c>
      <c r="J1095" s="1" t="s">
        <v>93</v>
      </c>
      <c r="K1095" s="1" t="s">
        <v>28</v>
      </c>
      <c r="L1095">
        <v>3</v>
      </c>
      <c r="M1095">
        <v>1599</v>
      </c>
      <c r="N1095">
        <v>0.05</v>
      </c>
      <c r="O1095">
        <v>4557.1499999999996</v>
      </c>
      <c r="P1095">
        <v>900</v>
      </c>
      <c r="Q1095">
        <v>2700</v>
      </c>
      <c r="R1095">
        <v>0</v>
      </c>
      <c r="S1095">
        <v>1857.15</v>
      </c>
    </row>
    <row r="1096" spans="1:19" x14ac:dyDescent="0.3">
      <c r="A1096" s="1" t="s">
        <v>1588</v>
      </c>
      <c r="B1096" s="4">
        <v>45825</v>
      </c>
      <c r="C1096" s="1" t="s">
        <v>532</v>
      </c>
      <c r="D1096" s="1" t="s">
        <v>40</v>
      </c>
      <c r="E1096" s="1" t="s">
        <v>70</v>
      </c>
      <c r="F1096" s="1" t="s">
        <v>70</v>
      </c>
      <c r="G1096" s="1" t="s">
        <v>24</v>
      </c>
      <c r="H1096" s="1" t="s">
        <v>71</v>
      </c>
      <c r="I1096" s="1" t="s">
        <v>43</v>
      </c>
      <c r="J1096" s="1" t="s">
        <v>44</v>
      </c>
      <c r="K1096" s="1" t="s">
        <v>45</v>
      </c>
      <c r="L1096">
        <v>1</v>
      </c>
      <c r="M1096">
        <v>1799</v>
      </c>
      <c r="N1096">
        <v>0</v>
      </c>
      <c r="O1096">
        <v>1799</v>
      </c>
      <c r="P1096">
        <v>850</v>
      </c>
      <c r="Q1096">
        <v>850</v>
      </c>
      <c r="R1096">
        <v>0</v>
      </c>
      <c r="S1096">
        <v>949</v>
      </c>
    </row>
    <row r="1097" spans="1:19" x14ac:dyDescent="0.3">
      <c r="A1097" s="1" t="s">
        <v>1589</v>
      </c>
      <c r="B1097" s="4">
        <v>45825</v>
      </c>
      <c r="C1097" s="1" t="s">
        <v>190</v>
      </c>
      <c r="D1097" s="1" t="s">
        <v>48</v>
      </c>
      <c r="E1097" s="1" t="s">
        <v>112</v>
      </c>
      <c r="F1097" s="1" t="s">
        <v>113</v>
      </c>
      <c r="G1097" s="1" t="s">
        <v>42</v>
      </c>
      <c r="H1097" s="1" t="s">
        <v>34</v>
      </c>
      <c r="I1097" s="1" t="s">
        <v>76</v>
      </c>
      <c r="J1097" s="1" t="s">
        <v>77</v>
      </c>
      <c r="K1097" s="1" t="s">
        <v>37</v>
      </c>
      <c r="L1097">
        <v>2</v>
      </c>
      <c r="M1097">
        <v>6999</v>
      </c>
      <c r="N1097">
        <v>0.2</v>
      </c>
      <c r="O1097">
        <v>11198.4</v>
      </c>
      <c r="P1097">
        <v>4900</v>
      </c>
      <c r="Q1097">
        <v>9800</v>
      </c>
      <c r="R1097">
        <v>40</v>
      </c>
      <c r="S1097">
        <v>1358.4</v>
      </c>
    </row>
    <row r="1098" spans="1:19" x14ac:dyDescent="0.3">
      <c r="A1098" s="1" t="s">
        <v>1590</v>
      </c>
      <c r="B1098" s="4">
        <v>45825</v>
      </c>
      <c r="C1098" s="1" t="s">
        <v>1591</v>
      </c>
      <c r="D1098" s="1" t="s">
        <v>40</v>
      </c>
      <c r="E1098" s="1" t="s">
        <v>49</v>
      </c>
      <c r="F1098" s="1" t="s">
        <v>50</v>
      </c>
      <c r="G1098" s="1" t="s">
        <v>24</v>
      </c>
      <c r="H1098" s="1" t="s">
        <v>56</v>
      </c>
      <c r="I1098" s="1" t="s">
        <v>66</v>
      </c>
      <c r="J1098" s="1" t="s">
        <v>67</v>
      </c>
      <c r="K1098" s="1" t="s">
        <v>28</v>
      </c>
      <c r="L1098">
        <v>1</v>
      </c>
      <c r="M1098">
        <v>2499</v>
      </c>
      <c r="N1098">
        <v>0.2</v>
      </c>
      <c r="O1098">
        <v>1999.2</v>
      </c>
      <c r="P1098">
        <v>1450</v>
      </c>
      <c r="Q1098">
        <v>1450</v>
      </c>
      <c r="R1098">
        <v>60</v>
      </c>
      <c r="S1098">
        <v>489.2</v>
      </c>
    </row>
    <row r="1099" spans="1:19" x14ac:dyDescent="0.3">
      <c r="A1099" s="1" t="s">
        <v>1592</v>
      </c>
      <c r="B1099" s="4">
        <v>45825</v>
      </c>
      <c r="C1099" s="1" t="s">
        <v>341</v>
      </c>
      <c r="D1099" s="1" t="s">
        <v>48</v>
      </c>
      <c r="E1099" s="1" t="s">
        <v>49</v>
      </c>
      <c r="F1099" s="1" t="s">
        <v>50</v>
      </c>
      <c r="G1099" s="1" t="s">
        <v>33</v>
      </c>
      <c r="H1099" s="1" t="s">
        <v>71</v>
      </c>
      <c r="I1099" s="1" t="s">
        <v>59</v>
      </c>
      <c r="J1099" s="1" t="s">
        <v>60</v>
      </c>
      <c r="K1099" s="1" t="s">
        <v>61</v>
      </c>
      <c r="L1099">
        <v>2</v>
      </c>
      <c r="M1099">
        <v>999</v>
      </c>
      <c r="N1099">
        <v>0.05</v>
      </c>
      <c r="O1099">
        <v>1898.1</v>
      </c>
      <c r="P1099">
        <v>520</v>
      </c>
      <c r="Q1099">
        <v>1040</v>
      </c>
      <c r="R1099">
        <v>0</v>
      </c>
      <c r="S1099">
        <v>858.1</v>
      </c>
    </row>
    <row r="1100" spans="1:19" x14ac:dyDescent="0.3">
      <c r="A1100" s="1" t="s">
        <v>1593</v>
      </c>
      <c r="B1100" s="4">
        <v>45825</v>
      </c>
      <c r="C1100" s="1" t="s">
        <v>356</v>
      </c>
      <c r="D1100" s="1" t="s">
        <v>48</v>
      </c>
      <c r="E1100" s="1" t="s">
        <v>41</v>
      </c>
      <c r="F1100" s="1" t="s">
        <v>32</v>
      </c>
      <c r="G1100" s="1" t="s">
        <v>24</v>
      </c>
      <c r="H1100" s="1" t="s">
        <v>25</v>
      </c>
      <c r="I1100" s="1" t="s">
        <v>72</v>
      </c>
      <c r="J1100" s="1" t="s">
        <v>73</v>
      </c>
      <c r="K1100" s="1" t="s">
        <v>28</v>
      </c>
      <c r="L1100">
        <v>1</v>
      </c>
      <c r="M1100">
        <v>2199</v>
      </c>
      <c r="N1100">
        <v>0.1</v>
      </c>
      <c r="O1100">
        <v>1979.1</v>
      </c>
      <c r="P1100">
        <v>1250</v>
      </c>
      <c r="Q1100">
        <v>1250</v>
      </c>
      <c r="R1100">
        <v>40</v>
      </c>
      <c r="S1100">
        <v>689.1</v>
      </c>
    </row>
    <row r="1101" spans="1:19" x14ac:dyDescent="0.3">
      <c r="A1101" s="1" t="s">
        <v>1594</v>
      </c>
      <c r="B1101" s="4">
        <v>45825</v>
      </c>
      <c r="C1101" s="1" t="s">
        <v>1535</v>
      </c>
      <c r="D1101" s="1" t="s">
        <v>40</v>
      </c>
      <c r="E1101" s="1" t="s">
        <v>120</v>
      </c>
      <c r="F1101" s="1" t="s">
        <v>121</v>
      </c>
      <c r="G1101" s="1" t="s">
        <v>42</v>
      </c>
      <c r="H1101" s="1" t="s">
        <v>89</v>
      </c>
      <c r="I1101" s="1" t="s">
        <v>35</v>
      </c>
      <c r="J1101" s="1" t="s">
        <v>36</v>
      </c>
      <c r="K1101" s="1" t="s">
        <v>37</v>
      </c>
      <c r="L1101">
        <v>2</v>
      </c>
      <c r="M1101">
        <v>1299</v>
      </c>
      <c r="N1101">
        <v>0.2</v>
      </c>
      <c r="O1101">
        <v>2078.4</v>
      </c>
      <c r="P1101">
        <v>700</v>
      </c>
      <c r="Q1101">
        <v>1400</v>
      </c>
      <c r="R1101">
        <v>60</v>
      </c>
      <c r="S1101">
        <v>618.4</v>
      </c>
    </row>
    <row r="1102" spans="1:19" x14ac:dyDescent="0.3">
      <c r="A1102" s="1" t="s">
        <v>1595</v>
      </c>
      <c r="B1102" s="4">
        <v>45826</v>
      </c>
      <c r="C1102" s="1" t="s">
        <v>959</v>
      </c>
      <c r="D1102" s="1" t="s">
        <v>48</v>
      </c>
      <c r="E1102" s="1" t="s">
        <v>64</v>
      </c>
      <c r="F1102" s="1" t="s">
        <v>65</v>
      </c>
      <c r="G1102" s="1" t="s">
        <v>24</v>
      </c>
      <c r="H1102" s="1" t="s">
        <v>34</v>
      </c>
      <c r="I1102" s="1" t="s">
        <v>81</v>
      </c>
      <c r="J1102" s="1" t="s">
        <v>82</v>
      </c>
      <c r="K1102" s="1" t="s">
        <v>61</v>
      </c>
      <c r="L1102">
        <v>2</v>
      </c>
      <c r="M1102">
        <v>2999</v>
      </c>
      <c r="N1102">
        <v>0</v>
      </c>
      <c r="O1102">
        <v>5998</v>
      </c>
      <c r="P1102">
        <v>1750</v>
      </c>
      <c r="Q1102">
        <v>3500</v>
      </c>
      <c r="R1102">
        <v>40</v>
      </c>
      <c r="S1102">
        <v>2458</v>
      </c>
    </row>
    <row r="1103" spans="1:19" x14ac:dyDescent="0.3">
      <c r="A1103" s="1" t="s">
        <v>1596</v>
      </c>
      <c r="B1103" s="4">
        <v>45826</v>
      </c>
      <c r="C1103" s="1" t="s">
        <v>103</v>
      </c>
      <c r="D1103" s="1" t="s">
        <v>48</v>
      </c>
      <c r="E1103" s="1" t="s">
        <v>80</v>
      </c>
      <c r="F1103" s="1" t="s">
        <v>55</v>
      </c>
      <c r="G1103" s="1" t="s">
        <v>42</v>
      </c>
      <c r="H1103" s="1" t="s">
        <v>25</v>
      </c>
      <c r="I1103" s="1" t="s">
        <v>51</v>
      </c>
      <c r="J1103" s="1" t="s">
        <v>52</v>
      </c>
      <c r="K1103" s="1" t="s">
        <v>37</v>
      </c>
      <c r="L1103">
        <v>3</v>
      </c>
      <c r="M1103">
        <v>499</v>
      </c>
      <c r="N1103">
        <v>0.15</v>
      </c>
      <c r="O1103">
        <v>1272.45</v>
      </c>
      <c r="P1103">
        <v>180</v>
      </c>
      <c r="Q1103">
        <v>540</v>
      </c>
      <c r="R1103">
        <v>0</v>
      </c>
      <c r="S1103">
        <v>732.45</v>
      </c>
    </row>
    <row r="1104" spans="1:19" x14ac:dyDescent="0.3">
      <c r="A1104" s="1" t="s">
        <v>1597</v>
      </c>
      <c r="B1104" s="4">
        <v>45828</v>
      </c>
      <c r="C1104" s="1" t="s">
        <v>907</v>
      </c>
      <c r="D1104" s="1" t="s">
        <v>21</v>
      </c>
      <c r="E1104" s="1" t="s">
        <v>22</v>
      </c>
      <c r="F1104" s="1" t="s">
        <v>23</v>
      </c>
      <c r="G1104" s="1" t="s">
        <v>33</v>
      </c>
      <c r="H1104" s="1" t="s">
        <v>89</v>
      </c>
      <c r="I1104" s="1" t="s">
        <v>85</v>
      </c>
      <c r="J1104" s="1" t="s">
        <v>86</v>
      </c>
      <c r="K1104" s="1" t="s">
        <v>45</v>
      </c>
      <c r="L1104">
        <v>2</v>
      </c>
      <c r="M1104">
        <v>599</v>
      </c>
      <c r="N1104">
        <v>0.05</v>
      </c>
      <c r="O1104">
        <v>1138.0999999999999</v>
      </c>
      <c r="P1104">
        <v>240</v>
      </c>
      <c r="Q1104">
        <v>480</v>
      </c>
      <c r="R1104">
        <v>60</v>
      </c>
      <c r="S1104">
        <v>598.1</v>
      </c>
    </row>
    <row r="1105" spans="1:19" x14ac:dyDescent="0.3">
      <c r="A1105" s="1" t="s">
        <v>1598</v>
      </c>
      <c r="B1105" s="4">
        <v>45828</v>
      </c>
      <c r="C1105" s="1" t="s">
        <v>265</v>
      </c>
      <c r="D1105" s="1" t="s">
        <v>21</v>
      </c>
      <c r="E1105" s="1" t="s">
        <v>124</v>
      </c>
      <c r="F1105" s="1" t="s">
        <v>125</v>
      </c>
      <c r="G1105" s="1" t="s">
        <v>42</v>
      </c>
      <c r="H1105" s="1" t="s">
        <v>56</v>
      </c>
      <c r="I1105" s="1" t="s">
        <v>81</v>
      </c>
      <c r="J1105" s="1" t="s">
        <v>82</v>
      </c>
      <c r="K1105" s="1" t="s">
        <v>61</v>
      </c>
      <c r="L1105">
        <v>2</v>
      </c>
      <c r="M1105">
        <v>2999</v>
      </c>
      <c r="N1105">
        <v>0.2</v>
      </c>
      <c r="O1105">
        <v>4798.3999999999996</v>
      </c>
      <c r="P1105">
        <v>1750</v>
      </c>
      <c r="Q1105">
        <v>3500</v>
      </c>
      <c r="R1105">
        <v>40</v>
      </c>
      <c r="S1105">
        <v>1258.4000000000001</v>
      </c>
    </row>
    <row r="1106" spans="1:19" x14ac:dyDescent="0.3">
      <c r="A1106" s="1" t="s">
        <v>1599</v>
      </c>
      <c r="B1106" s="4">
        <v>45829</v>
      </c>
      <c r="C1106" s="1" t="s">
        <v>995</v>
      </c>
      <c r="D1106" s="1" t="s">
        <v>21</v>
      </c>
      <c r="E1106" s="1" t="s">
        <v>70</v>
      </c>
      <c r="F1106" s="1" t="s">
        <v>70</v>
      </c>
      <c r="G1106" s="1" t="s">
        <v>42</v>
      </c>
      <c r="H1106" s="1" t="s">
        <v>56</v>
      </c>
      <c r="I1106" s="1" t="s">
        <v>59</v>
      </c>
      <c r="J1106" s="1" t="s">
        <v>60</v>
      </c>
      <c r="K1106" s="1" t="s">
        <v>61</v>
      </c>
      <c r="L1106">
        <v>2</v>
      </c>
      <c r="M1106">
        <v>999</v>
      </c>
      <c r="N1106">
        <v>0.2</v>
      </c>
      <c r="O1106">
        <v>1598.4</v>
      </c>
      <c r="P1106">
        <v>520</v>
      </c>
      <c r="Q1106">
        <v>1040</v>
      </c>
      <c r="R1106">
        <v>80</v>
      </c>
      <c r="S1106">
        <v>478.4</v>
      </c>
    </row>
    <row r="1107" spans="1:19" x14ac:dyDescent="0.3">
      <c r="A1107" s="1" t="s">
        <v>1600</v>
      </c>
      <c r="B1107" s="4">
        <v>45829</v>
      </c>
      <c r="C1107" s="1" t="s">
        <v>111</v>
      </c>
      <c r="D1107" s="1" t="s">
        <v>40</v>
      </c>
      <c r="E1107" s="1" t="s">
        <v>22</v>
      </c>
      <c r="F1107" s="1" t="s">
        <v>23</v>
      </c>
      <c r="G1107" s="1" t="s">
        <v>24</v>
      </c>
      <c r="H1107" s="1" t="s">
        <v>34</v>
      </c>
      <c r="I1107" s="1" t="s">
        <v>81</v>
      </c>
      <c r="J1107" s="1" t="s">
        <v>82</v>
      </c>
      <c r="K1107" s="1" t="s">
        <v>61</v>
      </c>
      <c r="L1107">
        <v>2</v>
      </c>
      <c r="M1107">
        <v>2999</v>
      </c>
      <c r="N1107">
        <v>0.1</v>
      </c>
      <c r="O1107">
        <v>5398.2</v>
      </c>
      <c r="P1107">
        <v>1750</v>
      </c>
      <c r="Q1107">
        <v>3500</v>
      </c>
      <c r="R1107">
        <v>40</v>
      </c>
      <c r="S1107">
        <v>1858.2</v>
      </c>
    </row>
    <row r="1108" spans="1:19" x14ac:dyDescent="0.3">
      <c r="A1108" s="1" t="s">
        <v>1601</v>
      </c>
      <c r="B1108" s="4">
        <v>45830</v>
      </c>
      <c r="C1108" s="1" t="s">
        <v>1061</v>
      </c>
      <c r="D1108" s="1" t="s">
        <v>48</v>
      </c>
      <c r="E1108" s="1" t="s">
        <v>80</v>
      </c>
      <c r="F1108" s="1" t="s">
        <v>55</v>
      </c>
      <c r="G1108" s="1" t="s">
        <v>42</v>
      </c>
      <c r="H1108" s="1" t="s">
        <v>56</v>
      </c>
      <c r="I1108" s="1" t="s">
        <v>59</v>
      </c>
      <c r="J1108" s="1" t="s">
        <v>60</v>
      </c>
      <c r="K1108" s="1" t="s">
        <v>61</v>
      </c>
      <c r="L1108">
        <v>3</v>
      </c>
      <c r="M1108">
        <v>999</v>
      </c>
      <c r="N1108">
        <v>0.1</v>
      </c>
      <c r="O1108">
        <v>2697.3</v>
      </c>
      <c r="P1108">
        <v>520</v>
      </c>
      <c r="Q1108">
        <v>1560</v>
      </c>
      <c r="R1108">
        <v>80</v>
      </c>
      <c r="S1108">
        <v>1057.3</v>
      </c>
    </row>
    <row r="1109" spans="1:19" x14ac:dyDescent="0.3">
      <c r="A1109" s="1" t="s">
        <v>1602</v>
      </c>
      <c r="B1109" s="4">
        <v>45830</v>
      </c>
      <c r="C1109" s="1" t="s">
        <v>654</v>
      </c>
      <c r="D1109" s="1" t="s">
        <v>40</v>
      </c>
      <c r="E1109" s="1" t="s">
        <v>64</v>
      </c>
      <c r="F1109" s="1" t="s">
        <v>65</v>
      </c>
      <c r="G1109" s="1" t="s">
        <v>24</v>
      </c>
      <c r="H1109" s="1" t="s">
        <v>25</v>
      </c>
      <c r="I1109" s="1" t="s">
        <v>81</v>
      </c>
      <c r="J1109" s="1" t="s">
        <v>82</v>
      </c>
      <c r="K1109" s="1" t="s">
        <v>61</v>
      </c>
      <c r="L1109">
        <v>4</v>
      </c>
      <c r="M1109">
        <v>2999</v>
      </c>
      <c r="N1109">
        <v>0.1</v>
      </c>
      <c r="O1109">
        <v>10796.4</v>
      </c>
      <c r="P1109">
        <v>1750</v>
      </c>
      <c r="Q1109">
        <v>7000</v>
      </c>
      <c r="R1109">
        <v>80</v>
      </c>
      <c r="S1109">
        <v>3716.4</v>
      </c>
    </row>
    <row r="1110" spans="1:19" x14ac:dyDescent="0.3">
      <c r="A1110" s="1" t="s">
        <v>1603</v>
      </c>
      <c r="B1110" s="4">
        <v>45831</v>
      </c>
      <c r="C1110" s="1" t="s">
        <v>1553</v>
      </c>
      <c r="D1110" s="1" t="s">
        <v>40</v>
      </c>
      <c r="E1110" s="1" t="s">
        <v>64</v>
      </c>
      <c r="F1110" s="1" t="s">
        <v>65</v>
      </c>
      <c r="G1110" s="1" t="s">
        <v>33</v>
      </c>
      <c r="H1110" s="1" t="s">
        <v>71</v>
      </c>
      <c r="I1110" s="1" t="s">
        <v>76</v>
      </c>
      <c r="J1110" s="1" t="s">
        <v>77</v>
      </c>
      <c r="K1110" s="1" t="s">
        <v>37</v>
      </c>
      <c r="L1110">
        <v>2</v>
      </c>
      <c r="M1110">
        <v>6999</v>
      </c>
      <c r="N1110">
        <v>0</v>
      </c>
      <c r="O1110">
        <v>13998</v>
      </c>
      <c r="P1110">
        <v>4900</v>
      </c>
      <c r="Q1110">
        <v>9800</v>
      </c>
      <c r="R1110">
        <v>60</v>
      </c>
      <c r="S1110">
        <v>4138</v>
      </c>
    </row>
    <row r="1111" spans="1:19" x14ac:dyDescent="0.3">
      <c r="A1111" s="1" t="s">
        <v>1604</v>
      </c>
      <c r="B1111" s="4">
        <v>45831</v>
      </c>
      <c r="C1111" s="1" t="s">
        <v>796</v>
      </c>
      <c r="D1111" s="1" t="s">
        <v>40</v>
      </c>
      <c r="E1111" s="1" t="s">
        <v>80</v>
      </c>
      <c r="F1111" s="1" t="s">
        <v>55</v>
      </c>
      <c r="G1111" s="1" t="s">
        <v>42</v>
      </c>
      <c r="H1111" s="1" t="s">
        <v>56</v>
      </c>
      <c r="I1111" s="1" t="s">
        <v>134</v>
      </c>
      <c r="J1111" s="1" t="s">
        <v>135</v>
      </c>
      <c r="K1111" s="1" t="s">
        <v>136</v>
      </c>
      <c r="L1111">
        <v>4</v>
      </c>
      <c r="M1111">
        <v>299</v>
      </c>
      <c r="N1111">
        <v>0.2</v>
      </c>
      <c r="O1111">
        <v>956.8</v>
      </c>
      <c r="P1111">
        <v>110</v>
      </c>
      <c r="Q1111">
        <v>440</v>
      </c>
      <c r="R1111">
        <v>0</v>
      </c>
      <c r="S1111">
        <v>516.79999999999995</v>
      </c>
    </row>
    <row r="1112" spans="1:19" x14ac:dyDescent="0.3">
      <c r="A1112" s="1" t="s">
        <v>1605</v>
      </c>
      <c r="B1112" s="4">
        <v>45831</v>
      </c>
      <c r="C1112" s="1" t="s">
        <v>506</v>
      </c>
      <c r="D1112" s="1" t="s">
        <v>21</v>
      </c>
      <c r="E1112" s="1" t="s">
        <v>70</v>
      </c>
      <c r="F1112" s="1" t="s">
        <v>70</v>
      </c>
      <c r="G1112" s="1" t="s">
        <v>42</v>
      </c>
      <c r="H1112" s="1" t="s">
        <v>56</v>
      </c>
      <c r="I1112" s="1" t="s">
        <v>66</v>
      </c>
      <c r="J1112" s="1" t="s">
        <v>67</v>
      </c>
      <c r="K1112" s="1" t="s">
        <v>28</v>
      </c>
      <c r="L1112">
        <v>2</v>
      </c>
      <c r="M1112">
        <v>2499</v>
      </c>
      <c r="N1112">
        <v>0.1</v>
      </c>
      <c r="O1112">
        <v>4498.2</v>
      </c>
      <c r="P1112">
        <v>1450</v>
      </c>
      <c r="Q1112">
        <v>2900</v>
      </c>
      <c r="R1112">
        <v>0</v>
      </c>
      <c r="S1112">
        <v>1598.2</v>
      </c>
    </row>
    <row r="1113" spans="1:19" x14ac:dyDescent="0.3">
      <c r="A1113" s="1" t="s">
        <v>1606</v>
      </c>
      <c r="B1113" s="4">
        <v>45831</v>
      </c>
      <c r="C1113" s="1" t="s">
        <v>111</v>
      </c>
      <c r="D1113" s="1" t="s">
        <v>40</v>
      </c>
      <c r="E1113" s="1" t="s">
        <v>31</v>
      </c>
      <c r="F1113" s="1" t="s">
        <v>32</v>
      </c>
      <c r="G1113" s="1" t="s">
        <v>42</v>
      </c>
      <c r="H1113" s="1" t="s">
        <v>56</v>
      </c>
      <c r="I1113" s="1" t="s">
        <v>26</v>
      </c>
      <c r="J1113" s="1" t="s">
        <v>27</v>
      </c>
      <c r="K1113" s="1" t="s">
        <v>28</v>
      </c>
      <c r="L1113">
        <v>2</v>
      </c>
      <c r="M1113">
        <v>799</v>
      </c>
      <c r="N1113">
        <v>0.15</v>
      </c>
      <c r="O1113">
        <v>1358.3</v>
      </c>
      <c r="P1113">
        <v>420</v>
      </c>
      <c r="Q1113">
        <v>840</v>
      </c>
      <c r="R1113">
        <v>40</v>
      </c>
      <c r="S1113">
        <v>478.3</v>
      </c>
    </row>
    <row r="1114" spans="1:19" x14ac:dyDescent="0.3">
      <c r="A1114" s="1" t="s">
        <v>1607</v>
      </c>
      <c r="B1114" s="4">
        <v>45832</v>
      </c>
      <c r="C1114" s="1" t="s">
        <v>138</v>
      </c>
      <c r="D1114" s="1" t="s">
        <v>48</v>
      </c>
      <c r="E1114" s="1" t="s">
        <v>96</v>
      </c>
      <c r="F1114" s="1" t="s">
        <v>97</v>
      </c>
      <c r="G1114" s="1" t="s">
        <v>33</v>
      </c>
      <c r="H1114" s="1" t="s">
        <v>25</v>
      </c>
      <c r="I1114" s="1" t="s">
        <v>72</v>
      </c>
      <c r="J1114" s="1" t="s">
        <v>73</v>
      </c>
      <c r="K1114" s="1" t="s">
        <v>28</v>
      </c>
      <c r="L1114">
        <v>1</v>
      </c>
      <c r="M1114">
        <v>2199</v>
      </c>
      <c r="N1114">
        <v>0.2</v>
      </c>
      <c r="O1114">
        <v>1759.2</v>
      </c>
      <c r="P1114">
        <v>1250</v>
      </c>
      <c r="Q1114">
        <v>1250</v>
      </c>
      <c r="R1114">
        <v>40</v>
      </c>
      <c r="S1114">
        <v>469.2</v>
      </c>
    </row>
    <row r="1115" spans="1:19" x14ac:dyDescent="0.3">
      <c r="A1115" s="1" t="s">
        <v>1608</v>
      </c>
      <c r="B1115" s="4">
        <v>45832</v>
      </c>
      <c r="C1115" s="1" t="s">
        <v>628</v>
      </c>
      <c r="D1115" s="1" t="s">
        <v>21</v>
      </c>
      <c r="E1115" s="1" t="s">
        <v>70</v>
      </c>
      <c r="F1115" s="1" t="s">
        <v>70</v>
      </c>
      <c r="G1115" s="1" t="s">
        <v>42</v>
      </c>
      <c r="H1115" s="1" t="s">
        <v>34</v>
      </c>
      <c r="I1115" s="1" t="s">
        <v>59</v>
      </c>
      <c r="J1115" s="1" t="s">
        <v>60</v>
      </c>
      <c r="K1115" s="1" t="s">
        <v>61</v>
      </c>
      <c r="L1115">
        <v>5</v>
      </c>
      <c r="M1115">
        <v>999</v>
      </c>
      <c r="N1115">
        <v>0</v>
      </c>
      <c r="O1115">
        <v>4995</v>
      </c>
      <c r="P1115">
        <v>520</v>
      </c>
      <c r="Q1115">
        <v>2600</v>
      </c>
      <c r="R1115">
        <v>100</v>
      </c>
      <c r="S1115">
        <v>2295</v>
      </c>
    </row>
    <row r="1116" spans="1:19" x14ac:dyDescent="0.3">
      <c r="A1116" s="1" t="s">
        <v>1609</v>
      </c>
      <c r="B1116" s="4">
        <v>45833</v>
      </c>
      <c r="C1116" s="1" t="s">
        <v>665</v>
      </c>
      <c r="D1116" s="1" t="s">
        <v>21</v>
      </c>
      <c r="E1116" s="1" t="s">
        <v>49</v>
      </c>
      <c r="F1116" s="1" t="s">
        <v>50</v>
      </c>
      <c r="G1116" s="1" t="s">
        <v>42</v>
      </c>
      <c r="H1116" s="1" t="s">
        <v>25</v>
      </c>
      <c r="I1116" s="1" t="s">
        <v>134</v>
      </c>
      <c r="J1116" s="1" t="s">
        <v>135</v>
      </c>
      <c r="K1116" s="1" t="s">
        <v>136</v>
      </c>
      <c r="L1116">
        <v>1</v>
      </c>
      <c r="M1116">
        <v>299</v>
      </c>
      <c r="N1116">
        <v>0.2</v>
      </c>
      <c r="O1116">
        <v>239.2</v>
      </c>
      <c r="P1116">
        <v>110</v>
      </c>
      <c r="Q1116">
        <v>110</v>
      </c>
      <c r="R1116">
        <v>60</v>
      </c>
      <c r="S1116">
        <v>69.2</v>
      </c>
    </row>
    <row r="1117" spans="1:19" x14ac:dyDescent="0.3">
      <c r="A1117" s="1" t="s">
        <v>1610</v>
      </c>
      <c r="B1117" s="4">
        <v>45834</v>
      </c>
      <c r="C1117" s="1" t="s">
        <v>1474</v>
      </c>
      <c r="D1117" s="1" t="s">
        <v>21</v>
      </c>
      <c r="E1117" s="1" t="s">
        <v>112</v>
      </c>
      <c r="F1117" s="1" t="s">
        <v>113</v>
      </c>
      <c r="G1117" s="1" t="s">
        <v>24</v>
      </c>
      <c r="H1117" s="1" t="s">
        <v>71</v>
      </c>
      <c r="I1117" s="1" t="s">
        <v>59</v>
      </c>
      <c r="J1117" s="1" t="s">
        <v>60</v>
      </c>
      <c r="K1117" s="1" t="s">
        <v>61</v>
      </c>
      <c r="L1117">
        <v>3</v>
      </c>
      <c r="M1117">
        <v>999</v>
      </c>
      <c r="N1117">
        <v>0</v>
      </c>
      <c r="O1117">
        <v>2997</v>
      </c>
      <c r="P1117">
        <v>520</v>
      </c>
      <c r="Q1117">
        <v>1560</v>
      </c>
      <c r="R1117">
        <v>80</v>
      </c>
      <c r="S1117">
        <v>1357</v>
      </c>
    </row>
    <row r="1118" spans="1:19" x14ac:dyDescent="0.3">
      <c r="A1118" s="1" t="s">
        <v>1611</v>
      </c>
      <c r="B1118" s="4">
        <v>45834</v>
      </c>
      <c r="C1118" s="1" t="s">
        <v>1239</v>
      </c>
      <c r="D1118" s="1" t="s">
        <v>40</v>
      </c>
      <c r="E1118" s="1" t="s">
        <v>41</v>
      </c>
      <c r="F1118" s="1" t="s">
        <v>32</v>
      </c>
      <c r="G1118" s="1" t="s">
        <v>24</v>
      </c>
      <c r="H1118" s="1" t="s">
        <v>56</v>
      </c>
      <c r="I1118" s="1" t="s">
        <v>76</v>
      </c>
      <c r="J1118" s="1" t="s">
        <v>77</v>
      </c>
      <c r="K1118" s="1" t="s">
        <v>37</v>
      </c>
      <c r="L1118">
        <v>4</v>
      </c>
      <c r="M1118">
        <v>6999</v>
      </c>
      <c r="N1118">
        <v>0.15</v>
      </c>
      <c r="O1118">
        <v>23796.6</v>
      </c>
      <c r="P1118">
        <v>4900</v>
      </c>
      <c r="Q1118">
        <v>19600</v>
      </c>
      <c r="R1118">
        <v>40</v>
      </c>
      <c r="S1118">
        <v>4156.6000000000004</v>
      </c>
    </row>
    <row r="1119" spans="1:19" x14ac:dyDescent="0.3">
      <c r="A1119" s="1" t="s">
        <v>1612</v>
      </c>
      <c r="B1119" s="4">
        <v>45835</v>
      </c>
      <c r="C1119" s="1" t="s">
        <v>654</v>
      </c>
      <c r="D1119" s="1" t="s">
        <v>40</v>
      </c>
      <c r="E1119" s="1" t="s">
        <v>120</v>
      </c>
      <c r="F1119" s="1" t="s">
        <v>121</v>
      </c>
      <c r="G1119" s="1" t="s">
        <v>24</v>
      </c>
      <c r="H1119" s="1" t="s">
        <v>25</v>
      </c>
      <c r="I1119" s="1" t="s">
        <v>26</v>
      </c>
      <c r="J1119" s="1" t="s">
        <v>27</v>
      </c>
      <c r="K1119" s="1" t="s">
        <v>28</v>
      </c>
      <c r="L1119">
        <v>1</v>
      </c>
      <c r="M1119">
        <v>799</v>
      </c>
      <c r="N1119">
        <v>0.05</v>
      </c>
      <c r="O1119">
        <v>759.05</v>
      </c>
      <c r="P1119">
        <v>420</v>
      </c>
      <c r="Q1119">
        <v>420</v>
      </c>
      <c r="R1119">
        <v>100</v>
      </c>
      <c r="S1119">
        <v>239.05</v>
      </c>
    </row>
    <row r="1120" spans="1:19" x14ac:dyDescent="0.3">
      <c r="A1120" s="1" t="s">
        <v>1613</v>
      </c>
      <c r="B1120" s="4">
        <v>45836</v>
      </c>
      <c r="C1120" s="1" t="s">
        <v>681</v>
      </c>
      <c r="D1120" s="1" t="s">
        <v>48</v>
      </c>
      <c r="E1120" s="1" t="s">
        <v>96</v>
      </c>
      <c r="F1120" s="1" t="s">
        <v>97</v>
      </c>
      <c r="G1120" s="1" t="s">
        <v>33</v>
      </c>
      <c r="H1120" s="1" t="s">
        <v>25</v>
      </c>
      <c r="I1120" s="1" t="s">
        <v>85</v>
      </c>
      <c r="J1120" s="1" t="s">
        <v>86</v>
      </c>
      <c r="K1120" s="1" t="s">
        <v>45</v>
      </c>
      <c r="L1120">
        <v>1</v>
      </c>
      <c r="M1120">
        <v>599</v>
      </c>
      <c r="N1120">
        <v>0</v>
      </c>
      <c r="O1120">
        <v>599</v>
      </c>
      <c r="P1120">
        <v>240</v>
      </c>
      <c r="Q1120">
        <v>240</v>
      </c>
      <c r="R1120">
        <v>100</v>
      </c>
      <c r="S1120">
        <v>259</v>
      </c>
    </row>
    <row r="1121" spans="1:19" x14ac:dyDescent="0.3">
      <c r="A1121" s="1" t="s">
        <v>1614</v>
      </c>
      <c r="B1121" s="4">
        <v>45837</v>
      </c>
      <c r="C1121" s="1" t="s">
        <v>1615</v>
      </c>
      <c r="D1121" s="1" t="s">
        <v>40</v>
      </c>
      <c r="E1121" s="1" t="s">
        <v>22</v>
      </c>
      <c r="F1121" s="1" t="s">
        <v>23</v>
      </c>
      <c r="G1121" s="1" t="s">
        <v>33</v>
      </c>
      <c r="H1121" s="1" t="s">
        <v>25</v>
      </c>
      <c r="I1121" s="1" t="s">
        <v>81</v>
      </c>
      <c r="J1121" s="1" t="s">
        <v>82</v>
      </c>
      <c r="K1121" s="1" t="s">
        <v>61</v>
      </c>
      <c r="L1121">
        <v>3</v>
      </c>
      <c r="M1121">
        <v>2999</v>
      </c>
      <c r="N1121">
        <v>0.2</v>
      </c>
      <c r="O1121">
        <v>7197.6</v>
      </c>
      <c r="P1121">
        <v>1750</v>
      </c>
      <c r="Q1121">
        <v>5250</v>
      </c>
      <c r="R1121">
        <v>0</v>
      </c>
      <c r="S1121">
        <v>1947.6</v>
      </c>
    </row>
    <row r="1122" spans="1:19" x14ac:dyDescent="0.3">
      <c r="A1122" s="1" t="s">
        <v>1616</v>
      </c>
      <c r="B1122" s="4">
        <v>45837</v>
      </c>
      <c r="C1122" s="1" t="s">
        <v>1025</v>
      </c>
      <c r="D1122" s="1" t="s">
        <v>40</v>
      </c>
      <c r="E1122" s="1" t="s">
        <v>112</v>
      </c>
      <c r="F1122" s="1" t="s">
        <v>113</v>
      </c>
      <c r="G1122" s="1" t="s">
        <v>42</v>
      </c>
      <c r="H1122" s="1" t="s">
        <v>89</v>
      </c>
      <c r="I1122" s="1" t="s">
        <v>59</v>
      </c>
      <c r="J1122" s="1" t="s">
        <v>60</v>
      </c>
      <c r="K1122" s="1" t="s">
        <v>61</v>
      </c>
      <c r="L1122">
        <v>2</v>
      </c>
      <c r="M1122">
        <v>999</v>
      </c>
      <c r="N1122">
        <v>0.05</v>
      </c>
      <c r="O1122">
        <v>1898.1</v>
      </c>
      <c r="P1122">
        <v>520</v>
      </c>
      <c r="Q1122">
        <v>1040</v>
      </c>
      <c r="R1122">
        <v>100</v>
      </c>
      <c r="S1122">
        <v>758.1</v>
      </c>
    </row>
    <row r="1123" spans="1:19" x14ac:dyDescent="0.3">
      <c r="A1123" s="1" t="s">
        <v>1617</v>
      </c>
      <c r="B1123" s="4">
        <v>45838</v>
      </c>
      <c r="C1123" s="1" t="s">
        <v>1618</v>
      </c>
      <c r="D1123" s="1" t="s">
        <v>21</v>
      </c>
      <c r="E1123" s="1" t="s">
        <v>120</v>
      </c>
      <c r="F1123" s="1" t="s">
        <v>121</v>
      </c>
      <c r="G1123" s="1" t="s">
        <v>42</v>
      </c>
      <c r="H1123" s="1" t="s">
        <v>34</v>
      </c>
      <c r="I1123" s="1" t="s">
        <v>76</v>
      </c>
      <c r="J1123" s="1" t="s">
        <v>77</v>
      </c>
      <c r="K1123" s="1" t="s">
        <v>37</v>
      </c>
      <c r="L1123">
        <v>1</v>
      </c>
      <c r="M1123">
        <v>6999</v>
      </c>
      <c r="N1123">
        <v>0.05</v>
      </c>
      <c r="O1123">
        <v>6649.05</v>
      </c>
      <c r="P1123">
        <v>4900</v>
      </c>
      <c r="Q1123">
        <v>4900</v>
      </c>
      <c r="R1123">
        <v>60</v>
      </c>
      <c r="S1123">
        <v>1689.05</v>
      </c>
    </row>
    <row r="1124" spans="1:19" x14ac:dyDescent="0.3">
      <c r="A1124" s="1" t="s">
        <v>1619</v>
      </c>
      <c r="B1124" s="4">
        <v>45838</v>
      </c>
      <c r="C1124" s="1" t="s">
        <v>133</v>
      </c>
      <c r="D1124" s="1" t="s">
        <v>40</v>
      </c>
      <c r="E1124" s="1" t="s">
        <v>80</v>
      </c>
      <c r="F1124" s="1" t="s">
        <v>55</v>
      </c>
      <c r="G1124" s="1" t="s">
        <v>33</v>
      </c>
      <c r="H1124" s="1" t="s">
        <v>71</v>
      </c>
      <c r="I1124" s="1" t="s">
        <v>85</v>
      </c>
      <c r="J1124" s="1" t="s">
        <v>86</v>
      </c>
      <c r="K1124" s="1" t="s">
        <v>45</v>
      </c>
      <c r="L1124">
        <v>1</v>
      </c>
      <c r="M1124">
        <v>599</v>
      </c>
      <c r="N1124">
        <v>0.2</v>
      </c>
      <c r="O1124">
        <v>479.2</v>
      </c>
      <c r="P1124">
        <v>240</v>
      </c>
      <c r="Q1124">
        <v>240</v>
      </c>
      <c r="R1124">
        <v>0</v>
      </c>
      <c r="S1124">
        <v>239.2</v>
      </c>
    </row>
    <row r="1125" spans="1:19" x14ac:dyDescent="0.3">
      <c r="A1125" s="1" t="s">
        <v>1620</v>
      </c>
      <c r="B1125" s="4">
        <v>45838</v>
      </c>
      <c r="C1125" s="1" t="s">
        <v>489</v>
      </c>
      <c r="D1125" s="1" t="s">
        <v>48</v>
      </c>
      <c r="E1125" s="1" t="s">
        <v>22</v>
      </c>
      <c r="F1125" s="1" t="s">
        <v>23</v>
      </c>
      <c r="G1125" s="1" t="s">
        <v>42</v>
      </c>
      <c r="H1125" s="1" t="s">
        <v>34</v>
      </c>
      <c r="I1125" s="1" t="s">
        <v>72</v>
      </c>
      <c r="J1125" s="1" t="s">
        <v>73</v>
      </c>
      <c r="K1125" s="1" t="s">
        <v>28</v>
      </c>
      <c r="L1125">
        <v>1</v>
      </c>
      <c r="M1125">
        <v>2199</v>
      </c>
      <c r="N1125">
        <v>0.1</v>
      </c>
      <c r="O1125">
        <v>1979.1</v>
      </c>
      <c r="P1125">
        <v>1250</v>
      </c>
      <c r="Q1125">
        <v>1250</v>
      </c>
      <c r="R1125">
        <v>60</v>
      </c>
      <c r="S1125">
        <v>669.1</v>
      </c>
    </row>
    <row r="1126" spans="1:19" x14ac:dyDescent="0.3">
      <c r="A1126" s="1" t="s">
        <v>1621</v>
      </c>
      <c r="B1126" s="4">
        <v>45838</v>
      </c>
      <c r="C1126" s="1" t="s">
        <v>79</v>
      </c>
      <c r="D1126" s="1" t="s">
        <v>40</v>
      </c>
      <c r="E1126" s="1" t="s">
        <v>120</v>
      </c>
      <c r="F1126" s="1" t="s">
        <v>121</v>
      </c>
      <c r="G1126" s="1" t="s">
        <v>24</v>
      </c>
      <c r="H1126" s="1" t="s">
        <v>25</v>
      </c>
      <c r="I1126" s="1" t="s">
        <v>51</v>
      </c>
      <c r="J1126" s="1" t="s">
        <v>52</v>
      </c>
      <c r="K1126" s="1" t="s">
        <v>37</v>
      </c>
      <c r="L1126">
        <v>3</v>
      </c>
      <c r="M1126">
        <v>499</v>
      </c>
      <c r="N1126">
        <v>0</v>
      </c>
      <c r="O1126">
        <v>1497</v>
      </c>
      <c r="P1126">
        <v>180</v>
      </c>
      <c r="Q1126">
        <v>540</v>
      </c>
      <c r="R1126">
        <v>60</v>
      </c>
      <c r="S1126">
        <v>897</v>
      </c>
    </row>
    <row r="1127" spans="1:19" x14ac:dyDescent="0.3">
      <c r="A1127" s="1" t="s">
        <v>1622</v>
      </c>
      <c r="B1127" s="4">
        <v>45839</v>
      </c>
      <c r="C1127" s="1" t="s">
        <v>323</v>
      </c>
      <c r="D1127" s="1" t="s">
        <v>21</v>
      </c>
      <c r="E1127" s="1" t="s">
        <v>120</v>
      </c>
      <c r="F1127" s="1" t="s">
        <v>121</v>
      </c>
      <c r="G1127" s="1" t="s">
        <v>24</v>
      </c>
      <c r="H1127" s="1" t="s">
        <v>89</v>
      </c>
      <c r="I1127" s="1" t="s">
        <v>85</v>
      </c>
      <c r="J1127" s="1" t="s">
        <v>86</v>
      </c>
      <c r="K1127" s="1" t="s">
        <v>45</v>
      </c>
      <c r="L1127">
        <v>4</v>
      </c>
      <c r="M1127">
        <v>599</v>
      </c>
      <c r="N1127">
        <v>0.2</v>
      </c>
      <c r="O1127">
        <v>1916.8</v>
      </c>
      <c r="P1127">
        <v>240</v>
      </c>
      <c r="Q1127">
        <v>960</v>
      </c>
      <c r="R1127">
        <v>80</v>
      </c>
      <c r="S1127">
        <v>876.8</v>
      </c>
    </row>
    <row r="1128" spans="1:19" x14ac:dyDescent="0.3">
      <c r="A1128" s="1" t="s">
        <v>1623</v>
      </c>
      <c r="B1128" s="4">
        <v>45840</v>
      </c>
      <c r="C1128" s="1" t="s">
        <v>796</v>
      </c>
      <c r="D1128" s="1" t="s">
        <v>21</v>
      </c>
      <c r="E1128" s="1" t="s">
        <v>96</v>
      </c>
      <c r="F1128" s="1" t="s">
        <v>97</v>
      </c>
      <c r="G1128" s="1" t="s">
        <v>33</v>
      </c>
      <c r="H1128" s="1" t="s">
        <v>25</v>
      </c>
      <c r="I1128" s="1" t="s">
        <v>26</v>
      </c>
      <c r="J1128" s="1" t="s">
        <v>27</v>
      </c>
      <c r="K1128" s="1" t="s">
        <v>28</v>
      </c>
      <c r="L1128">
        <v>2</v>
      </c>
      <c r="M1128">
        <v>799</v>
      </c>
      <c r="N1128">
        <v>0.15</v>
      </c>
      <c r="O1128">
        <v>1358.3</v>
      </c>
      <c r="P1128">
        <v>420</v>
      </c>
      <c r="Q1128">
        <v>840</v>
      </c>
      <c r="R1128">
        <v>40</v>
      </c>
      <c r="S1128">
        <v>478.3</v>
      </c>
    </row>
    <row r="1129" spans="1:19" x14ac:dyDescent="0.3">
      <c r="A1129" s="1" t="s">
        <v>1624</v>
      </c>
      <c r="B1129" s="4">
        <v>45840</v>
      </c>
      <c r="C1129" s="1" t="s">
        <v>603</v>
      </c>
      <c r="D1129" s="1" t="s">
        <v>40</v>
      </c>
      <c r="E1129" s="1" t="s">
        <v>31</v>
      </c>
      <c r="F1129" s="1" t="s">
        <v>32</v>
      </c>
      <c r="G1129" s="1" t="s">
        <v>24</v>
      </c>
      <c r="H1129" s="1" t="s">
        <v>25</v>
      </c>
      <c r="I1129" s="1" t="s">
        <v>51</v>
      </c>
      <c r="J1129" s="1" t="s">
        <v>52</v>
      </c>
      <c r="K1129" s="1" t="s">
        <v>37</v>
      </c>
      <c r="L1129">
        <v>1</v>
      </c>
      <c r="M1129">
        <v>499</v>
      </c>
      <c r="N1129">
        <v>0</v>
      </c>
      <c r="O1129">
        <v>499</v>
      </c>
      <c r="P1129">
        <v>180</v>
      </c>
      <c r="Q1129">
        <v>180</v>
      </c>
      <c r="R1129">
        <v>60</v>
      </c>
      <c r="S1129">
        <v>259</v>
      </c>
    </row>
    <row r="1130" spans="1:19" x14ac:dyDescent="0.3">
      <c r="A1130" s="1" t="s">
        <v>1625</v>
      </c>
      <c r="B1130" s="4">
        <v>45841</v>
      </c>
      <c r="C1130" s="1" t="s">
        <v>686</v>
      </c>
      <c r="D1130" s="1" t="s">
        <v>48</v>
      </c>
      <c r="E1130" s="1" t="s">
        <v>120</v>
      </c>
      <c r="F1130" s="1" t="s">
        <v>121</v>
      </c>
      <c r="G1130" s="1" t="s">
        <v>24</v>
      </c>
      <c r="H1130" s="1" t="s">
        <v>71</v>
      </c>
      <c r="I1130" s="1" t="s">
        <v>66</v>
      </c>
      <c r="J1130" s="1" t="s">
        <v>67</v>
      </c>
      <c r="K1130" s="1" t="s">
        <v>28</v>
      </c>
      <c r="L1130">
        <v>5</v>
      </c>
      <c r="M1130">
        <v>2499</v>
      </c>
      <c r="N1130">
        <v>0.1</v>
      </c>
      <c r="O1130">
        <v>11245.5</v>
      </c>
      <c r="P1130">
        <v>1450</v>
      </c>
      <c r="Q1130">
        <v>7250</v>
      </c>
      <c r="R1130">
        <v>0</v>
      </c>
      <c r="S1130">
        <v>3995.5</v>
      </c>
    </row>
    <row r="1131" spans="1:19" x14ac:dyDescent="0.3">
      <c r="A1131" s="1" t="s">
        <v>1626</v>
      </c>
      <c r="B1131" s="4">
        <v>45842</v>
      </c>
      <c r="C1131" s="1" t="s">
        <v>144</v>
      </c>
      <c r="D1131" s="1" t="s">
        <v>40</v>
      </c>
      <c r="E1131" s="1" t="s">
        <v>54</v>
      </c>
      <c r="F1131" s="1" t="s">
        <v>55</v>
      </c>
      <c r="G1131" s="1" t="s">
        <v>33</v>
      </c>
      <c r="H1131" s="1" t="s">
        <v>34</v>
      </c>
      <c r="I1131" s="1" t="s">
        <v>59</v>
      </c>
      <c r="J1131" s="1" t="s">
        <v>60</v>
      </c>
      <c r="K1131" s="1" t="s">
        <v>61</v>
      </c>
      <c r="L1131">
        <v>2</v>
      </c>
      <c r="M1131">
        <v>999</v>
      </c>
      <c r="N1131">
        <v>0.2</v>
      </c>
      <c r="O1131">
        <v>1598.4</v>
      </c>
      <c r="P1131">
        <v>520</v>
      </c>
      <c r="Q1131">
        <v>1040</v>
      </c>
      <c r="R1131">
        <v>40</v>
      </c>
      <c r="S1131">
        <v>518.4</v>
      </c>
    </row>
    <row r="1132" spans="1:19" x14ac:dyDescent="0.3">
      <c r="A1132" s="1" t="s">
        <v>1627</v>
      </c>
      <c r="B1132" s="4">
        <v>45842</v>
      </c>
      <c r="C1132" s="1" t="s">
        <v>496</v>
      </c>
      <c r="D1132" s="1" t="s">
        <v>40</v>
      </c>
      <c r="E1132" s="1" t="s">
        <v>31</v>
      </c>
      <c r="F1132" s="1" t="s">
        <v>32</v>
      </c>
      <c r="G1132" s="1" t="s">
        <v>33</v>
      </c>
      <c r="H1132" s="1" t="s">
        <v>34</v>
      </c>
      <c r="I1132" s="1" t="s">
        <v>134</v>
      </c>
      <c r="J1132" s="1" t="s">
        <v>135</v>
      </c>
      <c r="K1132" s="1" t="s">
        <v>136</v>
      </c>
      <c r="L1132">
        <v>1</v>
      </c>
      <c r="M1132">
        <v>299</v>
      </c>
      <c r="N1132">
        <v>0.1</v>
      </c>
      <c r="O1132">
        <v>269.10000000000002</v>
      </c>
      <c r="P1132">
        <v>110</v>
      </c>
      <c r="Q1132">
        <v>110</v>
      </c>
      <c r="R1132">
        <v>80</v>
      </c>
      <c r="S1132">
        <v>79.099999999999994</v>
      </c>
    </row>
    <row r="1133" spans="1:19" x14ac:dyDescent="0.3">
      <c r="A1133" s="1" t="s">
        <v>1628</v>
      </c>
      <c r="B1133" s="4">
        <v>45842</v>
      </c>
      <c r="C1133" s="1" t="s">
        <v>413</v>
      </c>
      <c r="D1133" s="1" t="s">
        <v>40</v>
      </c>
      <c r="E1133" s="1" t="s">
        <v>41</v>
      </c>
      <c r="F1133" s="1" t="s">
        <v>32</v>
      </c>
      <c r="G1133" s="1" t="s">
        <v>24</v>
      </c>
      <c r="H1133" s="1" t="s">
        <v>34</v>
      </c>
      <c r="I1133" s="1" t="s">
        <v>85</v>
      </c>
      <c r="J1133" s="1" t="s">
        <v>86</v>
      </c>
      <c r="K1133" s="1" t="s">
        <v>45</v>
      </c>
      <c r="L1133">
        <v>1</v>
      </c>
      <c r="M1133">
        <v>599</v>
      </c>
      <c r="N1133">
        <v>0</v>
      </c>
      <c r="O1133">
        <v>599</v>
      </c>
      <c r="P1133">
        <v>240</v>
      </c>
      <c r="Q1133">
        <v>240</v>
      </c>
      <c r="R1133">
        <v>40</v>
      </c>
      <c r="S1133">
        <v>319</v>
      </c>
    </row>
    <row r="1134" spans="1:19" x14ac:dyDescent="0.3">
      <c r="A1134" s="1" t="s">
        <v>1629</v>
      </c>
      <c r="B1134" s="4">
        <v>45843</v>
      </c>
      <c r="C1134" s="1" t="s">
        <v>129</v>
      </c>
      <c r="D1134" s="1" t="s">
        <v>40</v>
      </c>
      <c r="E1134" s="1" t="s">
        <v>112</v>
      </c>
      <c r="F1134" s="1" t="s">
        <v>113</v>
      </c>
      <c r="G1134" s="1" t="s">
        <v>42</v>
      </c>
      <c r="H1134" s="1" t="s">
        <v>89</v>
      </c>
      <c r="I1134" s="1" t="s">
        <v>35</v>
      </c>
      <c r="J1134" s="1" t="s">
        <v>36</v>
      </c>
      <c r="K1134" s="1" t="s">
        <v>37</v>
      </c>
      <c r="L1134">
        <v>3</v>
      </c>
      <c r="M1134">
        <v>1299</v>
      </c>
      <c r="N1134">
        <v>0.1</v>
      </c>
      <c r="O1134">
        <v>3507.3</v>
      </c>
      <c r="P1134">
        <v>700</v>
      </c>
      <c r="Q1134">
        <v>2100</v>
      </c>
      <c r="R1134">
        <v>100</v>
      </c>
      <c r="S1134">
        <v>1307.3</v>
      </c>
    </row>
    <row r="1135" spans="1:19" x14ac:dyDescent="0.3">
      <c r="A1135" s="1" t="s">
        <v>1630</v>
      </c>
      <c r="B1135" s="4">
        <v>45843</v>
      </c>
      <c r="C1135" s="1" t="s">
        <v>323</v>
      </c>
      <c r="D1135" s="1" t="s">
        <v>40</v>
      </c>
      <c r="E1135" s="1" t="s">
        <v>49</v>
      </c>
      <c r="F1135" s="1" t="s">
        <v>50</v>
      </c>
      <c r="G1135" s="1" t="s">
        <v>42</v>
      </c>
      <c r="H1135" s="1" t="s">
        <v>71</v>
      </c>
      <c r="I1135" s="1" t="s">
        <v>85</v>
      </c>
      <c r="J1135" s="1" t="s">
        <v>86</v>
      </c>
      <c r="K1135" s="1" t="s">
        <v>45</v>
      </c>
      <c r="L1135">
        <v>1</v>
      </c>
      <c r="M1135">
        <v>599</v>
      </c>
      <c r="N1135">
        <v>0</v>
      </c>
      <c r="O1135">
        <v>599</v>
      </c>
      <c r="P1135">
        <v>240</v>
      </c>
      <c r="Q1135">
        <v>240</v>
      </c>
      <c r="R1135">
        <v>0</v>
      </c>
      <c r="S1135">
        <v>359</v>
      </c>
    </row>
    <row r="1136" spans="1:19" x14ac:dyDescent="0.3">
      <c r="A1136" s="1" t="s">
        <v>1631</v>
      </c>
      <c r="B1136" s="4">
        <v>45844</v>
      </c>
      <c r="C1136" s="1" t="s">
        <v>283</v>
      </c>
      <c r="D1136" s="1" t="s">
        <v>48</v>
      </c>
      <c r="E1136" s="1" t="s">
        <v>41</v>
      </c>
      <c r="F1136" s="1" t="s">
        <v>32</v>
      </c>
      <c r="G1136" s="1" t="s">
        <v>42</v>
      </c>
      <c r="H1136" s="1" t="s">
        <v>25</v>
      </c>
      <c r="I1136" s="1" t="s">
        <v>26</v>
      </c>
      <c r="J1136" s="1" t="s">
        <v>27</v>
      </c>
      <c r="K1136" s="1" t="s">
        <v>28</v>
      </c>
      <c r="L1136">
        <v>5</v>
      </c>
      <c r="M1136">
        <v>799</v>
      </c>
      <c r="N1136">
        <v>0.05</v>
      </c>
      <c r="O1136">
        <v>3795.25</v>
      </c>
      <c r="P1136">
        <v>420</v>
      </c>
      <c r="Q1136">
        <v>2100</v>
      </c>
      <c r="R1136">
        <v>40</v>
      </c>
      <c r="S1136">
        <v>1655.25</v>
      </c>
    </row>
    <row r="1137" spans="1:19" x14ac:dyDescent="0.3">
      <c r="A1137" s="1" t="s">
        <v>1632</v>
      </c>
      <c r="B1137" s="4">
        <v>45845</v>
      </c>
      <c r="C1137" s="1" t="s">
        <v>268</v>
      </c>
      <c r="D1137" s="1" t="s">
        <v>21</v>
      </c>
      <c r="E1137" s="1" t="s">
        <v>22</v>
      </c>
      <c r="F1137" s="1" t="s">
        <v>23</v>
      </c>
      <c r="G1137" s="1" t="s">
        <v>24</v>
      </c>
      <c r="H1137" s="1" t="s">
        <v>56</v>
      </c>
      <c r="I1137" s="1" t="s">
        <v>35</v>
      </c>
      <c r="J1137" s="1" t="s">
        <v>36</v>
      </c>
      <c r="K1137" s="1" t="s">
        <v>37</v>
      </c>
      <c r="L1137">
        <v>1</v>
      </c>
      <c r="M1137">
        <v>1299</v>
      </c>
      <c r="N1137">
        <v>0.15</v>
      </c>
      <c r="O1137">
        <v>1104.1500000000001</v>
      </c>
      <c r="P1137">
        <v>700</v>
      </c>
      <c r="Q1137">
        <v>700</v>
      </c>
      <c r="R1137">
        <v>100</v>
      </c>
      <c r="S1137">
        <v>304.14999999999998</v>
      </c>
    </row>
    <row r="1138" spans="1:19" x14ac:dyDescent="0.3">
      <c r="A1138" s="1" t="s">
        <v>1633</v>
      </c>
      <c r="B1138" s="4">
        <v>45845</v>
      </c>
      <c r="C1138" s="1" t="s">
        <v>578</v>
      </c>
      <c r="D1138" s="1" t="s">
        <v>40</v>
      </c>
      <c r="E1138" s="1" t="s">
        <v>41</v>
      </c>
      <c r="F1138" s="1" t="s">
        <v>32</v>
      </c>
      <c r="G1138" s="1" t="s">
        <v>33</v>
      </c>
      <c r="H1138" s="1" t="s">
        <v>25</v>
      </c>
      <c r="I1138" s="1" t="s">
        <v>43</v>
      </c>
      <c r="J1138" s="1" t="s">
        <v>44</v>
      </c>
      <c r="K1138" s="1" t="s">
        <v>45</v>
      </c>
      <c r="L1138">
        <v>1</v>
      </c>
      <c r="M1138">
        <v>1799</v>
      </c>
      <c r="N1138">
        <v>0</v>
      </c>
      <c r="O1138">
        <v>1799</v>
      </c>
      <c r="P1138">
        <v>850</v>
      </c>
      <c r="Q1138">
        <v>850</v>
      </c>
      <c r="R1138">
        <v>80</v>
      </c>
      <c r="S1138">
        <v>869</v>
      </c>
    </row>
    <row r="1139" spans="1:19" x14ac:dyDescent="0.3">
      <c r="A1139" s="1" t="s">
        <v>1634</v>
      </c>
      <c r="B1139" s="4">
        <v>45845</v>
      </c>
      <c r="C1139" s="1" t="s">
        <v>578</v>
      </c>
      <c r="D1139" s="1" t="s">
        <v>21</v>
      </c>
      <c r="E1139" s="1" t="s">
        <v>80</v>
      </c>
      <c r="F1139" s="1" t="s">
        <v>55</v>
      </c>
      <c r="G1139" s="1" t="s">
        <v>24</v>
      </c>
      <c r="H1139" s="1" t="s">
        <v>89</v>
      </c>
      <c r="I1139" s="1" t="s">
        <v>35</v>
      </c>
      <c r="J1139" s="1" t="s">
        <v>36</v>
      </c>
      <c r="K1139" s="1" t="s">
        <v>37</v>
      </c>
      <c r="L1139">
        <v>2</v>
      </c>
      <c r="M1139">
        <v>1299</v>
      </c>
      <c r="N1139">
        <v>0.05</v>
      </c>
      <c r="O1139">
        <v>2468.1</v>
      </c>
      <c r="P1139">
        <v>700</v>
      </c>
      <c r="Q1139">
        <v>1400</v>
      </c>
      <c r="R1139">
        <v>40</v>
      </c>
      <c r="S1139">
        <v>1028.0999999999999</v>
      </c>
    </row>
    <row r="1140" spans="1:19" x14ac:dyDescent="0.3">
      <c r="A1140" s="1" t="s">
        <v>1635</v>
      </c>
      <c r="B1140" s="4">
        <v>45846</v>
      </c>
      <c r="C1140" s="1" t="s">
        <v>987</v>
      </c>
      <c r="D1140" s="1" t="s">
        <v>48</v>
      </c>
      <c r="E1140" s="1" t="s">
        <v>22</v>
      </c>
      <c r="F1140" s="1" t="s">
        <v>23</v>
      </c>
      <c r="G1140" s="1" t="s">
        <v>42</v>
      </c>
      <c r="H1140" s="1" t="s">
        <v>25</v>
      </c>
      <c r="I1140" s="1" t="s">
        <v>81</v>
      </c>
      <c r="J1140" s="1" t="s">
        <v>82</v>
      </c>
      <c r="K1140" s="1" t="s">
        <v>61</v>
      </c>
      <c r="L1140">
        <v>4</v>
      </c>
      <c r="M1140">
        <v>2999</v>
      </c>
      <c r="N1140">
        <v>0.15</v>
      </c>
      <c r="O1140">
        <v>10196.6</v>
      </c>
      <c r="P1140">
        <v>1750</v>
      </c>
      <c r="Q1140">
        <v>7000</v>
      </c>
      <c r="R1140">
        <v>60</v>
      </c>
      <c r="S1140">
        <v>3136.6</v>
      </c>
    </row>
    <row r="1141" spans="1:19" x14ac:dyDescent="0.3">
      <c r="A1141" s="1" t="s">
        <v>1636</v>
      </c>
      <c r="B1141" s="4">
        <v>45846</v>
      </c>
      <c r="C1141" s="1" t="s">
        <v>1063</v>
      </c>
      <c r="D1141" s="1" t="s">
        <v>40</v>
      </c>
      <c r="E1141" s="1" t="s">
        <v>49</v>
      </c>
      <c r="F1141" s="1" t="s">
        <v>50</v>
      </c>
      <c r="G1141" s="1" t="s">
        <v>33</v>
      </c>
      <c r="H1141" s="1" t="s">
        <v>25</v>
      </c>
      <c r="I1141" s="1" t="s">
        <v>26</v>
      </c>
      <c r="J1141" s="1" t="s">
        <v>27</v>
      </c>
      <c r="K1141" s="1" t="s">
        <v>28</v>
      </c>
      <c r="L1141">
        <v>2</v>
      </c>
      <c r="M1141">
        <v>799</v>
      </c>
      <c r="N1141">
        <v>0</v>
      </c>
      <c r="O1141">
        <v>1598</v>
      </c>
      <c r="P1141">
        <v>420</v>
      </c>
      <c r="Q1141">
        <v>840</v>
      </c>
      <c r="R1141">
        <v>60</v>
      </c>
      <c r="S1141">
        <v>698</v>
      </c>
    </row>
    <row r="1142" spans="1:19" x14ac:dyDescent="0.3">
      <c r="A1142" s="1" t="s">
        <v>1637</v>
      </c>
      <c r="B1142" s="4">
        <v>45848</v>
      </c>
      <c r="C1142" s="1" t="s">
        <v>794</v>
      </c>
      <c r="D1142" s="1" t="s">
        <v>48</v>
      </c>
      <c r="E1142" s="1" t="s">
        <v>22</v>
      </c>
      <c r="F1142" s="1" t="s">
        <v>23</v>
      </c>
      <c r="G1142" s="1" t="s">
        <v>24</v>
      </c>
      <c r="H1142" s="1" t="s">
        <v>71</v>
      </c>
      <c r="I1142" s="1" t="s">
        <v>81</v>
      </c>
      <c r="J1142" s="1" t="s">
        <v>82</v>
      </c>
      <c r="K1142" s="1" t="s">
        <v>61</v>
      </c>
      <c r="L1142">
        <v>3</v>
      </c>
      <c r="M1142">
        <v>2999</v>
      </c>
      <c r="N1142">
        <v>0.2</v>
      </c>
      <c r="O1142">
        <v>7197.6</v>
      </c>
      <c r="P1142">
        <v>1750</v>
      </c>
      <c r="Q1142">
        <v>5250</v>
      </c>
      <c r="R1142">
        <v>60</v>
      </c>
      <c r="S1142">
        <v>1887.6</v>
      </c>
    </row>
    <row r="1143" spans="1:19" x14ac:dyDescent="0.3">
      <c r="A1143" s="1" t="s">
        <v>1638</v>
      </c>
      <c r="B1143" s="4">
        <v>45848</v>
      </c>
      <c r="C1143" s="1" t="s">
        <v>290</v>
      </c>
      <c r="D1143" s="1" t="s">
        <v>48</v>
      </c>
      <c r="E1143" s="1" t="s">
        <v>54</v>
      </c>
      <c r="F1143" s="1" t="s">
        <v>55</v>
      </c>
      <c r="G1143" s="1" t="s">
        <v>42</v>
      </c>
      <c r="H1143" s="1" t="s">
        <v>34</v>
      </c>
      <c r="I1143" s="1" t="s">
        <v>43</v>
      </c>
      <c r="J1143" s="1" t="s">
        <v>44</v>
      </c>
      <c r="K1143" s="1" t="s">
        <v>45</v>
      </c>
      <c r="L1143">
        <v>1</v>
      </c>
      <c r="M1143">
        <v>1799</v>
      </c>
      <c r="N1143">
        <v>0.05</v>
      </c>
      <c r="O1143">
        <v>1709.05</v>
      </c>
      <c r="P1143">
        <v>850</v>
      </c>
      <c r="Q1143">
        <v>850</v>
      </c>
      <c r="R1143">
        <v>80</v>
      </c>
      <c r="S1143">
        <v>779.05</v>
      </c>
    </row>
    <row r="1144" spans="1:19" x14ac:dyDescent="0.3">
      <c r="A1144" s="1" t="s">
        <v>1639</v>
      </c>
      <c r="B1144" s="4">
        <v>45848</v>
      </c>
      <c r="C1144" s="1" t="s">
        <v>296</v>
      </c>
      <c r="D1144" s="1" t="s">
        <v>48</v>
      </c>
      <c r="E1144" s="1" t="s">
        <v>54</v>
      </c>
      <c r="F1144" s="1" t="s">
        <v>55</v>
      </c>
      <c r="G1144" s="1" t="s">
        <v>42</v>
      </c>
      <c r="H1144" s="1" t="s">
        <v>34</v>
      </c>
      <c r="I1144" s="1" t="s">
        <v>134</v>
      </c>
      <c r="J1144" s="1" t="s">
        <v>135</v>
      </c>
      <c r="K1144" s="1" t="s">
        <v>136</v>
      </c>
      <c r="L1144">
        <v>2</v>
      </c>
      <c r="M1144">
        <v>299</v>
      </c>
      <c r="N1144">
        <v>0</v>
      </c>
      <c r="O1144">
        <v>598</v>
      </c>
      <c r="P1144">
        <v>110</v>
      </c>
      <c r="Q1144">
        <v>220</v>
      </c>
      <c r="R1144">
        <v>60</v>
      </c>
      <c r="S1144">
        <v>318</v>
      </c>
    </row>
    <row r="1145" spans="1:19" x14ac:dyDescent="0.3">
      <c r="A1145" s="1" t="s">
        <v>1640</v>
      </c>
      <c r="B1145" s="4">
        <v>45849</v>
      </c>
      <c r="C1145" s="1" t="s">
        <v>290</v>
      </c>
      <c r="D1145" s="1" t="s">
        <v>21</v>
      </c>
      <c r="E1145" s="1" t="s">
        <v>49</v>
      </c>
      <c r="F1145" s="1" t="s">
        <v>50</v>
      </c>
      <c r="G1145" s="1" t="s">
        <v>42</v>
      </c>
      <c r="H1145" s="1" t="s">
        <v>56</v>
      </c>
      <c r="I1145" s="1" t="s">
        <v>76</v>
      </c>
      <c r="J1145" s="1" t="s">
        <v>77</v>
      </c>
      <c r="K1145" s="1" t="s">
        <v>37</v>
      </c>
      <c r="L1145">
        <v>1</v>
      </c>
      <c r="M1145">
        <v>6999</v>
      </c>
      <c r="N1145">
        <v>0.1</v>
      </c>
      <c r="O1145">
        <v>6299.1</v>
      </c>
      <c r="P1145">
        <v>4900</v>
      </c>
      <c r="Q1145">
        <v>4900</v>
      </c>
      <c r="R1145">
        <v>60</v>
      </c>
      <c r="S1145">
        <v>1339.1</v>
      </c>
    </row>
    <row r="1146" spans="1:19" x14ac:dyDescent="0.3">
      <c r="A1146" s="1" t="s">
        <v>1641</v>
      </c>
      <c r="B1146" s="4">
        <v>45849</v>
      </c>
      <c r="C1146" s="1" t="s">
        <v>470</v>
      </c>
      <c r="D1146" s="1" t="s">
        <v>40</v>
      </c>
      <c r="E1146" s="1" t="s">
        <v>80</v>
      </c>
      <c r="F1146" s="1" t="s">
        <v>55</v>
      </c>
      <c r="G1146" s="1" t="s">
        <v>33</v>
      </c>
      <c r="H1146" s="1" t="s">
        <v>89</v>
      </c>
      <c r="I1146" s="1" t="s">
        <v>51</v>
      </c>
      <c r="J1146" s="1" t="s">
        <v>52</v>
      </c>
      <c r="K1146" s="1" t="s">
        <v>37</v>
      </c>
      <c r="L1146">
        <v>2</v>
      </c>
      <c r="M1146">
        <v>499</v>
      </c>
      <c r="N1146">
        <v>0.05</v>
      </c>
      <c r="O1146">
        <v>948.1</v>
      </c>
      <c r="P1146">
        <v>180</v>
      </c>
      <c r="Q1146">
        <v>360</v>
      </c>
      <c r="R1146">
        <v>40</v>
      </c>
      <c r="S1146">
        <v>548.1</v>
      </c>
    </row>
    <row r="1147" spans="1:19" x14ac:dyDescent="0.3">
      <c r="A1147" s="1" t="s">
        <v>1642</v>
      </c>
      <c r="B1147" s="4">
        <v>45849</v>
      </c>
      <c r="C1147" s="1" t="s">
        <v>593</v>
      </c>
      <c r="D1147" s="1" t="s">
        <v>48</v>
      </c>
      <c r="E1147" s="1" t="s">
        <v>96</v>
      </c>
      <c r="F1147" s="1" t="s">
        <v>97</v>
      </c>
      <c r="G1147" s="1" t="s">
        <v>33</v>
      </c>
      <c r="H1147" s="1" t="s">
        <v>56</v>
      </c>
      <c r="I1147" s="1" t="s">
        <v>134</v>
      </c>
      <c r="J1147" s="1" t="s">
        <v>135</v>
      </c>
      <c r="K1147" s="1" t="s">
        <v>136</v>
      </c>
      <c r="L1147">
        <v>3</v>
      </c>
      <c r="M1147">
        <v>299</v>
      </c>
      <c r="N1147">
        <v>0.2</v>
      </c>
      <c r="O1147">
        <v>717.6</v>
      </c>
      <c r="P1147">
        <v>110</v>
      </c>
      <c r="Q1147">
        <v>330</v>
      </c>
      <c r="R1147">
        <v>80</v>
      </c>
      <c r="S1147">
        <v>307.60000000000002</v>
      </c>
    </row>
    <row r="1148" spans="1:19" x14ac:dyDescent="0.3">
      <c r="A1148" s="1" t="s">
        <v>1643</v>
      </c>
      <c r="B1148" s="4">
        <v>45850</v>
      </c>
      <c r="C1148" s="1" t="s">
        <v>526</v>
      </c>
      <c r="D1148" s="1" t="s">
        <v>21</v>
      </c>
      <c r="E1148" s="1" t="s">
        <v>70</v>
      </c>
      <c r="F1148" s="1" t="s">
        <v>70</v>
      </c>
      <c r="G1148" s="1" t="s">
        <v>24</v>
      </c>
      <c r="H1148" s="1" t="s">
        <v>71</v>
      </c>
      <c r="I1148" s="1" t="s">
        <v>92</v>
      </c>
      <c r="J1148" s="1" t="s">
        <v>93</v>
      </c>
      <c r="K1148" s="1" t="s">
        <v>28</v>
      </c>
      <c r="L1148">
        <v>1</v>
      </c>
      <c r="M1148">
        <v>1599</v>
      </c>
      <c r="N1148">
        <v>0.1</v>
      </c>
      <c r="O1148">
        <v>1439.1</v>
      </c>
      <c r="P1148">
        <v>900</v>
      </c>
      <c r="Q1148">
        <v>900</v>
      </c>
      <c r="R1148">
        <v>0</v>
      </c>
      <c r="S1148">
        <v>539.1</v>
      </c>
    </row>
    <row r="1149" spans="1:19" x14ac:dyDescent="0.3">
      <c r="A1149" s="1" t="s">
        <v>1644</v>
      </c>
      <c r="B1149" s="4">
        <v>45850</v>
      </c>
      <c r="C1149" s="1" t="s">
        <v>404</v>
      </c>
      <c r="D1149" s="1" t="s">
        <v>21</v>
      </c>
      <c r="E1149" s="1" t="s">
        <v>49</v>
      </c>
      <c r="F1149" s="1" t="s">
        <v>50</v>
      </c>
      <c r="G1149" s="1" t="s">
        <v>33</v>
      </c>
      <c r="H1149" s="1" t="s">
        <v>34</v>
      </c>
      <c r="I1149" s="1" t="s">
        <v>51</v>
      </c>
      <c r="J1149" s="1" t="s">
        <v>52</v>
      </c>
      <c r="K1149" s="1" t="s">
        <v>37</v>
      </c>
      <c r="L1149">
        <v>2</v>
      </c>
      <c r="M1149">
        <v>499</v>
      </c>
      <c r="N1149">
        <v>0.1</v>
      </c>
      <c r="O1149">
        <v>898.2</v>
      </c>
      <c r="P1149">
        <v>180</v>
      </c>
      <c r="Q1149">
        <v>360</v>
      </c>
      <c r="R1149">
        <v>40</v>
      </c>
      <c r="S1149">
        <v>498.2</v>
      </c>
    </row>
    <row r="1150" spans="1:19" x14ac:dyDescent="0.3">
      <c r="A1150" s="1" t="s">
        <v>1645</v>
      </c>
      <c r="B1150" s="4">
        <v>45850</v>
      </c>
      <c r="C1150" s="1" t="s">
        <v>775</v>
      </c>
      <c r="D1150" s="1" t="s">
        <v>48</v>
      </c>
      <c r="E1150" s="1" t="s">
        <v>96</v>
      </c>
      <c r="F1150" s="1" t="s">
        <v>97</v>
      </c>
      <c r="G1150" s="1" t="s">
        <v>42</v>
      </c>
      <c r="H1150" s="1" t="s">
        <v>34</v>
      </c>
      <c r="I1150" s="1" t="s">
        <v>92</v>
      </c>
      <c r="J1150" s="1" t="s">
        <v>93</v>
      </c>
      <c r="K1150" s="1" t="s">
        <v>28</v>
      </c>
      <c r="L1150">
        <v>2</v>
      </c>
      <c r="M1150">
        <v>1599</v>
      </c>
      <c r="N1150">
        <v>0.15</v>
      </c>
      <c r="O1150">
        <v>2718.3</v>
      </c>
      <c r="P1150">
        <v>900</v>
      </c>
      <c r="Q1150">
        <v>1800</v>
      </c>
      <c r="R1150">
        <v>0</v>
      </c>
      <c r="S1150">
        <v>918.3</v>
      </c>
    </row>
    <row r="1151" spans="1:19" x14ac:dyDescent="0.3">
      <c r="A1151" s="1" t="s">
        <v>1646</v>
      </c>
      <c r="B1151" s="4">
        <v>45851</v>
      </c>
      <c r="C1151" s="1" t="s">
        <v>768</v>
      </c>
      <c r="D1151" s="1" t="s">
        <v>40</v>
      </c>
      <c r="E1151" s="1" t="s">
        <v>120</v>
      </c>
      <c r="F1151" s="1" t="s">
        <v>121</v>
      </c>
      <c r="G1151" s="1" t="s">
        <v>24</v>
      </c>
      <c r="H1151" s="1" t="s">
        <v>25</v>
      </c>
      <c r="I1151" s="1" t="s">
        <v>43</v>
      </c>
      <c r="J1151" s="1" t="s">
        <v>44</v>
      </c>
      <c r="K1151" s="1" t="s">
        <v>45</v>
      </c>
      <c r="L1151">
        <v>1</v>
      </c>
      <c r="M1151">
        <v>1799</v>
      </c>
      <c r="N1151">
        <v>0.15</v>
      </c>
      <c r="O1151">
        <v>1529.15</v>
      </c>
      <c r="P1151">
        <v>850</v>
      </c>
      <c r="Q1151">
        <v>850</v>
      </c>
      <c r="R1151">
        <v>0</v>
      </c>
      <c r="S1151">
        <v>679.15</v>
      </c>
    </row>
    <row r="1152" spans="1:19" x14ac:dyDescent="0.3">
      <c r="A1152" s="1" t="s">
        <v>1647</v>
      </c>
      <c r="B1152" s="4">
        <v>45852</v>
      </c>
      <c r="C1152" s="1" t="s">
        <v>1174</v>
      </c>
      <c r="D1152" s="1" t="s">
        <v>21</v>
      </c>
      <c r="E1152" s="1" t="s">
        <v>96</v>
      </c>
      <c r="F1152" s="1" t="s">
        <v>97</v>
      </c>
      <c r="G1152" s="1" t="s">
        <v>24</v>
      </c>
      <c r="H1152" s="1" t="s">
        <v>56</v>
      </c>
      <c r="I1152" s="1" t="s">
        <v>66</v>
      </c>
      <c r="J1152" s="1" t="s">
        <v>67</v>
      </c>
      <c r="K1152" s="1" t="s">
        <v>28</v>
      </c>
      <c r="L1152">
        <v>1</v>
      </c>
      <c r="M1152">
        <v>2499</v>
      </c>
      <c r="N1152">
        <v>0.15</v>
      </c>
      <c r="O1152">
        <v>2124.15</v>
      </c>
      <c r="P1152">
        <v>1450</v>
      </c>
      <c r="Q1152">
        <v>1450</v>
      </c>
      <c r="R1152">
        <v>80</v>
      </c>
      <c r="S1152">
        <v>594.15</v>
      </c>
    </row>
    <row r="1153" spans="1:19" x14ac:dyDescent="0.3">
      <c r="A1153" s="1" t="s">
        <v>1648</v>
      </c>
      <c r="B1153" s="4">
        <v>45853</v>
      </c>
      <c r="C1153" s="1" t="s">
        <v>353</v>
      </c>
      <c r="D1153" s="1" t="s">
        <v>40</v>
      </c>
      <c r="E1153" s="1" t="s">
        <v>124</v>
      </c>
      <c r="F1153" s="1" t="s">
        <v>125</v>
      </c>
      <c r="G1153" s="1" t="s">
        <v>33</v>
      </c>
      <c r="H1153" s="1" t="s">
        <v>34</v>
      </c>
      <c r="I1153" s="1" t="s">
        <v>35</v>
      </c>
      <c r="J1153" s="1" t="s">
        <v>36</v>
      </c>
      <c r="K1153" s="1" t="s">
        <v>37</v>
      </c>
      <c r="L1153">
        <v>1</v>
      </c>
      <c r="M1153">
        <v>1299</v>
      </c>
      <c r="N1153">
        <v>0.1</v>
      </c>
      <c r="O1153">
        <v>1169.0999999999999</v>
      </c>
      <c r="P1153">
        <v>700</v>
      </c>
      <c r="Q1153">
        <v>700</v>
      </c>
      <c r="R1153">
        <v>100</v>
      </c>
      <c r="S1153">
        <v>369.1</v>
      </c>
    </row>
    <row r="1154" spans="1:19" x14ac:dyDescent="0.3">
      <c r="A1154" s="1" t="s">
        <v>1649</v>
      </c>
      <c r="B1154" s="4">
        <v>45853</v>
      </c>
      <c r="C1154" s="1" t="s">
        <v>351</v>
      </c>
      <c r="D1154" s="1" t="s">
        <v>48</v>
      </c>
      <c r="E1154" s="1" t="s">
        <v>112</v>
      </c>
      <c r="F1154" s="1" t="s">
        <v>113</v>
      </c>
      <c r="G1154" s="1" t="s">
        <v>42</v>
      </c>
      <c r="H1154" s="1" t="s">
        <v>56</v>
      </c>
      <c r="I1154" s="1" t="s">
        <v>59</v>
      </c>
      <c r="J1154" s="1" t="s">
        <v>60</v>
      </c>
      <c r="K1154" s="1" t="s">
        <v>61</v>
      </c>
      <c r="L1154">
        <v>1</v>
      </c>
      <c r="M1154">
        <v>999</v>
      </c>
      <c r="N1154">
        <v>0.1</v>
      </c>
      <c r="O1154">
        <v>899.1</v>
      </c>
      <c r="P1154">
        <v>520</v>
      </c>
      <c r="Q1154">
        <v>520</v>
      </c>
      <c r="R1154">
        <v>100</v>
      </c>
      <c r="S1154">
        <v>279.10000000000002</v>
      </c>
    </row>
    <row r="1155" spans="1:19" x14ac:dyDescent="0.3">
      <c r="A1155" s="1" t="s">
        <v>1650</v>
      </c>
      <c r="B1155" s="4">
        <v>45854</v>
      </c>
      <c r="C1155" s="1" t="s">
        <v>445</v>
      </c>
      <c r="D1155" s="1" t="s">
        <v>48</v>
      </c>
      <c r="E1155" s="1" t="s">
        <v>80</v>
      </c>
      <c r="F1155" s="1" t="s">
        <v>55</v>
      </c>
      <c r="G1155" s="1" t="s">
        <v>24</v>
      </c>
      <c r="H1155" s="1" t="s">
        <v>56</v>
      </c>
      <c r="I1155" s="1" t="s">
        <v>92</v>
      </c>
      <c r="J1155" s="1" t="s">
        <v>93</v>
      </c>
      <c r="K1155" s="1" t="s">
        <v>28</v>
      </c>
      <c r="L1155">
        <v>4</v>
      </c>
      <c r="M1155">
        <v>1599</v>
      </c>
      <c r="N1155">
        <v>0.1</v>
      </c>
      <c r="O1155">
        <v>5756.4</v>
      </c>
      <c r="P1155">
        <v>900</v>
      </c>
      <c r="Q1155">
        <v>3600</v>
      </c>
      <c r="R1155">
        <v>80</v>
      </c>
      <c r="S1155">
        <v>2076.4</v>
      </c>
    </row>
    <row r="1156" spans="1:19" x14ac:dyDescent="0.3">
      <c r="A1156" s="1" t="s">
        <v>1651</v>
      </c>
      <c r="B1156" s="4">
        <v>45854</v>
      </c>
      <c r="C1156" s="1" t="s">
        <v>386</v>
      </c>
      <c r="D1156" s="1" t="s">
        <v>21</v>
      </c>
      <c r="E1156" s="1" t="s">
        <v>80</v>
      </c>
      <c r="F1156" s="1" t="s">
        <v>55</v>
      </c>
      <c r="G1156" s="1" t="s">
        <v>42</v>
      </c>
      <c r="H1156" s="1" t="s">
        <v>56</v>
      </c>
      <c r="I1156" s="1" t="s">
        <v>26</v>
      </c>
      <c r="J1156" s="1" t="s">
        <v>27</v>
      </c>
      <c r="K1156" s="1" t="s">
        <v>28</v>
      </c>
      <c r="L1156">
        <v>1</v>
      </c>
      <c r="M1156">
        <v>799</v>
      </c>
      <c r="N1156">
        <v>0.15</v>
      </c>
      <c r="O1156">
        <v>679.15</v>
      </c>
      <c r="P1156">
        <v>420</v>
      </c>
      <c r="Q1156">
        <v>420</v>
      </c>
      <c r="R1156">
        <v>60</v>
      </c>
      <c r="S1156">
        <v>199.15</v>
      </c>
    </row>
    <row r="1157" spans="1:19" x14ac:dyDescent="0.3">
      <c r="A1157" s="1" t="s">
        <v>1652</v>
      </c>
      <c r="B1157" s="4">
        <v>45856</v>
      </c>
      <c r="C1157" s="1" t="s">
        <v>396</v>
      </c>
      <c r="D1157" s="1" t="s">
        <v>40</v>
      </c>
      <c r="E1157" s="1" t="s">
        <v>22</v>
      </c>
      <c r="F1157" s="1" t="s">
        <v>23</v>
      </c>
      <c r="G1157" s="1" t="s">
        <v>24</v>
      </c>
      <c r="H1157" s="1" t="s">
        <v>56</v>
      </c>
      <c r="I1157" s="1" t="s">
        <v>66</v>
      </c>
      <c r="J1157" s="1" t="s">
        <v>67</v>
      </c>
      <c r="K1157" s="1" t="s">
        <v>28</v>
      </c>
      <c r="L1157">
        <v>1</v>
      </c>
      <c r="M1157">
        <v>2499</v>
      </c>
      <c r="N1157">
        <v>0.15</v>
      </c>
      <c r="O1157">
        <v>2124.15</v>
      </c>
      <c r="P1157">
        <v>1450</v>
      </c>
      <c r="Q1157">
        <v>1450</v>
      </c>
      <c r="R1157">
        <v>0</v>
      </c>
      <c r="S1157">
        <v>674.15</v>
      </c>
    </row>
    <row r="1158" spans="1:19" x14ac:dyDescent="0.3">
      <c r="A1158" s="1" t="s">
        <v>1653</v>
      </c>
      <c r="B1158" s="4">
        <v>45856</v>
      </c>
      <c r="C1158" s="1" t="s">
        <v>84</v>
      </c>
      <c r="D1158" s="1" t="s">
        <v>21</v>
      </c>
      <c r="E1158" s="1" t="s">
        <v>31</v>
      </c>
      <c r="F1158" s="1" t="s">
        <v>32</v>
      </c>
      <c r="G1158" s="1" t="s">
        <v>42</v>
      </c>
      <c r="H1158" s="1" t="s">
        <v>89</v>
      </c>
      <c r="I1158" s="1" t="s">
        <v>134</v>
      </c>
      <c r="J1158" s="1" t="s">
        <v>135</v>
      </c>
      <c r="K1158" s="1" t="s">
        <v>136</v>
      </c>
      <c r="L1158">
        <v>4</v>
      </c>
      <c r="M1158">
        <v>299</v>
      </c>
      <c r="N1158">
        <v>0.1</v>
      </c>
      <c r="O1158">
        <v>1076.4000000000001</v>
      </c>
      <c r="P1158">
        <v>110</v>
      </c>
      <c r="Q1158">
        <v>440</v>
      </c>
      <c r="R1158">
        <v>80</v>
      </c>
      <c r="S1158">
        <v>556.4</v>
      </c>
    </row>
    <row r="1159" spans="1:19" x14ac:dyDescent="0.3">
      <c r="A1159" s="1" t="s">
        <v>1654</v>
      </c>
      <c r="B1159" s="4">
        <v>45856</v>
      </c>
      <c r="C1159" s="1" t="s">
        <v>1287</v>
      </c>
      <c r="D1159" s="1" t="s">
        <v>21</v>
      </c>
      <c r="E1159" s="1" t="s">
        <v>120</v>
      </c>
      <c r="F1159" s="1" t="s">
        <v>121</v>
      </c>
      <c r="G1159" s="1" t="s">
        <v>42</v>
      </c>
      <c r="H1159" s="1" t="s">
        <v>34</v>
      </c>
      <c r="I1159" s="1" t="s">
        <v>66</v>
      </c>
      <c r="J1159" s="1" t="s">
        <v>67</v>
      </c>
      <c r="K1159" s="1" t="s">
        <v>28</v>
      </c>
      <c r="L1159">
        <v>4</v>
      </c>
      <c r="M1159">
        <v>2499</v>
      </c>
      <c r="N1159">
        <v>0.15</v>
      </c>
      <c r="O1159">
        <v>8496.6</v>
      </c>
      <c r="P1159">
        <v>1450</v>
      </c>
      <c r="Q1159">
        <v>5800</v>
      </c>
      <c r="R1159">
        <v>0</v>
      </c>
      <c r="S1159">
        <v>2696.6</v>
      </c>
    </row>
    <row r="1160" spans="1:19" x14ac:dyDescent="0.3">
      <c r="A1160" s="1" t="s">
        <v>1655</v>
      </c>
      <c r="B1160" s="4">
        <v>45857</v>
      </c>
      <c r="C1160" s="1" t="s">
        <v>504</v>
      </c>
      <c r="D1160" s="1" t="s">
        <v>48</v>
      </c>
      <c r="E1160" s="1" t="s">
        <v>96</v>
      </c>
      <c r="F1160" s="1" t="s">
        <v>97</v>
      </c>
      <c r="G1160" s="1" t="s">
        <v>33</v>
      </c>
      <c r="H1160" s="1" t="s">
        <v>56</v>
      </c>
      <c r="I1160" s="1" t="s">
        <v>85</v>
      </c>
      <c r="J1160" s="1" t="s">
        <v>86</v>
      </c>
      <c r="K1160" s="1" t="s">
        <v>45</v>
      </c>
      <c r="L1160">
        <v>1</v>
      </c>
      <c r="M1160">
        <v>599</v>
      </c>
      <c r="N1160">
        <v>0.05</v>
      </c>
      <c r="O1160">
        <v>569.04999999999995</v>
      </c>
      <c r="P1160">
        <v>240</v>
      </c>
      <c r="Q1160">
        <v>240</v>
      </c>
      <c r="R1160">
        <v>40</v>
      </c>
      <c r="S1160">
        <v>289.05</v>
      </c>
    </row>
    <row r="1161" spans="1:19" x14ac:dyDescent="0.3">
      <c r="A1161" s="1" t="s">
        <v>1656</v>
      </c>
      <c r="B1161" s="4">
        <v>45858</v>
      </c>
      <c r="C1161" s="1" t="s">
        <v>321</v>
      </c>
      <c r="D1161" s="1" t="s">
        <v>48</v>
      </c>
      <c r="E1161" s="1" t="s">
        <v>70</v>
      </c>
      <c r="F1161" s="1" t="s">
        <v>70</v>
      </c>
      <c r="G1161" s="1" t="s">
        <v>24</v>
      </c>
      <c r="H1161" s="1" t="s">
        <v>34</v>
      </c>
      <c r="I1161" s="1" t="s">
        <v>92</v>
      </c>
      <c r="J1161" s="1" t="s">
        <v>93</v>
      </c>
      <c r="K1161" s="1" t="s">
        <v>28</v>
      </c>
      <c r="L1161">
        <v>2</v>
      </c>
      <c r="M1161">
        <v>1599</v>
      </c>
      <c r="N1161">
        <v>0.15</v>
      </c>
      <c r="O1161">
        <v>2718.3</v>
      </c>
      <c r="P1161">
        <v>900</v>
      </c>
      <c r="Q1161">
        <v>1800</v>
      </c>
      <c r="R1161">
        <v>0</v>
      </c>
      <c r="S1161">
        <v>918.3</v>
      </c>
    </row>
    <row r="1162" spans="1:19" x14ac:dyDescent="0.3">
      <c r="A1162" s="1" t="s">
        <v>1657</v>
      </c>
      <c r="B1162" s="4">
        <v>45858</v>
      </c>
      <c r="C1162" s="1" t="s">
        <v>331</v>
      </c>
      <c r="D1162" s="1" t="s">
        <v>48</v>
      </c>
      <c r="E1162" s="1" t="s">
        <v>22</v>
      </c>
      <c r="F1162" s="1" t="s">
        <v>23</v>
      </c>
      <c r="G1162" s="1" t="s">
        <v>24</v>
      </c>
      <c r="H1162" s="1" t="s">
        <v>34</v>
      </c>
      <c r="I1162" s="1" t="s">
        <v>134</v>
      </c>
      <c r="J1162" s="1" t="s">
        <v>135</v>
      </c>
      <c r="K1162" s="1" t="s">
        <v>136</v>
      </c>
      <c r="L1162">
        <v>1</v>
      </c>
      <c r="M1162">
        <v>299</v>
      </c>
      <c r="N1162">
        <v>0.1</v>
      </c>
      <c r="O1162">
        <v>269.10000000000002</v>
      </c>
      <c r="P1162">
        <v>110</v>
      </c>
      <c r="Q1162">
        <v>110</v>
      </c>
      <c r="R1162">
        <v>80</v>
      </c>
      <c r="S1162">
        <v>79.099999999999994</v>
      </c>
    </row>
    <row r="1163" spans="1:19" x14ac:dyDescent="0.3">
      <c r="A1163" s="1" t="s">
        <v>1658</v>
      </c>
      <c r="B1163" s="4">
        <v>45859</v>
      </c>
      <c r="C1163" s="1" t="s">
        <v>1095</v>
      </c>
      <c r="D1163" s="1" t="s">
        <v>40</v>
      </c>
      <c r="E1163" s="1" t="s">
        <v>31</v>
      </c>
      <c r="F1163" s="1" t="s">
        <v>32</v>
      </c>
      <c r="G1163" s="1" t="s">
        <v>33</v>
      </c>
      <c r="H1163" s="1" t="s">
        <v>34</v>
      </c>
      <c r="I1163" s="1" t="s">
        <v>134</v>
      </c>
      <c r="J1163" s="1" t="s">
        <v>135</v>
      </c>
      <c r="K1163" s="1" t="s">
        <v>136</v>
      </c>
      <c r="L1163">
        <v>1</v>
      </c>
      <c r="M1163">
        <v>299</v>
      </c>
      <c r="N1163">
        <v>0.15</v>
      </c>
      <c r="O1163">
        <v>254.15</v>
      </c>
      <c r="P1163">
        <v>110</v>
      </c>
      <c r="Q1163">
        <v>110</v>
      </c>
      <c r="R1163">
        <v>40</v>
      </c>
      <c r="S1163">
        <v>104.15</v>
      </c>
    </row>
    <row r="1164" spans="1:19" x14ac:dyDescent="0.3">
      <c r="A1164" s="1" t="s">
        <v>1659</v>
      </c>
      <c r="B1164" s="4">
        <v>45860</v>
      </c>
      <c r="C1164" s="1" t="s">
        <v>157</v>
      </c>
      <c r="D1164" s="1" t="s">
        <v>40</v>
      </c>
      <c r="E1164" s="1" t="s">
        <v>112</v>
      </c>
      <c r="F1164" s="1" t="s">
        <v>113</v>
      </c>
      <c r="G1164" s="1" t="s">
        <v>24</v>
      </c>
      <c r="H1164" s="1" t="s">
        <v>89</v>
      </c>
      <c r="I1164" s="1" t="s">
        <v>76</v>
      </c>
      <c r="J1164" s="1" t="s">
        <v>77</v>
      </c>
      <c r="K1164" s="1" t="s">
        <v>37</v>
      </c>
      <c r="L1164">
        <v>3</v>
      </c>
      <c r="M1164">
        <v>6999</v>
      </c>
      <c r="N1164">
        <v>0.05</v>
      </c>
      <c r="O1164">
        <v>19947.150000000001</v>
      </c>
      <c r="P1164">
        <v>4900</v>
      </c>
      <c r="Q1164">
        <v>14700</v>
      </c>
      <c r="R1164">
        <v>100</v>
      </c>
      <c r="S1164">
        <v>5147.1499999999996</v>
      </c>
    </row>
    <row r="1165" spans="1:19" x14ac:dyDescent="0.3">
      <c r="A1165" s="1" t="s">
        <v>1660</v>
      </c>
      <c r="B1165" s="4">
        <v>45860</v>
      </c>
      <c r="C1165" s="1" t="s">
        <v>925</v>
      </c>
      <c r="D1165" s="1" t="s">
        <v>40</v>
      </c>
      <c r="E1165" s="1" t="s">
        <v>41</v>
      </c>
      <c r="F1165" s="1" t="s">
        <v>32</v>
      </c>
      <c r="G1165" s="1" t="s">
        <v>24</v>
      </c>
      <c r="H1165" s="1" t="s">
        <v>34</v>
      </c>
      <c r="I1165" s="1" t="s">
        <v>35</v>
      </c>
      <c r="J1165" s="1" t="s">
        <v>36</v>
      </c>
      <c r="K1165" s="1" t="s">
        <v>37</v>
      </c>
      <c r="L1165">
        <v>1</v>
      </c>
      <c r="M1165">
        <v>1299</v>
      </c>
      <c r="N1165">
        <v>0.05</v>
      </c>
      <c r="O1165">
        <v>1234.05</v>
      </c>
      <c r="P1165">
        <v>700</v>
      </c>
      <c r="Q1165">
        <v>700</v>
      </c>
      <c r="R1165">
        <v>80</v>
      </c>
      <c r="S1165">
        <v>454.05</v>
      </c>
    </row>
    <row r="1166" spans="1:19" x14ac:dyDescent="0.3">
      <c r="A1166" s="1" t="s">
        <v>1661</v>
      </c>
      <c r="B1166" s="4">
        <v>45861</v>
      </c>
      <c r="C1166" s="1" t="s">
        <v>1077</v>
      </c>
      <c r="D1166" s="1" t="s">
        <v>21</v>
      </c>
      <c r="E1166" s="1" t="s">
        <v>49</v>
      </c>
      <c r="F1166" s="1" t="s">
        <v>50</v>
      </c>
      <c r="G1166" s="1" t="s">
        <v>33</v>
      </c>
      <c r="H1166" s="1" t="s">
        <v>89</v>
      </c>
      <c r="I1166" s="1" t="s">
        <v>26</v>
      </c>
      <c r="J1166" s="1" t="s">
        <v>27</v>
      </c>
      <c r="K1166" s="1" t="s">
        <v>28</v>
      </c>
      <c r="L1166">
        <v>2</v>
      </c>
      <c r="M1166">
        <v>799</v>
      </c>
      <c r="N1166">
        <v>0</v>
      </c>
      <c r="O1166">
        <v>1598</v>
      </c>
      <c r="P1166">
        <v>420</v>
      </c>
      <c r="Q1166">
        <v>840</v>
      </c>
      <c r="R1166">
        <v>0</v>
      </c>
      <c r="S1166">
        <v>758</v>
      </c>
    </row>
    <row r="1167" spans="1:19" x14ac:dyDescent="0.3">
      <c r="A1167" s="1" t="s">
        <v>1662</v>
      </c>
      <c r="B1167" s="4">
        <v>45861</v>
      </c>
      <c r="C1167" s="1" t="s">
        <v>603</v>
      </c>
      <c r="D1167" s="1" t="s">
        <v>48</v>
      </c>
      <c r="E1167" s="1" t="s">
        <v>64</v>
      </c>
      <c r="F1167" s="1" t="s">
        <v>65</v>
      </c>
      <c r="G1167" s="1" t="s">
        <v>33</v>
      </c>
      <c r="H1167" s="1" t="s">
        <v>56</v>
      </c>
      <c r="I1167" s="1" t="s">
        <v>76</v>
      </c>
      <c r="J1167" s="1" t="s">
        <v>77</v>
      </c>
      <c r="K1167" s="1" t="s">
        <v>37</v>
      </c>
      <c r="L1167">
        <v>1</v>
      </c>
      <c r="M1167">
        <v>6999</v>
      </c>
      <c r="N1167">
        <v>0.05</v>
      </c>
      <c r="O1167">
        <v>6649.05</v>
      </c>
      <c r="P1167">
        <v>4900</v>
      </c>
      <c r="Q1167">
        <v>4900</v>
      </c>
      <c r="R1167">
        <v>100</v>
      </c>
      <c r="S1167">
        <v>1649.05</v>
      </c>
    </row>
    <row r="1168" spans="1:19" x14ac:dyDescent="0.3">
      <c r="A1168" s="1" t="s">
        <v>1663</v>
      </c>
      <c r="B1168" s="4">
        <v>45862</v>
      </c>
      <c r="C1168" s="1" t="s">
        <v>1477</v>
      </c>
      <c r="D1168" s="1" t="s">
        <v>48</v>
      </c>
      <c r="E1168" s="1" t="s">
        <v>49</v>
      </c>
      <c r="F1168" s="1" t="s">
        <v>50</v>
      </c>
      <c r="G1168" s="1" t="s">
        <v>42</v>
      </c>
      <c r="H1168" s="1" t="s">
        <v>34</v>
      </c>
      <c r="I1168" s="1" t="s">
        <v>85</v>
      </c>
      <c r="J1168" s="1" t="s">
        <v>86</v>
      </c>
      <c r="K1168" s="1" t="s">
        <v>45</v>
      </c>
      <c r="L1168">
        <v>1</v>
      </c>
      <c r="M1168">
        <v>599</v>
      </c>
      <c r="N1168">
        <v>0</v>
      </c>
      <c r="O1168">
        <v>599</v>
      </c>
      <c r="P1168">
        <v>240</v>
      </c>
      <c r="Q1168">
        <v>240</v>
      </c>
      <c r="R1168">
        <v>60</v>
      </c>
      <c r="S1168">
        <v>299</v>
      </c>
    </row>
    <row r="1169" spans="1:19" x14ac:dyDescent="0.3">
      <c r="A1169" s="1" t="s">
        <v>1664</v>
      </c>
      <c r="B1169" s="4">
        <v>45862</v>
      </c>
      <c r="C1169" s="1" t="s">
        <v>1535</v>
      </c>
      <c r="D1169" s="1" t="s">
        <v>40</v>
      </c>
      <c r="E1169" s="1" t="s">
        <v>22</v>
      </c>
      <c r="F1169" s="1" t="s">
        <v>23</v>
      </c>
      <c r="G1169" s="1" t="s">
        <v>33</v>
      </c>
      <c r="H1169" s="1" t="s">
        <v>71</v>
      </c>
      <c r="I1169" s="1" t="s">
        <v>81</v>
      </c>
      <c r="J1169" s="1" t="s">
        <v>82</v>
      </c>
      <c r="K1169" s="1" t="s">
        <v>61</v>
      </c>
      <c r="L1169">
        <v>1</v>
      </c>
      <c r="M1169">
        <v>2999</v>
      </c>
      <c r="N1169">
        <v>0.1</v>
      </c>
      <c r="O1169">
        <v>2699.1</v>
      </c>
      <c r="P1169">
        <v>1750</v>
      </c>
      <c r="Q1169">
        <v>1750</v>
      </c>
      <c r="R1169">
        <v>0</v>
      </c>
      <c r="S1169">
        <v>949.1</v>
      </c>
    </row>
    <row r="1170" spans="1:19" x14ac:dyDescent="0.3">
      <c r="A1170" s="1" t="s">
        <v>1665</v>
      </c>
      <c r="B1170" s="4">
        <v>45862</v>
      </c>
      <c r="C1170" s="1" t="s">
        <v>544</v>
      </c>
      <c r="D1170" s="1" t="s">
        <v>40</v>
      </c>
      <c r="E1170" s="1" t="s">
        <v>120</v>
      </c>
      <c r="F1170" s="1" t="s">
        <v>121</v>
      </c>
      <c r="G1170" s="1" t="s">
        <v>33</v>
      </c>
      <c r="H1170" s="1" t="s">
        <v>34</v>
      </c>
      <c r="I1170" s="1" t="s">
        <v>134</v>
      </c>
      <c r="J1170" s="1" t="s">
        <v>135</v>
      </c>
      <c r="K1170" s="1" t="s">
        <v>136</v>
      </c>
      <c r="L1170">
        <v>3</v>
      </c>
      <c r="M1170">
        <v>299</v>
      </c>
      <c r="N1170">
        <v>0</v>
      </c>
      <c r="O1170">
        <v>897</v>
      </c>
      <c r="P1170">
        <v>110</v>
      </c>
      <c r="Q1170">
        <v>330</v>
      </c>
      <c r="R1170">
        <v>80</v>
      </c>
      <c r="S1170">
        <v>487</v>
      </c>
    </row>
    <row r="1171" spans="1:19" x14ac:dyDescent="0.3">
      <c r="A1171" s="1" t="s">
        <v>1666</v>
      </c>
      <c r="B1171" s="4">
        <v>45863</v>
      </c>
      <c r="C1171" s="1" t="s">
        <v>864</v>
      </c>
      <c r="D1171" s="1" t="s">
        <v>21</v>
      </c>
      <c r="E1171" s="1" t="s">
        <v>41</v>
      </c>
      <c r="F1171" s="1" t="s">
        <v>32</v>
      </c>
      <c r="G1171" s="1" t="s">
        <v>24</v>
      </c>
      <c r="H1171" s="1" t="s">
        <v>34</v>
      </c>
      <c r="I1171" s="1" t="s">
        <v>72</v>
      </c>
      <c r="J1171" s="1" t="s">
        <v>73</v>
      </c>
      <c r="K1171" s="1" t="s">
        <v>28</v>
      </c>
      <c r="L1171">
        <v>2</v>
      </c>
      <c r="M1171">
        <v>2199</v>
      </c>
      <c r="N1171">
        <v>0.2</v>
      </c>
      <c r="O1171">
        <v>3518.4</v>
      </c>
      <c r="P1171">
        <v>1250</v>
      </c>
      <c r="Q1171">
        <v>2500</v>
      </c>
      <c r="R1171">
        <v>0</v>
      </c>
      <c r="S1171">
        <v>1018.4</v>
      </c>
    </row>
    <row r="1172" spans="1:19" x14ac:dyDescent="0.3">
      <c r="A1172" s="1" t="s">
        <v>1667</v>
      </c>
      <c r="B1172" s="4">
        <v>45863</v>
      </c>
      <c r="C1172" s="1" t="s">
        <v>806</v>
      </c>
      <c r="D1172" s="1" t="s">
        <v>21</v>
      </c>
      <c r="E1172" s="1" t="s">
        <v>54</v>
      </c>
      <c r="F1172" s="1" t="s">
        <v>55</v>
      </c>
      <c r="G1172" s="1" t="s">
        <v>33</v>
      </c>
      <c r="H1172" s="1" t="s">
        <v>56</v>
      </c>
      <c r="I1172" s="1" t="s">
        <v>76</v>
      </c>
      <c r="J1172" s="1" t="s">
        <v>77</v>
      </c>
      <c r="K1172" s="1" t="s">
        <v>37</v>
      </c>
      <c r="L1172">
        <v>3</v>
      </c>
      <c r="M1172">
        <v>6999</v>
      </c>
      <c r="N1172">
        <v>0.1</v>
      </c>
      <c r="O1172">
        <v>18897.3</v>
      </c>
      <c r="P1172">
        <v>4900</v>
      </c>
      <c r="Q1172">
        <v>14700</v>
      </c>
      <c r="R1172">
        <v>40</v>
      </c>
      <c r="S1172">
        <v>4157.3</v>
      </c>
    </row>
    <row r="1173" spans="1:19" x14ac:dyDescent="0.3">
      <c r="A1173" s="1" t="s">
        <v>1668</v>
      </c>
      <c r="B1173" s="4">
        <v>45864</v>
      </c>
      <c r="C1173" s="1" t="s">
        <v>656</v>
      </c>
      <c r="D1173" s="1" t="s">
        <v>48</v>
      </c>
      <c r="E1173" s="1" t="s">
        <v>41</v>
      </c>
      <c r="F1173" s="1" t="s">
        <v>32</v>
      </c>
      <c r="G1173" s="1" t="s">
        <v>24</v>
      </c>
      <c r="H1173" s="1" t="s">
        <v>89</v>
      </c>
      <c r="I1173" s="1" t="s">
        <v>59</v>
      </c>
      <c r="J1173" s="1" t="s">
        <v>60</v>
      </c>
      <c r="K1173" s="1" t="s">
        <v>61</v>
      </c>
      <c r="L1173">
        <v>2</v>
      </c>
      <c r="M1173">
        <v>999</v>
      </c>
      <c r="N1173">
        <v>0.05</v>
      </c>
      <c r="O1173">
        <v>1898.1</v>
      </c>
      <c r="P1173">
        <v>520</v>
      </c>
      <c r="Q1173">
        <v>1040</v>
      </c>
      <c r="R1173">
        <v>40</v>
      </c>
      <c r="S1173">
        <v>818.1</v>
      </c>
    </row>
    <row r="1174" spans="1:19" x14ac:dyDescent="0.3">
      <c r="A1174" s="1" t="s">
        <v>1669</v>
      </c>
      <c r="B1174" s="4">
        <v>45864</v>
      </c>
      <c r="C1174" s="1" t="s">
        <v>980</v>
      </c>
      <c r="D1174" s="1" t="s">
        <v>48</v>
      </c>
      <c r="E1174" s="1" t="s">
        <v>96</v>
      </c>
      <c r="F1174" s="1" t="s">
        <v>97</v>
      </c>
      <c r="G1174" s="1" t="s">
        <v>42</v>
      </c>
      <c r="H1174" s="1" t="s">
        <v>34</v>
      </c>
      <c r="I1174" s="1" t="s">
        <v>134</v>
      </c>
      <c r="J1174" s="1" t="s">
        <v>135</v>
      </c>
      <c r="K1174" s="1" t="s">
        <v>136</v>
      </c>
      <c r="L1174">
        <v>2</v>
      </c>
      <c r="M1174">
        <v>299</v>
      </c>
      <c r="N1174">
        <v>0.15</v>
      </c>
      <c r="O1174">
        <v>508.3</v>
      </c>
      <c r="P1174">
        <v>110</v>
      </c>
      <c r="Q1174">
        <v>220</v>
      </c>
      <c r="R1174">
        <v>100</v>
      </c>
      <c r="S1174">
        <v>188.3</v>
      </c>
    </row>
    <row r="1175" spans="1:19" x14ac:dyDescent="0.3">
      <c r="A1175" s="1" t="s">
        <v>1670</v>
      </c>
      <c r="B1175" s="4">
        <v>45865</v>
      </c>
      <c r="C1175" s="1" t="s">
        <v>822</v>
      </c>
      <c r="D1175" s="1" t="s">
        <v>40</v>
      </c>
      <c r="E1175" s="1" t="s">
        <v>41</v>
      </c>
      <c r="F1175" s="1" t="s">
        <v>32</v>
      </c>
      <c r="G1175" s="1" t="s">
        <v>24</v>
      </c>
      <c r="H1175" s="1" t="s">
        <v>34</v>
      </c>
      <c r="I1175" s="1" t="s">
        <v>59</v>
      </c>
      <c r="J1175" s="1" t="s">
        <v>60</v>
      </c>
      <c r="K1175" s="1" t="s">
        <v>61</v>
      </c>
      <c r="L1175">
        <v>4</v>
      </c>
      <c r="M1175">
        <v>999</v>
      </c>
      <c r="N1175">
        <v>0</v>
      </c>
      <c r="O1175">
        <v>3996</v>
      </c>
      <c r="P1175">
        <v>520</v>
      </c>
      <c r="Q1175">
        <v>2080</v>
      </c>
      <c r="R1175">
        <v>80</v>
      </c>
      <c r="S1175">
        <v>1836</v>
      </c>
    </row>
    <row r="1176" spans="1:19" x14ac:dyDescent="0.3">
      <c r="A1176" s="1" t="s">
        <v>1671</v>
      </c>
      <c r="B1176" s="4">
        <v>45865</v>
      </c>
      <c r="C1176" s="1" t="s">
        <v>599</v>
      </c>
      <c r="D1176" s="1" t="s">
        <v>40</v>
      </c>
      <c r="E1176" s="1" t="s">
        <v>70</v>
      </c>
      <c r="F1176" s="1" t="s">
        <v>70</v>
      </c>
      <c r="G1176" s="1" t="s">
        <v>42</v>
      </c>
      <c r="H1176" s="1" t="s">
        <v>71</v>
      </c>
      <c r="I1176" s="1" t="s">
        <v>59</v>
      </c>
      <c r="J1176" s="1" t="s">
        <v>60</v>
      </c>
      <c r="K1176" s="1" t="s">
        <v>61</v>
      </c>
      <c r="L1176">
        <v>1</v>
      </c>
      <c r="M1176">
        <v>999</v>
      </c>
      <c r="N1176">
        <v>0</v>
      </c>
      <c r="O1176">
        <v>999</v>
      </c>
      <c r="P1176">
        <v>520</v>
      </c>
      <c r="Q1176">
        <v>520</v>
      </c>
      <c r="R1176">
        <v>40</v>
      </c>
      <c r="S1176">
        <v>439</v>
      </c>
    </row>
    <row r="1177" spans="1:19" x14ac:dyDescent="0.3">
      <c r="A1177" s="1" t="s">
        <v>1672</v>
      </c>
      <c r="B1177" s="4">
        <v>45866</v>
      </c>
      <c r="C1177" s="1" t="s">
        <v>1123</v>
      </c>
      <c r="D1177" s="1" t="s">
        <v>21</v>
      </c>
      <c r="E1177" s="1" t="s">
        <v>31</v>
      </c>
      <c r="F1177" s="1" t="s">
        <v>32</v>
      </c>
      <c r="G1177" s="1" t="s">
        <v>24</v>
      </c>
      <c r="H1177" s="1" t="s">
        <v>34</v>
      </c>
      <c r="I1177" s="1" t="s">
        <v>35</v>
      </c>
      <c r="J1177" s="1" t="s">
        <v>36</v>
      </c>
      <c r="K1177" s="1" t="s">
        <v>37</v>
      </c>
      <c r="L1177">
        <v>2</v>
      </c>
      <c r="M1177">
        <v>1299</v>
      </c>
      <c r="N1177">
        <v>0.2</v>
      </c>
      <c r="O1177">
        <v>2078.4</v>
      </c>
      <c r="P1177">
        <v>700</v>
      </c>
      <c r="Q1177">
        <v>1400</v>
      </c>
      <c r="R1177">
        <v>0</v>
      </c>
      <c r="S1177">
        <v>678.4</v>
      </c>
    </row>
    <row r="1178" spans="1:19" x14ac:dyDescent="0.3">
      <c r="A1178" s="1" t="s">
        <v>1673</v>
      </c>
      <c r="B1178" s="4">
        <v>45866</v>
      </c>
      <c r="C1178" s="1" t="s">
        <v>698</v>
      </c>
      <c r="D1178" s="1" t="s">
        <v>40</v>
      </c>
      <c r="E1178" s="1" t="s">
        <v>49</v>
      </c>
      <c r="F1178" s="1" t="s">
        <v>50</v>
      </c>
      <c r="G1178" s="1" t="s">
        <v>24</v>
      </c>
      <c r="H1178" s="1" t="s">
        <v>34</v>
      </c>
      <c r="I1178" s="1" t="s">
        <v>72</v>
      </c>
      <c r="J1178" s="1" t="s">
        <v>73</v>
      </c>
      <c r="K1178" s="1" t="s">
        <v>28</v>
      </c>
      <c r="L1178">
        <v>3</v>
      </c>
      <c r="M1178">
        <v>2199</v>
      </c>
      <c r="N1178">
        <v>0</v>
      </c>
      <c r="O1178">
        <v>6597</v>
      </c>
      <c r="P1178">
        <v>1250</v>
      </c>
      <c r="Q1178">
        <v>3750</v>
      </c>
      <c r="R1178">
        <v>60</v>
      </c>
      <c r="S1178">
        <v>2787</v>
      </c>
    </row>
    <row r="1179" spans="1:19" x14ac:dyDescent="0.3">
      <c r="A1179" s="1" t="s">
        <v>1674</v>
      </c>
      <c r="B1179" s="4">
        <v>45866</v>
      </c>
      <c r="C1179" s="1" t="s">
        <v>862</v>
      </c>
      <c r="D1179" s="1" t="s">
        <v>21</v>
      </c>
      <c r="E1179" s="1" t="s">
        <v>31</v>
      </c>
      <c r="F1179" s="1" t="s">
        <v>32</v>
      </c>
      <c r="G1179" s="1" t="s">
        <v>24</v>
      </c>
      <c r="H1179" s="1" t="s">
        <v>71</v>
      </c>
      <c r="I1179" s="1" t="s">
        <v>134</v>
      </c>
      <c r="J1179" s="1" t="s">
        <v>135</v>
      </c>
      <c r="K1179" s="1" t="s">
        <v>136</v>
      </c>
      <c r="L1179">
        <v>1</v>
      </c>
      <c r="M1179">
        <v>299</v>
      </c>
      <c r="N1179">
        <v>0.2</v>
      </c>
      <c r="O1179">
        <v>239.2</v>
      </c>
      <c r="P1179">
        <v>110</v>
      </c>
      <c r="Q1179">
        <v>110</v>
      </c>
      <c r="R1179">
        <v>100</v>
      </c>
      <c r="S1179">
        <v>29.2</v>
      </c>
    </row>
    <row r="1180" spans="1:19" x14ac:dyDescent="0.3">
      <c r="A1180" s="1" t="s">
        <v>1675</v>
      </c>
      <c r="B1180" s="4">
        <v>45866</v>
      </c>
      <c r="C1180" s="1" t="s">
        <v>123</v>
      </c>
      <c r="D1180" s="1" t="s">
        <v>21</v>
      </c>
      <c r="E1180" s="1" t="s">
        <v>112</v>
      </c>
      <c r="F1180" s="1" t="s">
        <v>113</v>
      </c>
      <c r="G1180" s="1" t="s">
        <v>24</v>
      </c>
      <c r="H1180" s="1" t="s">
        <v>71</v>
      </c>
      <c r="I1180" s="1" t="s">
        <v>51</v>
      </c>
      <c r="J1180" s="1" t="s">
        <v>52</v>
      </c>
      <c r="K1180" s="1" t="s">
        <v>37</v>
      </c>
      <c r="L1180">
        <v>2</v>
      </c>
      <c r="M1180">
        <v>499</v>
      </c>
      <c r="N1180">
        <v>0.2</v>
      </c>
      <c r="O1180">
        <v>798.4</v>
      </c>
      <c r="P1180">
        <v>180</v>
      </c>
      <c r="Q1180">
        <v>360</v>
      </c>
      <c r="R1180">
        <v>100</v>
      </c>
      <c r="S1180">
        <v>338.4</v>
      </c>
    </row>
    <row r="1181" spans="1:19" x14ac:dyDescent="0.3">
      <c r="A1181" s="1" t="s">
        <v>1676</v>
      </c>
      <c r="B1181" s="4">
        <v>45866</v>
      </c>
      <c r="C1181" s="1" t="s">
        <v>323</v>
      </c>
      <c r="D1181" s="1" t="s">
        <v>21</v>
      </c>
      <c r="E1181" s="1" t="s">
        <v>120</v>
      </c>
      <c r="F1181" s="1" t="s">
        <v>121</v>
      </c>
      <c r="G1181" s="1" t="s">
        <v>24</v>
      </c>
      <c r="H1181" s="1" t="s">
        <v>89</v>
      </c>
      <c r="I1181" s="1" t="s">
        <v>26</v>
      </c>
      <c r="J1181" s="1" t="s">
        <v>27</v>
      </c>
      <c r="K1181" s="1" t="s">
        <v>28</v>
      </c>
      <c r="L1181">
        <v>1</v>
      </c>
      <c r="M1181">
        <v>799</v>
      </c>
      <c r="N1181">
        <v>0.2</v>
      </c>
      <c r="O1181">
        <v>639.20000000000005</v>
      </c>
      <c r="P1181">
        <v>420</v>
      </c>
      <c r="Q1181">
        <v>420</v>
      </c>
      <c r="R1181">
        <v>40</v>
      </c>
      <c r="S1181">
        <v>179.2</v>
      </c>
    </row>
    <row r="1182" spans="1:19" x14ac:dyDescent="0.3">
      <c r="A1182" s="1" t="s">
        <v>1677</v>
      </c>
      <c r="B1182" s="4">
        <v>45867</v>
      </c>
      <c r="C1182" s="1" t="s">
        <v>129</v>
      </c>
      <c r="D1182" s="1" t="s">
        <v>40</v>
      </c>
      <c r="E1182" s="1" t="s">
        <v>49</v>
      </c>
      <c r="F1182" s="1" t="s">
        <v>50</v>
      </c>
      <c r="G1182" s="1" t="s">
        <v>24</v>
      </c>
      <c r="H1182" s="1" t="s">
        <v>71</v>
      </c>
      <c r="I1182" s="1" t="s">
        <v>26</v>
      </c>
      <c r="J1182" s="1" t="s">
        <v>27</v>
      </c>
      <c r="K1182" s="1" t="s">
        <v>28</v>
      </c>
      <c r="L1182">
        <v>2</v>
      </c>
      <c r="M1182">
        <v>799</v>
      </c>
      <c r="N1182">
        <v>0</v>
      </c>
      <c r="O1182">
        <v>1598</v>
      </c>
      <c r="P1182">
        <v>420</v>
      </c>
      <c r="Q1182">
        <v>840</v>
      </c>
      <c r="R1182">
        <v>0</v>
      </c>
      <c r="S1182">
        <v>758</v>
      </c>
    </row>
    <row r="1183" spans="1:19" x14ac:dyDescent="0.3">
      <c r="A1183" s="1" t="s">
        <v>1678</v>
      </c>
      <c r="B1183" s="4">
        <v>45867</v>
      </c>
      <c r="C1183" s="1" t="s">
        <v>547</v>
      </c>
      <c r="D1183" s="1" t="s">
        <v>21</v>
      </c>
      <c r="E1183" s="1" t="s">
        <v>41</v>
      </c>
      <c r="F1183" s="1" t="s">
        <v>32</v>
      </c>
      <c r="G1183" s="1" t="s">
        <v>24</v>
      </c>
      <c r="H1183" s="1" t="s">
        <v>25</v>
      </c>
      <c r="I1183" s="1" t="s">
        <v>81</v>
      </c>
      <c r="J1183" s="1" t="s">
        <v>82</v>
      </c>
      <c r="K1183" s="1" t="s">
        <v>61</v>
      </c>
      <c r="L1183">
        <v>2</v>
      </c>
      <c r="M1183">
        <v>2999</v>
      </c>
      <c r="N1183">
        <v>0.1</v>
      </c>
      <c r="O1183">
        <v>5398.2</v>
      </c>
      <c r="P1183">
        <v>1750</v>
      </c>
      <c r="Q1183">
        <v>3500</v>
      </c>
      <c r="R1183">
        <v>60</v>
      </c>
      <c r="S1183">
        <v>1838.2</v>
      </c>
    </row>
    <row r="1184" spans="1:19" x14ac:dyDescent="0.3">
      <c r="A1184" s="1" t="s">
        <v>1679</v>
      </c>
      <c r="B1184" s="4">
        <v>45867</v>
      </c>
      <c r="C1184" s="1" t="s">
        <v>984</v>
      </c>
      <c r="D1184" s="1" t="s">
        <v>21</v>
      </c>
      <c r="E1184" s="1" t="s">
        <v>64</v>
      </c>
      <c r="F1184" s="1" t="s">
        <v>65</v>
      </c>
      <c r="G1184" s="1" t="s">
        <v>24</v>
      </c>
      <c r="H1184" s="1" t="s">
        <v>71</v>
      </c>
      <c r="I1184" s="1" t="s">
        <v>92</v>
      </c>
      <c r="J1184" s="1" t="s">
        <v>93</v>
      </c>
      <c r="K1184" s="1" t="s">
        <v>28</v>
      </c>
      <c r="L1184">
        <v>2</v>
      </c>
      <c r="M1184">
        <v>1599</v>
      </c>
      <c r="N1184">
        <v>0.1</v>
      </c>
      <c r="O1184">
        <v>2878.2</v>
      </c>
      <c r="P1184">
        <v>900</v>
      </c>
      <c r="Q1184">
        <v>1800</v>
      </c>
      <c r="R1184">
        <v>60</v>
      </c>
      <c r="S1184">
        <v>1018.2</v>
      </c>
    </row>
    <row r="1185" spans="1:19" x14ac:dyDescent="0.3">
      <c r="A1185" s="1" t="s">
        <v>1680</v>
      </c>
      <c r="B1185" s="4">
        <v>45867</v>
      </c>
      <c r="C1185" s="1" t="s">
        <v>992</v>
      </c>
      <c r="D1185" s="1" t="s">
        <v>40</v>
      </c>
      <c r="E1185" s="1" t="s">
        <v>124</v>
      </c>
      <c r="F1185" s="1" t="s">
        <v>125</v>
      </c>
      <c r="G1185" s="1" t="s">
        <v>42</v>
      </c>
      <c r="H1185" s="1" t="s">
        <v>34</v>
      </c>
      <c r="I1185" s="1" t="s">
        <v>51</v>
      </c>
      <c r="J1185" s="1" t="s">
        <v>52</v>
      </c>
      <c r="K1185" s="1" t="s">
        <v>37</v>
      </c>
      <c r="L1185">
        <v>2</v>
      </c>
      <c r="M1185">
        <v>499</v>
      </c>
      <c r="N1185">
        <v>0.1</v>
      </c>
      <c r="O1185">
        <v>898.2</v>
      </c>
      <c r="P1185">
        <v>180</v>
      </c>
      <c r="Q1185">
        <v>360</v>
      </c>
      <c r="R1185">
        <v>60</v>
      </c>
      <c r="S1185">
        <v>478.2</v>
      </c>
    </row>
    <row r="1186" spans="1:19" x14ac:dyDescent="0.3">
      <c r="A1186" s="1" t="s">
        <v>1681</v>
      </c>
      <c r="B1186" s="4">
        <v>45869</v>
      </c>
      <c r="C1186" s="1" t="s">
        <v>429</v>
      </c>
      <c r="D1186" s="1" t="s">
        <v>48</v>
      </c>
      <c r="E1186" s="1" t="s">
        <v>124</v>
      </c>
      <c r="F1186" s="1" t="s">
        <v>125</v>
      </c>
      <c r="G1186" s="1" t="s">
        <v>33</v>
      </c>
      <c r="H1186" s="1" t="s">
        <v>56</v>
      </c>
      <c r="I1186" s="1" t="s">
        <v>134</v>
      </c>
      <c r="J1186" s="1" t="s">
        <v>135</v>
      </c>
      <c r="K1186" s="1" t="s">
        <v>136</v>
      </c>
      <c r="L1186">
        <v>2</v>
      </c>
      <c r="M1186">
        <v>299</v>
      </c>
      <c r="N1186">
        <v>0.15</v>
      </c>
      <c r="O1186">
        <v>508.3</v>
      </c>
      <c r="P1186">
        <v>110</v>
      </c>
      <c r="Q1186">
        <v>220</v>
      </c>
      <c r="R1186">
        <v>100</v>
      </c>
      <c r="S1186">
        <v>188.3</v>
      </c>
    </row>
    <row r="1187" spans="1:19" x14ac:dyDescent="0.3">
      <c r="A1187" s="1" t="s">
        <v>1682</v>
      </c>
      <c r="B1187" s="4">
        <v>45869</v>
      </c>
      <c r="C1187" s="1" t="s">
        <v>494</v>
      </c>
      <c r="D1187" s="1" t="s">
        <v>48</v>
      </c>
      <c r="E1187" s="1" t="s">
        <v>70</v>
      </c>
      <c r="F1187" s="1" t="s">
        <v>70</v>
      </c>
      <c r="G1187" s="1" t="s">
        <v>24</v>
      </c>
      <c r="H1187" s="1" t="s">
        <v>25</v>
      </c>
      <c r="I1187" s="1" t="s">
        <v>51</v>
      </c>
      <c r="J1187" s="1" t="s">
        <v>52</v>
      </c>
      <c r="K1187" s="1" t="s">
        <v>37</v>
      </c>
      <c r="L1187">
        <v>2</v>
      </c>
      <c r="M1187">
        <v>499</v>
      </c>
      <c r="N1187">
        <v>0.05</v>
      </c>
      <c r="O1187">
        <v>948.1</v>
      </c>
      <c r="P1187">
        <v>180</v>
      </c>
      <c r="Q1187">
        <v>360</v>
      </c>
      <c r="R1187">
        <v>60</v>
      </c>
      <c r="S1187">
        <v>528.1</v>
      </c>
    </row>
    <row r="1188" spans="1:19" x14ac:dyDescent="0.3">
      <c r="A1188" s="1" t="s">
        <v>1683</v>
      </c>
      <c r="B1188" s="4">
        <v>45870</v>
      </c>
      <c r="C1188" s="1" t="s">
        <v>165</v>
      </c>
      <c r="D1188" s="1" t="s">
        <v>40</v>
      </c>
      <c r="E1188" s="1" t="s">
        <v>41</v>
      </c>
      <c r="F1188" s="1" t="s">
        <v>32</v>
      </c>
      <c r="G1188" s="1" t="s">
        <v>24</v>
      </c>
      <c r="H1188" s="1" t="s">
        <v>25</v>
      </c>
      <c r="I1188" s="1" t="s">
        <v>51</v>
      </c>
      <c r="J1188" s="1" t="s">
        <v>52</v>
      </c>
      <c r="K1188" s="1" t="s">
        <v>37</v>
      </c>
      <c r="L1188">
        <v>5</v>
      </c>
      <c r="M1188">
        <v>499</v>
      </c>
      <c r="N1188">
        <v>0</v>
      </c>
      <c r="O1188">
        <v>2495</v>
      </c>
      <c r="P1188">
        <v>180</v>
      </c>
      <c r="Q1188">
        <v>900</v>
      </c>
      <c r="R1188">
        <v>60</v>
      </c>
      <c r="S1188">
        <v>1535</v>
      </c>
    </row>
    <row r="1189" spans="1:19" x14ac:dyDescent="0.3">
      <c r="A1189" s="1" t="s">
        <v>1684</v>
      </c>
      <c r="B1189" s="4">
        <v>45870</v>
      </c>
      <c r="C1189" s="1" t="s">
        <v>257</v>
      </c>
      <c r="D1189" s="1" t="s">
        <v>48</v>
      </c>
      <c r="E1189" s="1" t="s">
        <v>120</v>
      </c>
      <c r="F1189" s="1" t="s">
        <v>121</v>
      </c>
      <c r="G1189" s="1" t="s">
        <v>24</v>
      </c>
      <c r="H1189" s="1" t="s">
        <v>89</v>
      </c>
      <c r="I1189" s="1" t="s">
        <v>51</v>
      </c>
      <c r="J1189" s="1" t="s">
        <v>52</v>
      </c>
      <c r="K1189" s="1" t="s">
        <v>37</v>
      </c>
      <c r="L1189">
        <v>5</v>
      </c>
      <c r="M1189">
        <v>499</v>
      </c>
      <c r="N1189">
        <v>0.2</v>
      </c>
      <c r="O1189">
        <v>1996</v>
      </c>
      <c r="P1189">
        <v>180</v>
      </c>
      <c r="Q1189">
        <v>900</v>
      </c>
      <c r="R1189">
        <v>60</v>
      </c>
      <c r="S1189">
        <v>1036</v>
      </c>
    </row>
    <row r="1190" spans="1:19" x14ac:dyDescent="0.3">
      <c r="A1190" s="1" t="s">
        <v>1685</v>
      </c>
      <c r="B1190" s="4">
        <v>45871</v>
      </c>
      <c r="C1190" s="1" t="s">
        <v>1686</v>
      </c>
      <c r="D1190" s="1" t="s">
        <v>48</v>
      </c>
      <c r="E1190" s="1" t="s">
        <v>96</v>
      </c>
      <c r="F1190" s="1" t="s">
        <v>97</v>
      </c>
      <c r="G1190" s="1" t="s">
        <v>42</v>
      </c>
      <c r="H1190" s="1" t="s">
        <v>56</v>
      </c>
      <c r="I1190" s="1" t="s">
        <v>43</v>
      </c>
      <c r="J1190" s="1" t="s">
        <v>44</v>
      </c>
      <c r="K1190" s="1" t="s">
        <v>45</v>
      </c>
      <c r="L1190">
        <v>4</v>
      </c>
      <c r="M1190">
        <v>1799</v>
      </c>
      <c r="N1190">
        <v>0.1</v>
      </c>
      <c r="O1190">
        <v>6476.4</v>
      </c>
      <c r="P1190">
        <v>850</v>
      </c>
      <c r="Q1190">
        <v>3400</v>
      </c>
      <c r="R1190">
        <v>80</v>
      </c>
      <c r="S1190">
        <v>2996.4</v>
      </c>
    </row>
    <row r="1191" spans="1:19" x14ac:dyDescent="0.3">
      <c r="A1191" s="1" t="s">
        <v>1687</v>
      </c>
      <c r="B1191" s="4">
        <v>45871</v>
      </c>
      <c r="C1191" s="1" t="s">
        <v>420</v>
      </c>
      <c r="D1191" s="1" t="s">
        <v>21</v>
      </c>
      <c r="E1191" s="1" t="s">
        <v>31</v>
      </c>
      <c r="F1191" s="1" t="s">
        <v>32</v>
      </c>
      <c r="G1191" s="1" t="s">
        <v>33</v>
      </c>
      <c r="H1191" s="1" t="s">
        <v>71</v>
      </c>
      <c r="I1191" s="1" t="s">
        <v>72</v>
      </c>
      <c r="J1191" s="1" t="s">
        <v>73</v>
      </c>
      <c r="K1191" s="1" t="s">
        <v>28</v>
      </c>
      <c r="L1191">
        <v>4</v>
      </c>
      <c r="M1191">
        <v>2199</v>
      </c>
      <c r="N1191">
        <v>0.2</v>
      </c>
      <c r="O1191">
        <v>7036.8</v>
      </c>
      <c r="P1191">
        <v>1250</v>
      </c>
      <c r="Q1191">
        <v>5000</v>
      </c>
      <c r="R1191">
        <v>100</v>
      </c>
      <c r="S1191">
        <v>1936.8</v>
      </c>
    </row>
    <row r="1192" spans="1:19" x14ac:dyDescent="0.3">
      <c r="A1192" s="1" t="s">
        <v>1688</v>
      </c>
      <c r="B1192" s="4">
        <v>45872</v>
      </c>
      <c r="C1192" s="1" t="s">
        <v>288</v>
      </c>
      <c r="D1192" s="1" t="s">
        <v>48</v>
      </c>
      <c r="E1192" s="1" t="s">
        <v>22</v>
      </c>
      <c r="F1192" s="1" t="s">
        <v>23</v>
      </c>
      <c r="G1192" s="1" t="s">
        <v>24</v>
      </c>
      <c r="H1192" s="1" t="s">
        <v>56</v>
      </c>
      <c r="I1192" s="1" t="s">
        <v>92</v>
      </c>
      <c r="J1192" s="1" t="s">
        <v>93</v>
      </c>
      <c r="K1192" s="1" t="s">
        <v>28</v>
      </c>
      <c r="L1192">
        <v>2</v>
      </c>
      <c r="M1192">
        <v>1599</v>
      </c>
      <c r="N1192">
        <v>0.05</v>
      </c>
      <c r="O1192">
        <v>3038.1</v>
      </c>
      <c r="P1192">
        <v>900</v>
      </c>
      <c r="Q1192">
        <v>1800</v>
      </c>
      <c r="R1192">
        <v>80</v>
      </c>
      <c r="S1192">
        <v>1158.0999999999999</v>
      </c>
    </row>
    <row r="1193" spans="1:19" x14ac:dyDescent="0.3">
      <c r="A1193" s="1" t="s">
        <v>1689</v>
      </c>
      <c r="B1193" s="4">
        <v>45873</v>
      </c>
      <c r="C1193" s="1" t="s">
        <v>676</v>
      </c>
      <c r="D1193" s="1" t="s">
        <v>48</v>
      </c>
      <c r="E1193" s="1" t="s">
        <v>49</v>
      </c>
      <c r="F1193" s="1" t="s">
        <v>50</v>
      </c>
      <c r="G1193" s="1" t="s">
        <v>42</v>
      </c>
      <c r="H1193" s="1" t="s">
        <v>34</v>
      </c>
      <c r="I1193" s="1" t="s">
        <v>26</v>
      </c>
      <c r="J1193" s="1" t="s">
        <v>27</v>
      </c>
      <c r="K1193" s="1" t="s">
        <v>28</v>
      </c>
      <c r="L1193">
        <v>1</v>
      </c>
      <c r="M1193">
        <v>799</v>
      </c>
      <c r="N1193">
        <v>0.05</v>
      </c>
      <c r="O1193">
        <v>759.05</v>
      </c>
      <c r="P1193">
        <v>420</v>
      </c>
      <c r="Q1193">
        <v>420</v>
      </c>
      <c r="R1193">
        <v>100</v>
      </c>
      <c r="S1193">
        <v>239.05</v>
      </c>
    </row>
    <row r="1194" spans="1:19" x14ac:dyDescent="0.3">
      <c r="A1194" s="1" t="s">
        <v>1690</v>
      </c>
      <c r="B1194" s="4">
        <v>45873</v>
      </c>
      <c r="C1194" s="1" t="s">
        <v>1057</v>
      </c>
      <c r="D1194" s="1" t="s">
        <v>40</v>
      </c>
      <c r="E1194" s="1" t="s">
        <v>120</v>
      </c>
      <c r="F1194" s="1" t="s">
        <v>121</v>
      </c>
      <c r="G1194" s="1" t="s">
        <v>33</v>
      </c>
      <c r="H1194" s="1" t="s">
        <v>25</v>
      </c>
      <c r="I1194" s="1" t="s">
        <v>134</v>
      </c>
      <c r="J1194" s="1" t="s">
        <v>135</v>
      </c>
      <c r="K1194" s="1" t="s">
        <v>136</v>
      </c>
      <c r="L1194">
        <v>1</v>
      </c>
      <c r="M1194">
        <v>299</v>
      </c>
      <c r="N1194">
        <v>0</v>
      </c>
      <c r="O1194">
        <v>299</v>
      </c>
      <c r="P1194">
        <v>110</v>
      </c>
      <c r="Q1194">
        <v>110</v>
      </c>
      <c r="R1194">
        <v>80</v>
      </c>
      <c r="S1194">
        <v>109</v>
      </c>
    </row>
    <row r="1195" spans="1:19" x14ac:dyDescent="0.3">
      <c r="A1195" s="1" t="s">
        <v>1691</v>
      </c>
      <c r="B1195" s="4">
        <v>45874</v>
      </c>
      <c r="C1195" s="1" t="s">
        <v>107</v>
      </c>
      <c r="D1195" s="1" t="s">
        <v>21</v>
      </c>
      <c r="E1195" s="1" t="s">
        <v>96</v>
      </c>
      <c r="F1195" s="1" t="s">
        <v>97</v>
      </c>
      <c r="G1195" s="1" t="s">
        <v>24</v>
      </c>
      <c r="H1195" s="1" t="s">
        <v>89</v>
      </c>
      <c r="I1195" s="1" t="s">
        <v>35</v>
      </c>
      <c r="J1195" s="1" t="s">
        <v>36</v>
      </c>
      <c r="K1195" s="1" t="s">
        <v>37</v>
      </c>
      <c r="L1195">
        <v>2</v>
      </c>
      <c r="M1195">
        <v>1299</v>
      </c>
      <c r="N1195">
        <v>0.1</v>
      </c>
      <c r="O1195">
        <v>2338.1999999999998</v>
      </c>
      <c r="P1195">
        <v>700</v>
      </c>
      <c r="Q1195">
        <v>1400</v>
      </c>
      <c r="R1195">
        <v>60</v>
      </c>
      <c r="S1195">
        <v>878.2</v>
      </c>
    </row>
    <row r="1196" spans="1:19" x14ac:dyDescent="0.3">
      <c r="A1196" s="1" t="s">
        <v>1692</v>
      </c>
      <c r="B1196" s="4">
        <v>45875</v>
      </c>
      <c r="C1196" s="1" t="s">
        <v>222</v>
      </c>
      <c r="D1196" s="1" t="s">
        <v>48</v>
      </c>
      <c r="E1196" s="1" t="s">
        <v>70</v>
      </c>
      <c r="F1196" s="1" t="s">
        <v>70</v>
      </c>
      <c r="G1196" s="1" t="s">
        <v>33</v>
      </c>
      <c r="H1196" s="1" t="s">
        <v>71</v>
      </c>
      <c r="I1196" s="1" t="s">
        <v>81</v>
      </c>
      <c r="J1196" s="1" t="s">
        <v>82</v>
      </c>
      <c r="K1196" s="1" t="s">
        <v>61</v>
      </c>
      <c r="L1196">
        <v>2</v>
      </c>
      <c r="M1196">
        <v>2999</v>
      </c>
      <c r="N1196">
        <v>0.15</v>
      </c>
      <c r="O1196">
        <v>5098.3</v>
      </c>
      <c r="P1196">
        <v>1750</v>
      </c>
      <c r="Q1196">
        <v>3500</v>
      </c>
      <c r="R1196">
        <v>100</v>
      </c>
      <c r="S1196">
        <v>1498.3</v>
      </c>
    </row>
    <row r="1197" spans="1:19" x14ac:dyDescent="0.3">
      <c r="A1197" s="1" t="s">
        <v>1693</v>
      </c>
      <c r="B1197" s="4">
        <v>45875</v>
      </c>
      <c r="C1197" s="1" t="s">
        <v>341</v>
      </c>
      <c r="D1197" s="1" t="s">
        <v>48</v>
      </c>
      <c r="E1197" s="1" t="s">
        <v>41</v>
      </c>
      <c r="F1197" s="1" t="s">
        <v>32</v>
      </c>
      <c r="G1197" s="1" t="s">
        <v>33</v>
      </c>
      <c r="H1197" s="1" t="s">
        <v>34</v>
      </c>
      <c r="I1197" s="1" t="s">
        <v>59</v>
      </c>
      <c r="J1197" s="1" t="s">
        <v>60</v>
      </c>
      <c r="K1197" s="1" t="s">
        <v>61</v>
      </c>
      <c r="L1197">
        <v>1</v>
      </c>
      <c r="M1197">
        <v>999</v>
      </c>
      <c r="N1197">
        <v>0</v>
      </c>
      <c r="O1197">
        <v>999</v>
      </c>
      <c r="P1197">
        <v>520</v>
      </c>
      <c r="Q1197">
        <v>520</v>
      </c>
      <c r="R1197">
        <v>0</v>
      </c>
      <c r="S1197">
        <v>479</v>
      </c>
    </row>
    <row r="1198" spans="1:19" x14ac:dyDescent="0.3">
      <c r="A1198" s="1" t="s">
        <v>1694</v>
      </c>
      <c r="B1198" s="4">
        <v>45876</v>
      </c>
      <c r="C1198" s="1" t="s">
        <v>246</v>
      </c>
      <c r="D1198" s="1" t="s">
        <v>48</v>
      </c>
      <c r="E1198" s="1" t="s">
        <v>70</v>
      </c>
      <c r="F1198" s="1" t="s">
        <v>70</v>
      </c>
      <c r="G1198" s="1" t="s">
        <v>33</v>
      </c>
      <c r="H1198" s="1" t="s">
        <v>56</v>
      </c>
      <c r="I1198" s="1" t="s">
        <v>72</v>
      </c>
      <c r="J1198" s="1" t="s">
        <v>73</v>
      </c>
      <c r="K1198" s="1" t="s">
        <v>28</v>
      </c>
      <c r="L1198">
        <v>2</v>
      </c>
      <c r="M1198">
        <v>2199</v>
      </c>
      <c r="N1198">
        <v>0.1</v>
      </c>
      <c r="O1198">
        <v>3958.2</v>
      </c>
      <c r="P1198">
        <v>1250</v>
      </c>
      <c r="Q1198">
        <v>2500</v>
      </c>
      <c r="R1198">
        <v>80</v>
      </c>
      <c r="S1198">
        <v>1378.2</v>
      </c>
    </row>
    <row r="1199" spans="1:19" x14ac:dyDescent="0.3">
      <c r="A1199" s="1" t="s">
        <v>1695</v>
      </c>
      <c r="B1199" s="4">
        <v>45876</v>
      </c>
      <c r="C1199" s="1" t="s">
        <v>457</v>
      </c>
      <c r="D1199" s="1" t="s">
        <v>48</v>
      </c>
      <c r="E1199" s="1" t="s">
        <v>120</v>
      </c>
      <c r="F1199" s="1" t="s">
        <v>121</v>
      </c>
      <c r="G1199" s="1" t="s">
        <v>24</v>
      </c>
      <c r="H1199" s="1" t="s">
        <v>71</v>
      </c>
      <c r="I1199" s="1" t="s">
        <v>76</v>
      </c>
      <c r="J1199" s="1" t="s">
        <v>77</v>
      </c>
      <c r="K1199" s="1" t="s">
        <v>37</v>
      </c>
      <c r="L1199">
        <v>3</v>
      </c>
      <c r="M1199">
        <v>6999</v>
      </c>
      <c r="N1199">
        <v>0.2</v>
      </c>
      <c r="O1199">
        <v>16797.599999999999</v>
      </c>
      <c r="P1199">
        <v>4900</v>
      </c>
      <c r="Q1199">
        <v>14700</v>
      </c>
      <c r="R1199">
        <v>80</v>
      </c>
      <c r="S1199">
        <v>2017.6</v>
      </c>
    </row>
    <row r="1200" spans="1:19" x14ac:dyDescent="0.3">
      <c r="A1200" s="1" t="s">
        <v>1696</v>
      </c>
      <c r="B1200" s="4">
        <v>45877</v>
      </c>
      <c r="C1200" s="1" t="s">
        <v>277</v>
      </c>
      <c r="D1200" s="1" t="s">
        <v>40</v>
      </c>
      <c r="E1200" s="1" t="s">
        <v>70</v>
      </c>
      <c r="F1200" s="1" t="s">
        <v>70</v>
      </c>
      <c r="G1200" s="1" t="s">
        <v>33</v>
      </c>
      <c r="H1200" s="1" t="s">
        <v>71</v>
      </c>
      <c r="I1200" s="1" t="s">
        <v>59</v>
      </c>
      <c r="J1200" s="1" t="s">
        <v>60</v>
      </c>
      <c r="K1200" s="1" t="s">
        <v>61</v>
      </c>
      <c r="L1200">
        <v>3</v>
      </c>
      <c r="M1200">
        <v>999</v>
      </c>
      <c r="N1200">
        <v>0</v>
      </c>
      <c r="O1200">
        <v>2997</v>
      </c>
      <c r="P1200">
        <v>520</v>
      </c>
      <c r="Q1200">
        <v>1560</v>
      </c>
      <c r="R1200">
        <v>0</v>
      </c>
      <c r="S1200">
        <v>1437</v>
      </c>
    </row>
    <row r="1201" spans="1:19" x14ac:dyDescent="0.3">
      <c r="A1201" s="1" t="s">
        <v>1697</v>
      </c>
      <c r="B1201" s="4">
        <v>45877</v>
      </c>
      <c r="C1201" s="1" t="s">
        <v>383</v>
      </c>
      <c r="D1201" s="1" t="s">
        <v>40</v>
      </c>
      <c r="E1201" s="1" t="s">
        <v>120</v>
      </c>
      <c r="F1201" s="1" t="s">
        <v>121</v>
      </c>
      <c r="G1201" s="1" t="s">
        <v>33</v>
      </c>
      <c r="H1201" s="1" t="s">
        <v>25</v>
      </c>
      <c r="I1201" s="1" t="s">
        <v>76</v>
      </c>
      <c r="J1201" s="1" t="s">
        <v>77</v>
      </c>
      <c r="K1201" s="1" t="s">
        <v>37</v>
      </c>
      <c r="L1201">
        <v>1</v>
      </c>
      <c r="M1201">
        <v>6999</v>
      </c>
      <c r="N1201">
        <v>0.15</v>
      </c>
      <c r="O1201">
        <v>5949.15</v>
      </c>
      <c r="P1201">
        <v>4900</v>
      </c>
      <c r="Q1201">
        <v>4900</v>
      </c>
      <c r="R1201">
        <v>80</v>
      </c>
      <c r="S1201">
        <v>969.15</v>
      </c>
    </row>
    <row r="1202" spans="1:19" x14ac:dyDescent="0.3">
      <c r="A1202" s="1" t="s">
        <v>1698</v>
      </c>
      <c r="B1202" s="4">
        <v>45878</v>
      </c>
      <c r="C1202" s="1" t="s">
        <v>323</v>
      </c>
      <c r="D1202" s="1" t="s">
        <v>40</v>
      </c>
      <c r="E1202" s="1" t="s">
        <v>124</v>
      </c>
      <c r="F1202" s="1" t="s">
        <v>125</v>
      </c>
      <c r="G1202" s="1" t="s">
        <v>33</v>
      </c>
      <c r="H1202" s="1" t="s">
        <v>71</v>
      </c>
      <c r="I1202" s="1" t="s">
        <v>85</v>
      </c>
      <c r="J1202" s="1" t="s">
        <v>86</v>
      </c>
      <c r="K1202" s="1" t="s">
        <v>45</v>
      </c>
      <c r="L1202">
        <v>1</v>
      </c>
      <c r="M1202">
        <v>599</v>
      </c>
      <c r="N1202">
        <v>0.1</v>
      </c>
      <c r="O1202">
        <v>539.1</v>
      </c>
      <c r="P1202">
        <v>240</v>
      </c>
      <c r="Q1202">
        <v>240</v>
      </c>
      <c r="R1202">
        <v>100</v>
      </c>
      <c r="S1202">
        <v>199.1</v>
      </c>
    </row>
    <row r="1203" spans="1:19" x14ac:dyDescent="0.3">
      <c r="A1203" s="1" t="s">
        <v>1699</v>
      </c>
      <c r="B1203" s="4">
        <v>45878</v>
      </c>
      <c r="C1203" s="1" t="s">
        <v>206</v>
      </c>
      <c r="D1203" s="1" t="s">
        <v>48</v>
      </c>
      <c r="E1203" s="1" t="s">
        <v>120</v>
      </c>
      <c r="F1203" s="1" t="s">
        <v>121</v>
      </c>
      <c r="G1203" s="1" t="s">
        <v>24</v>
      </c>
      <c r="H1203" s="1" t="s">
        <v>25</v>
      </c>
      <c r="I1203" s="1" t="s">
        <v>92</v>
      </c>
      <c r="J1203" s="1" t="s">
        <v>93</v>
      </c>
      <c r="K1203" s="1" t="s">
        <v>28</v>
      </c>
      <c r="L1203">
        <v>1</v>
      </c>
      <c r="M1203">
        <v>1599</v>
      </c>
      <c r="N1203">
        <v>0.05</v>
      </c>
      <c r="O1203">
        <v>1519.05</v>
      </c>
      <c r="P1203">
        <v>900</v>
      </c>
      <c r="Q1203">
        <v>900</v>
      </c>
      <c r="R1203">
        <v>40</v>
      </c>
      <c r="S1203">
        <v>579.04999999999995</v>
      </c>
    </row>
    <row r="1204" spans="1:19" x14ac:dyDescent="0.3">
      <c r="A1204" s="1" t="s">
        <v>1700</v>
      </c>
      <c r="B1204" s="4">
        <v>45878</v>
      </c>
      <c r="C1204" s="1" t="s">
        <v>389</v>
      </c>
      <c r="D1204" s="1" t="s">
        <v>48</v>
      </c>
      <c r="E1204" s="1" t="s">
        <v>22</v>
      </c>
      <c r="F1204" s="1" t="s">
        <v>23</v>
      </c>
      <c r="G1204" s="1" t="s">
        <v>24</v>
      </c>
      <c r="H1204" s="1" t="s">
        <v>71</v>
      </c>
      <c r="I1204" s="1" t="s">
        <v>134</v>
      </c>
      <c r="J1204" s="1" t="s">
        <v>135</v>
      </c>
      <c r="K1204" s="1" t="s">
        <v>136</v>
      </c>
      <c r="L1204">
        <v>1</v>
      </c>
      <c r="M1204">
        <v>299</v>
      </c>
      <c r="N1204">
        <v>0.15</v>
      </c>
      <c r="O1204">
        <v>254.15</v>
      </c>
      <c r="P1204">
        <v>110</v>
      </c>
      <c r="Q1204">
        <v>110</v>
      </c>
      <c r="R1204">
        <v>0</v>
      </c>
      <c r="S1204">
        <v>144.15</v>
      </c>
    </row>
    <row r="1205" spans="1:19" x14ac:dyDescent="0.3">
      <c r="A1205" s="1" t="s">
        <v>1701</v>
      </c>
      <c r="B1205" s="4">
        <v>45878</v>
      </c>
      <c r="C1205" s="1" t="s">
        <v>547</v>
      </c>
      <c r="D1205" s="1" t="s">
        <v>21</v>
      </c>
      <c r="E1205" s="1" t="s">
        <v>70</v>
      </c>
      <c r="F1205" s="1" t="s">
        <v>70</v>
      </c>
      <c r="G1205" s="1" t="s">
        <v>42</v>
      </c>
      <c r="H1205" s="1" t="s">
        <v>71</v>
      </c>
      <c r="I1205" s="1" t="s">
        <v>35</v>
      </c>
      <c r="J1205" s="1" t="s">
        <v>36</v>
      </c>
      <c r="K1205" s="1" t="s">
        <v>37</v>
      </c>
      <c r="L1205">
        <v>4</v>
      </c>
      <c r="M1205">
        <v>1299</v>
      </c>
      <c r="N1205">
        <v>0.15</v>
      </c>
      <c r="O1205">
        <v>4416.6000000000004</v>
      </c>
      <c r="P1205">
        <v>700</v>
      </c>
      <c r="Q1205">
        <v>2800</v>
      </c>
      <c r="R1205">
        <v>0</v>
      </c>
      <c r="S1205">
        <v>1616.6</v>
      </c>
    </row>
    <row r="1206" spans="1:19" x14ac:dyDescent="0.3">
      <c r="A1206" s="1" t="s">
        <v>1702</v>
      </c>
      <c r="B1206" s="4">
        <v>45879</v>
      </c>
      <c r="C1206" s="1" t="s">
        <v>888</v>
      </c>
      <c r="D1206" s="1" t="s">
        <v>21</v>
      </c>
      <c r="E1206" s="1" t="s">
        <v>80</v>
      </c>
      <c r="F1206" s="1" t="s">
        <v>55</v>
      </c>
      <c r="G1206" s="1" t="s">
        <v>42</v>
      </c>
      <c r="H1206" s="1" t="s">
        <v>34</v>
      </c>
      <c r="I1206" s="1" t="s">
        <v>59</v>
      </c>
      <c r="J1206" s="1" t="s">
        <v>60</v>
      </c>
      <c r="K1206" s="1" t="s">
        <v>61</v>
      </c>
      <c r="L1206">
        <v>5</v>
      </c>
      <c r="M1206">
        <v>999</v>
      </c>
      <c r="N1206">
        <v>0</v>
      </c>
      <c r="O1206">
        <v>4995</v>
      </c>
      <c r="P1206">
        <v>520</v>
      </c>
      <c r="Q1206">
        <v>2600</v>
      </c>
      <c r="R1206">
        <v>80</v>
      </c>
      <c r="S1206">
        <v>2315</v>
      </c>
    </row>
    <row r="1207" spans="1:19" x14ac:dyDescent="0.3">
      <c r="A1207" s="1" t="s">
        <v>1703</v>
      </c>
      <c r="B1207" s="4">
        <v>45880</v>
      </c>
      <c r="C1207" s="1" t="s">
        <v>489</v>
      </c>
      <c r="D1207" s="1" t="s">
        <v>48</v>
      </c>
      <c r="E1207" s="1" t="s">
        <v>49</v>
      </c>
      <c r="F1207" s="1" t="s">
        <v>50</v>
      </c>
      <c r="G1207" s="1" t="s">
        <v>42</v>
      </c>
      <c r="H1207" s="1" t="s">
        <v>71</v>
      </c>
      <c r="I1207" s="1" t="s">
        <v>92</v>
      </c>
      <c r="J1207" s="1" t="s">
        <v>93</v>
      </c>
      <c r="K1207" s="1" t="s">
        <v>28</v>
      </c>
      <c r="L1207">
        <v>2</v>
      </c>
      <c r="M1207">
        <v>1599</v>
      </c>
      <c r="N1207">
        <v>0.05</v>
      </c>
      <c r="O1207">
        <v>3038.1</v>
      </c>
      <c r="P1207">
        <v>900</v>
      </c>
      <c r="Q1207">
        <v>1800</v>
      </c>
      <c r="R1207">
        <v>40</v>
      </c>
      <c r="S1207">
        <v>1198.0999999999999</v>
      </c>
    </row>
    <row r="1208" spans="1:19" x14ac:dyDescent="0.3">
      <c r="A1208" s="1" t="s">
        <v>1704</v>
      </c>
      <c r="B1208" s="4">
        <v>45880</v>
      </c>
      <c r="C1208" s="1" t="s">
        <v>989</v>
      </c>
      <c r="D1208" s="1" t="s">
        <v>21</v>
      </c>
      <c r="E1208" s="1" t="s">
        <v>41</v>
      </c>
      <c r="F1208" s="1" t="s">
        <v>32</v>
      </c>
      <c r="G1208" s="1" t="s">
        <v>42</v>
      </c>
      <c r="H1208" s="1" t="s">
        <v>89</v>
      </c>
      <c r="I1208" s="1" t="s">
        <v>35</v>
      </c>
      <c r="J1208" s="1" t="s">
        <v>36</v>
      </c>
      <c r="K1208" s="1" t="s">
        <v>37</v>
      </c>
      <c r="L1208">
        <v>5</v>
      </c>
      <c r="M1208">
        <v>1299</v>
      </c>
      <c r="N1208">
        <v>0.05</v>
      </c>
      <c r="O1208">
        <v>6170.25</v>
      </c>
      <c r="P1208">
        <v>700</v>
      </c>
      <c r="Q1208">
        <v>3500</v>
      </c>
      <c r="R1208">
        <v>0</v>
      </c>
      <c r="S1208">
        <v>2670.25</v>
      </c>
    </row>
    <row r="1209" spans="1:19" x14ac:dyDescent="0.3">
      <c r="A1209" s="1" t="s">
        <v>1705</v>
      </c>
      <c r="B1209" s="4">
        <v>45881</v>
      </c>
      <c r="C1209" s="1" t="s">
        <v>773</v>
      </c>
      <c r="D1209" s="1" t="s">
        <v>48</v>
      </c>
      <c r="E1209" s="1" t="s">
        <v>96</v>
      </c>
      <c r="F1209" s="1" t="s">
        <v>97</v>
      </c>
      <c r="G1209" s="1" t="s">
        <v>42</v>
      </c>
      <c r="H1209" s="1" t="s">
        <v>89</v>
      </c>
      <c r="I1209" s="1" t="s">
        <v>66</v>
      </c>
      <c r="J1209" s="1" t="s">
        <v>67</v>
      </c>
      <c r="K1209" s="1" t="s">
        <v>28</v>
      </c>
      <c r="L1209">
        <v>1</v>
      </c>
      <c r="M1209">
        <v>2499</v>
      </c>
      <c r="N1209">
        <v>0</v>
      </c>
      <c r="O1209">
        <v>2499</v>
      </c>
      <c r="P1209">
        <v>1450</v>
      </c>
      <c r="Q1209">
        <v>1450</v>
      </c>
      <c r="R1209">
        <v>100</v>
      </c>
      <c r="S1209">
        <v>949</v>
      </c>
    </row>
    <row r="1210" spans="1:19" x14ac:dyDescent="0.3">
      <c r="A1210" s="1" t="s">
        <v>1706</v>
      </c>
      <c r="B1210" s="4">
        <v>45881</v>
      </c>
      <c r="C1210" s="1" t="s">
        <v>862</v>
      </c>
      <c r="D1210" s="1" t="s">
        <v>21</v>
      </c>
      <c r="E1210" s="1" t="s">
        <v>54</v>
      </c>
      <c r="F1210" s="1" t="s">
        <v>55</v>
      </c>
      <c r="G1210" s="1" t="s">
        <v>33</v>
      </c>
      <c r="H1210" s="1" t="s">
        <v>56</v>
      </c>
      <c r="I1210" s="1" t="s">
        <v>26</v>
      </c>
      <c r="J1210" s="1" t="s">
        <v>27</v>
      </c>
      <c r="K1210" s="1" t="s">
        <v>28</v>
      </c>
      <c r="L1210">
        <v>3</v>
      </c>
      <c r="M1210">
        <v>799</v>
      </c>
      <c r="N1210">
        <v>0</v>
      </c>
      <c r="O1210">
        <v>2397</v>
      </c>
      <c r="P1210">
        <v>420</v>
      </c>
      <c r="Q1210">
        <v>1260</v>
      </c>
      <c r="R1210">
        <v>100</v>
      </c>
      <c r="S1210">
        <v>1037</v>
      </c>
    </row>
    <row r="1211" spans="1:19" x14ac:dyDescent="0.3">
      <c r="A1211" s="1" t="s">
        <v>1707</v>
      </c>
      <c r="B1211" s="4">
        <v>45881</v>
      </c>
      <c r="C1211" s="1" t="s">
        <v>148</v>
      </c>
      <c r="D1211" s="1" t="s">
        <v>48</v>
      </c>
      <c r="E1211" s="1" t="s">
        <v>124</v>
      </c>
      <c r="F1211" s="1" t="s">
        <v>125</v>
      </c>
      <c r="G1211" s="1" t="s">
        <v>42</v>
      </c>
      <c r="H1211" s="1" t="s">
        <v>89</v>
      </c>
      <c r="I1211" s="1" t="s">
        <v>51</v>
      </c>
      <c r="J1211" s="1" t="s">
        <v>52</v>
      </c>
      <c r="K1211" s="1" t="s">
        <v>37</v>
      </c>
      <c r="L1211">
        <v>1</v>
      </c>
      <c r="M1211">
        <v>499</v>
      </c>
      <c r="N1211">
        <v>0.05</v>
      </c>
      <c r="O1211">
        <v>474.05</v>
      </c>
      <c r="P1211">
        <v>180</v>
      </c>
      <c r="Q1211">
        <v>180</v>
      </c>
      <c r="R1211">
        <v>80</v>
      </c>
      <c r="S1211">
        <v>214.05</v>
      </c>
    </row>
    <row r="1212" spans="1:19" x14ac:dyDescent="0.3">
      <c r="A1212" s="1" t="s">
        <v>1708</v>
      </c>
      <c r="B1212" s="4">
        <v>45882</v>
      </c>
      <c r="C1212" s="1" t="s">
        <v>474</v>
      </c>
      <c r="D1212" s="1" t="s">
        <v>21</v>
      </c>
      <c r="E1212" s="1" t="s">
        <v>124</v>
      </c>
      <c r="F1212" s="1" t="s">
        <v>125</v>
      </c>
      <c r="G1212" s="1" t="s">
        <v>33</v>
      </c>
      <c r="H1212" s="1" t="s">
        <v>25</v>
      </c>
      <c r="I1212" s="1" t="s">
        <v>59</v>
      </c>
      <c r="J1212" s="1" t="s">
        <v>60</v>
      </c>
      <c r="K1212" s="1" t="s">
        <v>61</v>
      </c>
      <c r="L1212">
        <v>1</v>
      </c>
      <c r="M1212">
        <v>999</v>
      </c>
      <c r="N1212">
        <v>0</v>
      </c>
      <c r="O1212">
        <v>999</v>
      </c>
      <c r="P1212">
        <v>520</v>
      </c>
      <c r="Q1212">
        <v>520</v>
      </c>
      <c r="R1212">
        <v>60</v>
      </c>
      <c r="S1212">
        <v>419</v>
      </c>
    </row>
    <row r="1213" spans="1:19" x14ac:dyDescent="0.3">
      <c r="A1213" s="1" t="s">
        <v>1709</v>
      </c>
      <c r="B1213" s="4">
        <v>45883</v>
      </c>
      <c r="C1213" s="1" t="s">
        <v>389</v>
      </c>
      <c r="D1213" s="1" t="s">
        <v>40</v>
      </c>
      <c r="E1213" s="1" t="s">
        <v>70</v>
      </c>
      <c r="F1213" s="1" t="s">
        <v>70</v>
      </c>
      <c r="G1213" s="1" t="s">
        <v>24</v>
      </c>
      <c r="H1213" s="1" t="s">
        <v>56</v>
      </c>
      <c r="I1213" s="1" t="s">
        <v>92</v>
      </c>
      <c r="J1213" s="1" t="s">
        <v>93</v>
      </c>
      <c r="K1213" s="1" t="s">
        <v>28</v>
      </c>
      <c r="L1213">
        <v>2</v>
      </c>
      <c r="M1213">
        <v>1599</v>
      </c>
      <c r="N1213">
        <v>0.1</v>
      </c>
      <c r="O1213">
        <v>2878.2</v>
      </c>
      <c r="P1213">
        <v>900</v>
      </c>
      <c r="Q1213">
        <v>1800</v>
      </c>
      <c r="R1213">
        <v>60</v>
      </c>
      <c r="S1213">
        <v>1018.2</v>
      </c>
    </row>
    <row r="1214" spans="1:19" x14ac:dyDescent="0.3">
      <c r="A1214" s="1" t="s">
        <v>1710</v>
      </c>
      <c r="B1214" s="4">
        <v>45883</v>
      </c>
      <c r="C1214" s="1" t="s">
        <v>392</v>
      </c>
      <c r="D1214" s="1" t="s">
        <v>40</v>
      </c>
      <c r="E1214" s="1" t="s">
        <v>22</v>
      </c>
      <c r="F1214" s="1" t="s">
        <v>23</v>
      </c>
      <c r="G1214" s="1" t="s">
        <v>42</v>
      </c>
      <c r="H1214" s="1" t="s">
        <v>34</v>
      </c>
      <c r="I1214" s="1" t="s">
        <v>51</v>
      </c>
      <c r="J1214" s="1" t="s">
        <v>52</v>
      </c>
      <c r="K1214" s="1" t="s">
        <v>37</v>
      </c>
      <c r="L1214">
        <v>2</v>
      </c>
      <c r="M1214">
        <v>499</v>
      </c>
      <c r="N1214">
        <v>0</v>
      </c>
      <c r="O1214">
        <v>998</v>
      </c>
      <c r="P1214">
        <v>180</v>
      </c>
      <c r="Q1214">
        <v>360</v>
      </c>
      <c r="R1214">
        <v>40</v>
      </c>
      <c r="S1214">
        <v>598</v>
      </c>
    </row>
    <row r="1215" spans="1:19" x14ac:dyDescent="0.3">
      <c r="A1215" s="1" t="s">
        <v>1711</v>
      </c>
      <c r="B1215" s="4">
        <v>45883</v>
      </c>
      <c r="C1215" s="1" t="s">
        <v>222</v>
      </c>
      <c r="D1215" s="1" t="s">
        <v>40</v>
      </c>
      <c r="E1215" s="1" t="s">
        <v>80</v>
      </c>
      <c r="F1215" s="1" t="s">
        <v>55</v>
      </c>
      <c r="G1215" s="1" t="s">
        <v>42</v>
      </c>
      <c r="H1215" s="1" t="s">
        <v>34</v>
      </c>
      <c r="I1215" s="1" t="s">
        <v>59</v>
      </c>
      <c r="J1215" s="1" t="s">
        <v>60</v>
      </c>
      <c r="K1215" s="1" t="s">
        <v>61</v>
      </c>
      <c r="L1215">
        <v>4</v>
      </c>
      <c r="M1215">
        <v>999</v>
      </c>
      <c r="N1215">
        <v>0.05</v>
      </c>
      <c r="O1215">
        <v>3796.2</v>
      </c>
      <c r="P1215">
        <v>520</v>
      </c>
      <c r="Q1215">
        <v>2080</v>
      </c>
      <c r="R1215">
        <v>40</v>
      </c>
      <c r="S1215">
        <v>1676.2</v>
      </c>
    </row>
    <row r="1216" spans="1:19" x14ac:dyDescent="0.3">
      <c r="A1216" s="1" t="s">
        <v>1712</v>
      </c>
      <c r="B1216" s="4">
        <v>45883</v>
      </c>
      <c r="C1216" s="1" t="s">
        <v>565</v>
      </c>
      <c r="D1216" s="1" t="s">
        <v>48</v>
      </c>
      <c r="E1216" s="1" t="s">
        <v>70</v>
      </c>
      <c r="F1216" s="1" t="s">
        <v>70</v>
      </c>
      <c r="G1216" s="1" t="s">
        <v>24</v>
      </c>
      <c r="H1216" s="1" t="s">
        <v>89</v>
      </c>
      <c r="I1216" s="1" t="s">
        <v>51</v>
      </c>
      <c r="J1216" s="1" t="s">
        <v>52</v>
      </c>
      <c r="K1216" s="1" t="s">
        <v>37</v>
      </c>
      <c r="L1216">
        <v>2</v>
      </c>
      <c r="M1216">
        <v>499</v>
      </c>
      <c r="N1216">
        <v>0.15</v>
      </c>
      <c r="O1216">
        <v>848.3</v>
      </c>
      <c r="P1216">
        <v>180</v>
      </c>
      <c r="Q1216">
        <v>360</v>
      </c>
      <c r="R1216">
        <v>80</v>
      </c>
      <c r="S1216">
        <v>408.3</v>
      </c>
    </row>
    <row r="1217" spans="1:19" x14ac:dyDescent="0.3">
      <c r="A1217" s="1" t="s">
        <v>1713</v>
      </c>
      <c r="B1217" s="4">
        <v>45884</v>
      </c>
      <c r="C1217" s="1" t="s">
        <v>736</v>
      </c>
      <c r="D1217" s="1" t="s">
        <v>48</v>
      </c>
      <c r="E1217" s="1" t="s">
        <v>31</v>
      </c>
      <c r="F1217" s="1" t="s">
        <v>32</v>
      </c>
      <c r="G1217" s="1" t="s">
        <v>33</v>
      </c>
      <c r="H1217" s="1" t="s">
        <v>34</v>
      </c>
      <c r="I1217" s="1" t="s">
        <v>66</v>
      </c>
      <c r="J1217" s="1" t="s">
        <v>67</v>
      </c>
      <c r="K1217" s="1" t="s">
        <v>28</v>
      </c>
      <c r="L1217">
        <v>2</v>
      </c>
      <c r="M1217">
        <v>2499</v>
      </c>
      <c r="N1217">
        <v>0.05</v>
      </c>
      <c r="O1217">
        <v>4748.1000000000004</v>
      </c>
      <c r="P1217">
        <v>1450</v>
      </c>
      <c r="Q1217">
        <v>2900</v>
      </c>
      <c r="R1217">
        <v>0</v>
      </c>
      <c r="S1217">
        <v>1848.1</v>
      </c>
    </row>
    <row r="1218" spans="1:19" x14ac:dyDescent="0.3">
      <c r="A1218" s="1" t="s">
        <v>1714</v>
      </c>
      <c r="B1218" s="4">
        <v>45885</v>
      </c>
      <c r="C1218" s="1" t="s">
        <v>281</v>
      </c>
      <c r="D1218" s="1" t="s">
        <v>21</v>
      </c>
      <c r="E1218" s="1" t="s">
        <v>112</v>
      </c>
      <c r="F1218" s="1" t="s">
        <v>113</v>
      </c>
      <c r="G1218" s="1" t="s">
        <v>24</v>
      </c>
      <c r="H1218" s="1" t="s">
        <v>71</v>
      </c>
      <c r="I1218" s="1" t="s">
        <v>85</v>
      </c>
      <c r="J1218" s="1" t="s">
        <v>86</v>
      </c>
      <c r="K1218" s="1" t="s">
        <v>45</v>
      </c>
      <c r="L1218">
        <v>2</v>
      </c>
      <c r="M1218">
        <v>599</v>
      </c>
      <c r="N1218">
        <v>0.15</v>
      </c>
      <c r="O1218">
        <v>1018.3</v>
      </c>
      <c r="P1218">
        <v>240</v>
      </c>
      <c r="Q1218">
        <v>480</v>
      </c>
      <c r="R1218">
        <v>0</v>
      </c>
      <c r="S1218">
        <v>538.29999999999995</v>
      </c>
    </row>
    <row r="1219" spans="1:19" x14ac:dyDescent="0.3">
      <c r="A1219" s="1" t="s">
        <v>1715</v>
      </c>
      <c r="B1219" s="4">
        <v>45886</v>
      </c>
      <c r="C1219" s="1" t="s">
        <v>402</v>
      </c>
      <c r="D1219" s="1" t="s">
        <v>21</v>
      </c>
      <c r="E1219" s="1" t="s">
        <v>124</v>
      </c>
      <c r="F1219" s="1" t="s">
        <v>125</v>
      </c>
      <c r="G1219" s="1" t="s">
        <v>24</v>
      </c>
      <c r="H1219" s="1" t="s">
        <v>34</v>
      </c>
      <c r="I1219" s="1" t="s">
        <v>72</v>
      </c>
      <c r="J1219" s="1" t="s">
        <v>73</v>
      </c>
      <c r="K1219" s="1" t="s">
        <v>28</v>
      </c>
      <c r="L1219">
        <v>1</v>
      </c>
      <c r="M1219">
        <v>2199</v>
      </c>
      <c r="N1219">
        <v>0.2</v>
      </c>
      <c r="O1219">
        <v>1759.2</v>
      </c>
      <c r="P1219">
        <v>1250</v>
      </c>
      <c r="Q1219">
        <v>1250</v>
      </c>
      <c r="R1219">
        <v>40</v>
      </c>
      <c r="S1219">
        <v>469.2</v>
      </c>
    </row>
    <row r="1220" spans="1:19" x14ac:dyDescent="0.3">
      <c r="A1220" s="1" t="s">
        <v>1716</v>
      </c>
      <c r="B1220" s="4">
        <v>45886</v>
      </c>
      <c r="C1220" s="1" t="s">
        <v>1717</v>
      </c>
      <c r="D1220" s="1" t="s">
        <v>48</v>
      </c>
      <c r="E1220" s="1" t="s">
        <v>80</v>
      </c>
      <c r="F1220" s="1" t="s">
        <v>55</v>
      </c>
      <c r="G1220" s="1" t="s">
        <v>42</v>
      </c>
      <c r="H1220" s="1" t="s">
        <v>34</v>
      </c>
      <c r="I1220" s="1" t="s">
        <v>66</v>
      </c>
      <c r="J1220" s="1" t="s">
        <v>67</v>
      </c>
      <c r="K1220" s="1" t="s">
        <v>28</v>
      </c>
      <c r="L1220">
        <v>2</v>
      </c>
      <c r="M1220">
        <v>2499</v>
      </c>
      <c r="N1220">
        <v>0.2</v>
      </c>
      <c r="O1220">
        <v>3998.4</v>
      </c>
      <c r="P1220">
        <v>1450</v>
      </c>
      <c r="Q1220">
        <v>2900</v>
      </c>
      <c r="R1220">
        <v>80</v>
      </c>
      <c r="S1220">
        <v>1018.4</v>
      </c>
    </row>
    <row r="1221" spans="1:19" x14ac:dyDescent="0.3">
      <c r="A1221" s="1" t="s">
        <v>1718</v>
      </c>
      <c r="B1221" s="4">
        <v>45886</v>
      </c>
      <c r="C1221" s="1" t="s">
        <v>208</v>
      </c>
      <c r="D1221" s="1" t="s">
        <v>48</v>
      </c>
      <c r="E1221" s="1" t="s">
        <v>124</v>
      </c>
      <c r="F1221" s="1" t="s">
        <v>125</v>
      </c>
      <c r="G1221" s="1" t="s">
        <v>42</v>
      </c>
      <c r="H1221" s="1" t="s">
        <v>25</v>
      </c>
      <c r="I1221" s="1" t="s">
        <v>92</v>
      </c>
      <c r="J1221" s="1" t="s">
        <v>93</v>
      </c>
      <c r="K1221" s="1" t="s">
        <v>28</v>
      </c>
      <c r="L1221">
        <v>1</v>
      </c>
      <c r="M1221">
        <v>1599</v>
      </c>
      <c r="N1221">
        <v>0.15</v>
      </c>
      <c r="O1221">
        <v>1359.15</v>
      </c>
      <c r="P1221">
        <v>900</v>
      </c>
      <c r="Q1221">
        <v>900</v>
      </c>
      <c r="R1221">
        <v>100</v>
      </c>
      <c r="S1221">
        <v>359.15</v>
      </c>
    </row>
    <row r="1222" spans="1:19" x14ac:dyDescent="0.3">
      <c r="A1222" s="1" t="s">
        <v>1719</v>
      </c>
      <c r="B1222" s="4">
        <v>45887</v>
      </c>
      <c r="C1222" s="1" t="s">
        <v>980</v>
      </c>
      <c r="D1222" s="1" t="s">
        <v>21</v>
      </c>
      <c r="E1222" s="1" t="s">
        <v>54</v>
      </c>
      <c r="F1222" s="1" t="s">
        <v>55</v>
      </c>
      <c r="G1222" s="1" t="s">
        <v>24</v>
      </c>
      <c r="H1222" s="1" t="s">
        <v>89</v>
      </c>
      <c r="I1222" s="1" t="s">
        <v>134</v>
      </c>
      <c r="J1222" s="1" t="s">
        <v>135</v>
      </c>
      <c r="K1222" s="1" t="s">
        <v>136</v>
      </c>
      <c r="L1222">
        <v>1</v>
      </c>
      <c r="M1222">
        <v>299</v>
      </c>
      <c r="N1222">
        <v>0.15</v>
      </c>
      <c r="O1222">
        <v>254.15</v>
      </c>
      <c r="P1222">
        <v>110</v>
      </c>
      <c r="Q1222">
        <v>110</v>
      </c>
      <c r="R1222">
        <v>40</v>
      </c>
      <c r="S1222">
        <v>104.15</v>
      </c>
    </row>
    <row r="1223" spans="1:19" x14ac:dyDescent="0.3">
      <c r="A1223" s="1" t="s">
        <v>1720</v>
      </c>
      <c r="B1223" s="4">
        <v>45887</v>
      </c>
      <c r="C1223" s="1" t="s">
        <v>474</v>
      </c>
      <c r="D1223" s="1" t="s">
        <v>40</v>
      </c>
      <c r="E1223" s="1" t="s">
        <v>96</v>
      </c>
      <c r="F1223" s="1" t="s">
        <v>97</v>
      </c>
      <c r="G1223" s="1" t="s">
        <v>33</v>
      </c>
      <c r="H1223" s="1" t="s">
        <v>89</v>
      </c>
      <c r="I1223" s="1" t="s">
        <v>43</v>
      </c>
      <c r="J1223" s="1" t="s">
        <v>44</v>
      </c>
      <c r="K1223" s="1" t="s">
        <v>45</v>
      </c>
      <c r="L1223">
        <v>2</v>
      </c>
      <c r="M1223">
        <v>1799</v>
      </c>
      <c r="N1223">
        <v>0.05</v>
      </c>
      <c r="O1223">
        <v>3418.1</v>
      </c>
      <c r="P1223">
        <v>850</v>
      </c>
      <c r="Q1223">
        <v>1700</v>
      </c>
      <c r="R1223">
        <v>80</v>
      </c>
      <c r="S1223">
        <v>1638.1</v>
      </c>
    </row>
    <row r="1224" spans="1:19" x14ac:dyDescent="0.3">
      <c r="A1224" s="1" t="s">
        <v>1721</v>
      </c>
      <c r="B1224" s="4">
        <v>45887</v>
      </c>
      <c r="C1224" s="1" t="s">
        <v>248</v>
      </c>
      <c r="D1224" s="1" t="s">
        <v>21</v>
      </c>
      <c r="E1224" s="1" t="s">
        <v>124</v>
      </c>
      <c r="F1224" s="1" t="s">
        <v>125</v>
      </c>
      <c r="G1224" s="1" t="s">
        <v>24</v>
      </c>
      <c r="H1224" s="1" t="s">
        <v>56</v>
      </c>
      <c r="I1224" s="1" t="s">
        <v>72</v>
      </c>
      <c r="J1224" s="1" t="s">
        <v>73</v>
      </c>
      <c r="K1224" s="1" t="s">
        <v>28</v>
      </c>
      <c r="L1224">
        <v>3</v>
      </c>
      <c r="M1224">
        <v>2199</v>
      </c>
      <c r="N1224">
        <v>0</v>
      </c>
      <c r="O1224">
        <v>6597</v>
      </c>
      <c r="P1224">
        <v>1250</v>
      </c>
      <c r="Q1224">
        <v>3750</v>
      </c>
      <c r="R1224">
        <v>0</v>
      </c>
      <c r="S1224">
        <v>2847</v>
      </c>
    </row>
    <row r="1225" spans="1:19" x14ac:dyDescent="0.3">
      <c r="A1225" s="1" t="s">
        <v>1722</v>
      </c>
      <c r="B1225" s="4">
        <v>45888</v>
      </c>
      <c r="C1225" s="1" t="s">
        <v>392</v>
      </c>
      <c r="D1225" s="1" t="s">
        <v>40</v>
      </c>
      <c r="E1225" s="1" t="s">
        <v>41</v>
      </c>
      <c r="F1225" s="1" t="s">
        <v>32</v>
      </c>
      <c r="G1225" s="1" t="s">
        <v>42</v>
      </c>
      <c r="H1225" s="1" t="s">
        <v>89</v>
      </c>
      <c r="I1225" s="1" t="s">
        <v>26</v>
      </c>
      <c r="J1225" s="1" t="s">
        <v>27</v>
      </c>
      <c r="K1225" s="1" t="s">
        <v>28</v>
      </c>
      <c r="L1225">
        <v>2</v>
      </c>
      <c r="M1225">
        <v>799</v>
      </c>
      <c r="N1225">
        <v>0</v>
      </c>
      <c r="O1225">
        <v>1598</v>
      </c>
      <c r="P1225">
        <v>420</v>
      </c>
      <c r="Q1225">
        <v>840</v>
      </c>
      <c r="R1225">
        <v>80</v>
      </c>
      <c r="S1225">
        <v>678</v>
      </c>
    </row>
    <row r="1226" spans="1:19" x14ac:dyDescent="0.3">
      <c r="A1226" s="1" t="s">
        <v>1723</v>
      </c>
      <c r="B1226" s="4">
        <v>45888</v>
      </c>
      <c r="C1226" s="1" t="s">
        <v>1724</v>
      </c>
      <c r="D1226" s="1" t="s">
        <v>21</v>
      </c>
      <c r="E1226" s="1" t="s">
        <v>54</v>
      </c>
      <c r="F1226" s="1" t="s">
        <v>55</v>
      </c>
      <c r="G1226" s="1" t="s">
        <v>33</v>
      </c>
      <c r="H1226" s="1" t="s">
        <v>56</v>
      </c>
      <c r="I1226" s="1" t="s">
        <v>43</v>
      </c>
      <c r="J1226" s="1" t="s">
        <v>44</v>
      </c>
      <c r="K1226" s="1" t="s">
        <v>45</v>
      </c>
      <c r="L1226">
        <v>4</v>
      </c>
      <c r="M1226">
        <v>1799</v>
      </c>
      <c r="N1226">
        <v>0.05</v>
      </c>
      <c r="O1226">
        <v>6836.2</v>
      </c>
      <c r="P1226">
        <v>850</v>
      </c>
      <c r="Q1226">
        <v>3400</v>
      </c>
      <c r="R1226">
        <v>0</v>
      </c>
      <c r="S1226">
        <v>3436.2</v>
      </c>
    </row>
    <row r="1227" spans="1:19" x14ac:dyDescent="0.3">
      <c r="A1227" s="1" t="s">
        <v>1725</v>
      </c>
      <c r="B1227" s="4">
        <v>45889</v>
      </c>
      <c r="C1227" s="1" t="s">
        <v>792</v>
      </c>
      <c r="D1227" s="1" t="s">
        <v>40</v>
      </c>
      <c r="E1227" s="1" t="s">
        <v>96</v>
      </c>
      <c r="F1227" s="1" t="s">
        <v>97</v>
      </c>
      <c r="G1227" s="1" t="s">
        <v>24</v>
      </c>
      <c r="H1227" s="1" t="s">
        <v>89</v>
      </c>
      <c r="I1227" s="1" t="s">
        <v>72</v>
      </c>
      <c r="J1227" s="1" t="s">
        <v>73</v>
      </c>
      <c r="K1227" s="1" t="s">
        <v>28</v>
      </c>
      <c r="L1227">
        <v>5</v>
      </c>
      <c r="M1227">
        <v>2199</v>
      </c>
      <c r="N1227">
        <v>0</v>
      </c>
      <c r="O1227">
        <v>10995</v>
      </c>
      <c r="P1227">
        <v>1250</v>
      </c>
      <c r="Q1227">
        <v>6250</v>
      </c>
      <c r="R1227">
        <v>60</v>
      </c>
      <c r="S1227">
        <v>4685</v>
      </c>
    </row>
    <row r="1228" spans="1:19" x14ac:dyDescent="0.3">
      <c r="A1228" s="1" t="s">
        <v>1726</v>
      </c>
      <c r="B1228" s="4">
        <v>45890</v>
      </c>
      <c r="C1228" s="1" t="s">
        <v>1006</v>
      </c>
      <c r="D1228" s="1" t="s">
        <v>40</v>
      </c>
      <c r="E1228" s="1" t="s">
        <v>54</v>
      </c>
      <c r="F1228" s="1" t="s">
        <v>55</v>
      </c>
      <c r="G1228" s="1" t="s">
        <v>42</v>
      </c>
      <c r="H1228" s="1" t="s">
        <v>25</v>
      </c>
      <c r="I1228" s="1" t="s">
        <v>43</v>
      </c>
      <c r="J1228" s="1" t="s">
        <v>44</v>
      </c>
      <c r="K1228" s="1" t="s">
        <v>45</v>
      </c>
      <c r="L1228">
        <v>2</v>
      </c>
      <c r="M1228">
        <v>1799</v>
      </c>
      <c r="N1228">
        <v>0.15</v>
      </c>
      <c r="O1228">
        <v>3058.3</v>
      </c>
      <c r="P1228">
        <v>850</v>
      </c>
      <c r="Q1228">
        <v>1700</v>
      </c>
      <c r="R1228">
        <v>40</v>
      </c>
      <c r="S1228">
        <v>1318.3</v>
      </c>
    </row>
    <row r="1229" spans="1:19" x14ac:dyDescent="0.3">
      <c r="A1229" s="1" t="s">
        <v>1727</v>
      </c>
      <c r="B1229" s="4">
        <v>45890</v>
      </c>
      <c r="C1229" s="1" t="s">
        <v>1728</v>
      </c>
      <c r="D1229" s="1" t="s">
        <v>40</v>
      </c>
      <c r="E1229" s="1" t="s">
        <v>120</v>
      </c>
      <c r="F1229" s="1" t="s">
        <v>121</v>
      </c>
      <c r="G1229" s="1" t="s">
        <v>24</v>
      </c>
      <c r="H1229" s="1" t="s">
        <v>34</v>
      </c>
      <c r="I1229" s="1" t="s">
        <v>59</v>
      </c>
      <c r="J1229" s="1" t="s">
        <v>60</v>
      </c>
      <c r="K1229" s="1" t="s">
        <v>61</v>
      </c>
      <c r="L1229">
        <v>2</v>
      </c>
      <c r="M1229">
        <v>999</v>
      </c>
      <c r="N1229">
        <v>0.2</v>
      </c>
      <c r="O1229">
        <v>1598.4</v>
      </c>
      <c r="P1229">
        <v>520</v>
      </c>
      <c r="Q1229">
        <v>1040</v>
      </c>
      <c r="R1229">
        <v>0</v>
      </c>
      <c r="S1229">
        <v>558.4</v>
      </c>
    </row>
    <row r="1230" spans="1:19" x14ac:dyDescent="0.3">
      <c r="A1230" s="1" t="s">
        <v>1729</v>
      </c>
      <c r="B1230" s="4">
        <v>45890</v>
      </c>
      <c r="C1230" s="1" t="s">
        <v>930</v>
      </c>
      <c r="D1230" s="1" t="s">
        <v>48</v>
      </c>
      <c r="E1230" s="1" t="s">
        <v>96</v>
      </c>
      <c r="F1230" s="1" t="s">
        <v>97</v>
      </c>
      <c r="G1230" s="1" t="s">
        <v>42</v>
      </c>
      <c r="H1230" s="1" t="s">
        <v>89</v>
      </c>
      <c r="I1230" s="1" t="s">
        <v>76</v>
      </c>
      <c r="J1230" s="1" t="s">
        <v>77</v>
      </c>
      <c r="K1230" s="1" t="s">
        <v>37</v>
      </c>
      <c r="L1230">
        <v>2</v>
      </c>
      <c r="M1230">
        <v>6999</v>
      </c>
      <c r="N1230">
        <v>0.2</v>
      </c>
      <c r="O1230">
        <v>11198.4</v>
      </c>
      <c r="P1230">
        <v>4900</v>
      </c>
      <c r="Q1230">
        <v>9800</v>
      </c>
      <c r="R1230">
        <v>0</v>
      </c>
      <c r="S1230">
        <v>1398.4</v>
      </c>
    </row>
    <row r="1231" spans="1:19" x14ac:dyDescent="0.3">
      <c r="A1231" s="1" t="s">
        <v>1730</v>
      </c>
      <c r="B1231" s="4">
        <v>45891</v>
      </c>
      <c r="C1231" s="1" t="s">
        <v>204</v>
      </c>
      <c r="D1231" s="1" t="s">
        <v>21</v>
      </c>
      <c r="E1231" s="1" t="s">
        <v>120</v>
      </c>
      <c r="F1231" s="1" t="s">
        <v>121</v>
      </c>
      <c r="G1231" s="1" t="s">
        <v>24</v>
      </c>
      <c r="H1231" s="1" t="s">
        <v>71</v>
      </c>
      <c r="I1231" s="1" t="s">
        <v>26</v>
      </c>
      <c r="J1231" s="1" t="s">
        <v>27</v>
      </c>
      <c r="K1231" s="1" t="s">
        <v>28</v>
      </c>
      <c r="L1231">
        <v>2</v>
      </c>
      <c r="M1231">
        <v>799</v>
      </c>
      <c r="N1231">
        <v>0</v>
      </c>
      <c r="O1231">
        <v>1598</v>
      </c>
      <c r="P1231">
        <v>420</v>
      </c>
      <c r="Q1231">
        <v>840</v>
      </c>
      <c r="R1231">
        <v>60</v>
      </c>
      <c r="S1231">
        <v>698</v>
      </c>
    </row>
    <row r="1232" spans="1:19" x14ac:dyDescent="0.3">
      <c r="A1232" s="1" t="s">
        <v>1731</v>
      </c>
      <c r="B1232" s="4">
        <v>45891</v>
      </c>
      <c r="C1232" s="1" t="s">
        <v>580</v>
      </c>
      <c r="D1232" s="1" t="s">
        <v>21</v>
      </c>
      <c r="E1232" s="1" t="s">
        <v>54</v>
      </c>
      <c r="F1232" s="1" t="s">
        <v>55</v>
      </c>
      <c r="G1232" s="1" t="s">
        <v>42</v>
      </c>
      <c r="H1232" s="1" t="s">
        <v>89</v>
      </c>
      <c r="I1232" s="1" t="s">
        <v>51</v>
      </c>
      <c r="J1232" s="1" t="s">
        <v>52</v>
      </c>
      <c r="K1232" s="1" t="s">
        <v>37</v>
      </c>
      <c r="L1232">
        <v>2</v>
      </c>
      <c r="M1232">
        <v>499</v>
      </c>
      <c r="N1232">
        <v>0.2</v>
      </c>
      <c r="O1232">
        <v>798.4</v>
      </c>
      <c r="P1232">
        <v>180</v>
      </c>
      <c r="Q1232">
        <v>360</v>
      </c>
      <c r="R1232">
        <v>0</v>
      </c>
      <c r="S1232">
        <v>438.4</v>
      </c>
    </row>
    <row r="1233" spans="1:19" x14ac:dyDescent="0.3">
      <c r="A1233" s="1" t="s">
        <v>1732</v>
      </c>
      <c r="B1233" s="4">
        <v>45891</v>
      </c>
      <c r="C1233" s="1" t="s">
        <v>1562</v>
      </c>
      <c r="D1233" s="1" t="s">
        <v>48</v>
      </c>
      <c r="E1233" s="1" t="s">
        <v>54</v>
      </c>
      <c r="F1233" s="1" t="s">
        <v>55</v>
      </c>
      <c r="G1233" s="1" t="s">
        <v>24</v>
      </c>
      <c r="H1233" s="1" t="s">
        <v>89</v>
      </c>
      <c r="I1233" s="1" t="s">
        <v>35</v>
      </c>
      <c r="J1233" s="1" t="s">
        <v>36</v>
      </c>
      <c r="K1233" s="1" t="s">
        <v>37</v>
      </c>
      <c r="L1233">
        <v>2</v>
      </c>
      <c r="M1233">
        <v>1299</v>
      </c>
      <c r="N1233">
        <v>0</v>
      </c>
      <c r="O1233">
        <v>2598</v>
      </c>
      <c r="P1233">
        <v>700</v>
      </c>
      <c r="Q1233">
        <v>1400</v>
      </c>
      <c r="R1233">
        <v>80</v>
      </c>
      <c r="S1233">
        <v>1118</v>
      </c>
    </row>
    <row r="1234" spans="1:19" x14ac:dyDescent="0.3">
      <c r="A1234" s="1" t="s">
        <v>1733</v>
      </c>
      <c r="B1234" s="4">
        <v>45892</v>
      </c>
      <c r="C1234" s="1" t="s">
        <v>363</v>
      </c>
      <c r="D1234" s="1" t="s">
        <v>48</v>
      </c>
      <c r="E1234" s="1" t="s">
        <v>96</v>
      </c>
      <c r="F1234" s="1" t="s">
        <v>97</v>
      </c>
      <c r="G1234" s="1" t="s">
        <v>42</v>
      </c>
      <c r="H1234" s="1" t="s">
        <v>71</v>
      </c>
      <c r="I1234" s="1" t="s">
        <v>85</v>
      </c>
      <c r="J1234" s="1" t="s">
        <v>86</v>
      </c>
      <c r="K1234" s="1" t="s">
        <v>45</v>
      </c>
      <c r="L1234">
        <v>1</v>
      </c>
      <c r="M1234">
        <v>599</v>
      </c>
      <c r="N1234">
        <v>0</v>
      </c>
      <c r="O1234">
        <v>599</v>
      </c>
      <c r="P1234">
        <v>240</v>
      </c>
      <c r="Q1234">
        <v>240</v>
      </c>
      <c r="R1234">
        <v>60</v>
      </c>
      <c r="S1234">
        <v>299</v>
      </c>
    </row>
    <row r="1235" spans="1:19" x14ac:dyDescent="0.3">
      <c r="A1235" s="1" t="s">
        <v>1734</v>
      </c>
      <c r="B1235" s="4">
        <v>45892</v>
      </c>
      <c r="C1235" s="1" t="s">
        <v>133</v>
      </c>
      <c r="D1235" s="1" t="s">
        <v>40</v>
      </c>
      <c r="E1235" s="1" t="s">
        <v>22</v>
      </c>
      <c r="F1235" s="1" t="s">
        <v>23</v>
      </c>
      <c r="G1235" s="1" t="s">
        <v>33</v>
      </c>
      <c r="H1235" s="1" t="s">
        <v>56</v>
      </c>
      <c r="I1235" s="1" t="s">
        <v>59</v>
      </c>
      <c r="J1235" s="1" t="s">
        <v>60</v>
      </c>
      <c r="K1235" s="1" t="s">
        <v>61</v>
      </c>
      <c r="L1235">
        <v>3</v>
      </c>
      <c r="M1235">
        <v>999</v>
      </c>
      <c r="N1235">
        <v>0</v>
      </c>
      <c r="O1235">
        <v>2997</v>
      </c>
      <c r="P1235">
        <v>520</v>
      </c>
      <c r="Q1235">
        <v>1560</v>
      </c>
      <c r="R1235">
        <v>40</v>
      </c>
      <c r="S1235">
        <v>1397</v>
      </c>
    </row>
    <row r="1236" spans="1:19" x14ac:dyDescent="0.3">
      <c r="A1236" s="1" t="s">
        <v>1735</v>
      </c>
      <c r="B1236" s="4">
        <v>45892</v>
      </c>
      <c r="C1236" s="1" t="s">
        <v>1736</v>
      </c>
      <c r="D1236" s="1" t="s">
        <v>40</v>
      </c>
      <c r="E1236" s="1" t="s">
        <v>124</v>
      </c>
      <c r="F1236" s="1" t="s">
        <v>125</v>
      </c>
      <c r="G1236" s="1" t="s">
        <v>42</v>
      </c>
      <c r="H1236" s="1" t="s">
        <v>56</v>
      </c>
      <c r="I1236" s="1" t="s">
        <v>59</v>
      </c>
      <c r="J1236" s="1" t="s">
        <v>60</v>
      </c>
      <c r="K1236" s="1" t="s">
        <v>61</v>
      </c>
      <c r="L1236">
        <v>1</v>
      </c>
      <c r="M1236">
        <v>999</v>
      </c>
      <c r="N1236">
        <v>0.2</v>
      </c>
      <c r="O1236">
        <v>799.2</v>
      </c>
      <c r="P1236">
        <v>520</v>
      </c>
      <c r="Q1236">
        <v>520</v>
      </c>
      <c r="R1236">
        <v>100</v>
      </c>
      <c r="S1236">
        <v>179.2</v>
      </c>
    </row>
    <row r="1237" spans="1:19" x14ac:dyDescent="0.3">
      <c r="A1237" s="1" t="s">
        <v>1737</v>
      </c>
      <c r="B1237" s="4">
        <v>45892</v>
      </c>
      <c r="C1237" s="1" t="s">
        <v>451</v>
      </c>
      <c r="D1237" s="1" t="s">
        <v>40</v>
      </c>
      <c r="E1237" s="1" t="s">
        <v>49</v>
      </c>
      <c r="F1237" s="1" t="s">
        <v>50</v>
      </c>
      <c r="G1237" s="1" t="s">
        <v>42</v>
      </c>
      <c r="H1237" s="1" t="s">
        <v>25</v>
      </c>
      <c r="I1237" s="1" t="s">
        <v>51</v>
      </c>
      <c r="J1237" s="1" t="s">
        <v>52</v>
      </c>
      <c r="K1237" s="1" t="s">
        <v>37</v>
      </c>
      <c r="L1237">
        <v>1</v>
      </c>
      <c r="M1237">
        <v>499</v>
      </c>
      <c r="N1237">
        <v>0.2</v>
      </c>
      <c r="O1237">
        <v>399.2</v>
      </c>
      <c r="P1237">
        <v>180</v>
      </c>
      <c r="Q1237">
        <v>180</v>
      </c>
      <c r="R1237">
        <v>100</v>
      </c>
      <c r="S1237">
        <v>119.2</v>
      </c>
    </row>
    <row r="1238" spans="1:19" x14ac:dyDescent="0.3">
      <c r="A1238" s="1" t="s">
        <v>1738</v>
      </c>
      <c r="B1238" s="4">
        <v>45893</v>
      </c>
      <c r="C1238" s="1" t="s">
        <v>1182</v>
      </c>
      <c r="D1238" s="1" t="s">
        <v>40</v>
      </c>
      <c r="E1238" s="1" t="s">
        <v>124</v>
      </c>
      <c r="F1238" s="1" t="s">
        <v>125</v>
      </c>
      <c r="G1238" s="1" t="s">
        <v>24</v>
      </c>
      <c r="H1238" s="1" t="s">
        <v>71</v>
      </c>
      <c r="I1238" s="1" t="s">
        <v>51</v>
      </c>
      <c r="J1238" s="1" t="s">
        <v>52</v>
      </c>
      <c r="K1238" s="1" t="s">
        <v>37</v>
      </c>
      <c r="L1238">
        <v>3</v>
      </c>
      <c r="M1238">
        <v>499</v>
      </c>
      <c r="N1238">
        <v>0.05</v>
      </c>
      <c r="O1238">
        <v>1422.15</v>
      </c>
      <c r="P1238">
        <v>180</v>
      </c>
      <c r="Q1238">
        <v>540</v>
      </c>
      <c r="R1238">
        <v>40</v>
      </c>
      <c r="S1238">
        <v>842.15</v>
      </c>
    </row>
    <row r="1239" spans="1:19" x14ac:dyDescent="0.3">
      <c r="A1239" s="1" t="s">
        <v>1739</v>
      </c>
      <c r="B1239" s="4">
        <v>45893</v>
      </c>
      <c r="C1239" s="1" t="s">
        <v>1171</v>
      </c>
      <c r="D1239" s="1" t="s">
        <v>21</v>
      </c>
      <c r="E1239" s="1" t="s">
        <v>64</v>
      </c>
      <c r="F1239" s="1" t="s">
        <v>65</v>
      </c>
      <c r="G1239" s="1" t="s">
        <v>33</v>
      </c>
      <c r="H1239" s="1" t="s">
        <v>71</v>
      </c>
      <c r="I1239" s="1" t="s">
        <v>134</v>
      </c>
      <c r="J1239" s="1" t="s">
        <v>135</v>
      </c>
      <c r="K1239" s="1" t="s">
        <v>136</v>
      </c>
      <c r="L1239">
        <v>5</v>
      </c>
      <c r="M1239">
        <v>299</v>
      </c>
      <c r="N1239">
        <v>0.1</v>
      </c>
      <c r="O1239">
        <v>1345.5</v>
      </c>
      <c r="P1239">
        <v>110</v>
      </c>
      <c r="Q1239">
        <v>550</v>
      </c>
      <c r="R1239">
        <v>40</v>
      </c>
      <c r="S1239">
        <v>755.5</v>
      </c>
    </row>
    <row r="1240" spans="1:19" x14ac:dyDescent="0.3">
      <c r="A1240" s="1" t="s">
        <v>1740</v>
      </c>
      <c r="B1240" s="4">
        <v>45894</v>
      </c>
      <c r="C1240" s="1" t="s">
        <v>573</v>
      </c>
      <c r="D1240" s="1" t="s">
        <v>40</v>
      </c>
      <c r="E1240" s="1" t="s">
        <v>22</v>
      </c>
      <c r="F1240" s="1" t="s">
        <v>23</v>
      </c>
      <c r="G1240" s="1" t="s">
        <v>24</v>
      </c>
      <c r="H1240" s="1" t="s">
        <v>25</v>
      </c>
      <c r="I1240" s="1" t="s">
        <v>85</v>
      </c>
      <c r="J1240" s="1" t="s">
        <v>86</v>
      </c>
      <c r="K1240" s="1" t="s">
        <v>45</v>
      </c>
      <c r="L1240">
        <v>3</v>
      </c>
      <c r="M1240">
        <v>599</v>
      </c>
      <c r="N1240">
        <v>0</v>
      </c>
      <c r="O1240">
        <v>1797</v>
      </c>
      <c r="P1240">
        <v>240</v>
      </c>
      <c r="Q1240">
        <v>720</v>
      </c>
      <c r="R1240">
        <v>40</v>
      </c>
      <c r="S1240">
        <v>1037</v>
      </c>
    </row>
    <row r="1241" spans="1:19" x14ac:dyDescent="0.3">
      <c r="A1241" s="1" t="s">
        <v>1741</v>
      </c>
      <c r="B1241" s="4">
        <v>45894</v>
      </c>
      <c r="C1241" s="1" t="s">
        <v>63</v>
      </c>
      <c r="D1241" s="1" t="s">
        <v>40</v>
      </c>
      <c r="E1241" s="1" t="s">
        <v>31</v>
      </c>
      <c r="F1241" s="1" t="s">
        <v>32</v>
      </c>
      <c r="G1241" s="1" t="s">
        <v>42</v>
      </c>
      <c r="H1241" s="1" t="s">
        <v>56</v>
      </c>
      <c r="I1241" s="1" t="s">
        <v>59</v>
      </c>
      <c r="J1241" s="1" t="s">
        <v>60</v>
      </c>
      <c r="K1241" s="1" t="s">
        <v>61</v>
      </c>
      <c r="L1241">
        <v>1</v>
      </c>
      <c r="M1241">
        <v>999</v>
      </c>
      <c r="N1241">
        <v>0.15</v>
      </c>
      <c r="O1241">
        <v>849.15</v>
      </c>
      <c r="P1241">
        <v>520</v>
      </c>
      <c r="Q1241">
        <v>520</v>
      </c>
      <c r="R1241">
        <v>0</v>
      </c>
      <c r="S1241">
        <v>329.15</v>
      </c>
    </row>
    <row r="1242" spans="1:19" x14ac:dyDescent="0.3">
      <c r="A1242" s="1" t="s">
        <v>1742</v>
      </c>
      <c r="B1242" s="4">
        <v>45894</v>
      </c>
      <c r="C1242" s="1" t="s">
        <v>1242</v>
      </c>
      <c r="D1242" s="1" t="s">
        <v>40</v>
      </c>
      <c r="E1242" s="1" t="s">
        <v>112</v>
      </c>
      <c r="F1242" s="1" t="s">
        <v>113</v>
      </c>
      <c r="G1242" s="1" t="s">
        <v>33</v>
      </c>
      <c r="H1242" s="1" t="s">
        <v>34</v>
      </c>
      <c r="I1242" s="1" t="s">
        <v>43</v>
      </c>
      <c r="J1242" s="1" t="s">
        <v>44</v>
      </c>
      <c r="K1242" s="1" t="s">
        <v>45</v>
      </c>
      <c r="L1242">
        <v>1</v>
      </c>
      <c r="M1242">
        <v>1799</v>
      </c>
      <c r="N1242">
        <v>0.05</v>
      </c>
      <c r="O1242">
        <v>1709.05</v>
      </c>
      <c r="P1242">
        <v>850</v>
      </c>
      <c r="Q1242">
        <v>850</v>
      </c>
      <c r="R1242">
        <v>80</v>
      </c>
      <c r="S1242">
        <v>779.05</v>
      </c>
    </row>
    <row r="1243" spans="1:19" x14ac:dyDescent="0.3">
      <c r="A1243" s="1" t="s">
        <v>1743</v>
      </c>
      <c r="B1243" s="4">
        <v>45894</v>
      </c>
      <c r="C1243" s="1" t="s">
        <v>718</v>
      </c>
      <c r="D1243" s="1" t="s">
        <v>48</v>
      </c>
      <c r="E1243" s="1" t="s">
        <v>22</v>
      </c>
      <c r="F1243" s="1" t="s">
        <v>23</v>
      </c>
      <c r="G1243" s="1" t="s">
        <v>24</v>
      </c>
      <c r="H1243" s="1" t="s">
        <v>89</v>
      </c>
      <c r="I1243" s="1" t="s">
        <v>35</v>
      </c>
      <c r="J1243" s="1" t="s">
        <v>36</v>
      </c>
      <c r="K1243" s="1" t="s">
        <v>37</v>
      </c>
      <c r="L1243">
        <v>1</v>
      </c>
      <c r="M1243">
        <v>1299</v>
      </c>
      <c r="N1243">
        <v>0</v>
      </c>
      <c r="O1243">
        <v>1299</v>
      </c>
      <c r="P1243">
        <v>700</v>
      </c>
      <c r="Q1243">
        <v>700</v>
      </c>
      <c r="R1243">
        <v>60</v>
      </c>
      <c r="S1243">
        <v>539</v>
      </c>
    </row>
    <row r="1244" spans="1:19" x14ac:dyDescent="0.3">
      <c r="A1244" s="1" t="s">
        <v>1744</v>
      </c>
      <c r="B1244" s="4">
        <v>45894</v>
      </c>
      <c r="C1244" s="1" t="s">
        <v>891</v>
      </c>
      <c r="D1244" s="1" t="s">
        <v>40</v>
      </c>
      <c r="E1244" s="1" t="s">
        <v>31</v>
      </c>
      <c r="F1244" s="1" t="s">
        <v>32</v>
      </c>
      <c r="G1244" s="1" t="s">
        <v>33</v>
      </c>
      <c r="H1244" s="1" t="s">
        <v>89</v>
      </c>
      <c r="I1244" s="1" t="s">
        <v>134</v>
      </c>
      <c r="J1244" s="1" t="s">
        <v>135</v>
      </c>
      <c r="K1244" s="1" t="s">
        <v>136</v>
      </c>
      <c r="L1244">
        <v>3</v>
      </c>
      <c r="M1244">
        <v>299</v>
      </c>
      <c r="N1244">
        <v>0</v>
      </c>
      <c r="O1244">
        <v>897</v>
      </c>
      <c r="P1244">
        <v>110</v>
      </c>
      <c r="Q1244">
        <v>330</v>
      </c>
      <c r="R1244">
        <v>0</v>
      </c>
      <c r="S1244">
        <v>567</v>
      </c>
    </row>
    <row r="1245" spans="1:19" x14ac:dyDescent="0.3">
      <c r="A1245" s="1" t="s">
        <v>1745</v>
      </c>
      <c r="B1245" s="4">
        <v>45895</v>
      </c>
      <c r="C1245" s="1" t="s">
        <v>1535</v>
      </c>
      <c r="D1245" s="1" t="s">
        <v>48</v>
      </c>
      <c r="E1245" s="1" t="s">
        <v>112</v>
      </c>
      <c r="F1245" s="1" t="s">
        <v>113</v>
      </c>
      <c r="G1245" s="1" t="s">
        <v>33</v>
      </c>
      <c r="H1245" s="1" t="s">
        <v>89</v>
      </c>
      <c r="I1245" s="1" t="s">
        <v>51</v>
      </c>
      <c r="J1245" s="1" t="s">
        <v>52</v>
      </c>
      <c r="K1245" s="1" t="s">
        <v>37</v>
      </c>
      <c r="L1245">
        <v>2</v>
      </c>
      <c r="M1245">
        <v>499</v>
      </c>
      <c r="N1245">
        <v>0.1</v>
      </c>
      <c r="O1245">
        <v>898.2</v>
      </c>
      <c r="P1245">
        <v>180</v>
      </c>
      <c r="Q1245">
        <v>360</v>
      </c>
      <c r="R1245">
        <v>100</v>
      </c>
      <c r="S1245">
        <v>438.2</v>
      </c>
    </row>
    <row r="1246" spans="1:19" x14ac:dyDescent="0.3">
      <c r="A1246" s="1" t="s">
        <v>1746</v>
      </c>
      <c r="B1246" s="4">
        <v>45895</v>
      </c>
      <c r="C1246" s="1" t="s">
        <v>549</v>
      </c>
      <c r="D1246" s="1" t="s">
        <v>21</v>
      </c>
      <c r="E1246" s="1" t="s">
        <v>22</v>
      </c>
      <c r="F1246" s="1" t="s">
        <v>23</v>
      </c>
      <c r="G1246" s="1" t="s">
        <v>42</v>
      </c>
      <c r="H1246" s="1" t="s">
        <v>71</v>
      </c>
      <c r="I1246" s="1" t="s">
        <v>85</v>
      </c>
      <c r="J1246" s="1" t="s">
        <v>86</v>
      </c>
      <c r="K1246" s="1" t="s">
        <v>45</v>
      </c>
      <c r="L1246">
        <v>2</v>
      </c>
      <c r="M1246">
        <v>599</v>
      </c>
      <c r="N1246">
        <v>0</v>
      </c>
      <c r="O1246">
        <v>1198</v>
      </c>
      <c r="P1246">
        <v>240</v>
      </c>
      <c r="Q1246">
        <v>480</v>
      </c>
      <c r="R1246">
        <v>40</v>
      </c>
      <c r="S1246">
        <v>678</v>
      </c>
    </row>
    <row r="1247" spans="1:19" x14ac:dyDescent="0.3">
      <c r="A1247" s="1" t="s">
        <v>1747</v>
      </c>
      <c r="B1247" s="4">
        <v>45895</v>
      </c>
      <c r="C1247" s="1" t="s">
        <v>460</v>
      </c>
      <c r="D1247" s="1" t="s">
        <v>48</v>
      </c>
      <c r="E1247" s="1" t="s">
        <v>31</v>
      </c>
      <c r="F1247" s="1" t="s">
        <v>32</v>
      </c>
      <c r="G1247" s="1" t="s">
        <v>24</v>
      </c>
      <c r="H1247" s="1" t="s">
        <v>34</v>
      </c>
      <c r="I1247" s="1" t="s">
        <v>85</v>
      </c>
      <c r="J1247" s="1" t="s">
        <v>86</v>
      </c>
      <c r="K1247" s="1" t="s">
        <v>45</v>
      </c>
      <c r="L1247">
        <v>1</v>
      </c>
      <c r="M1247">
        <v>599</v>
      </c>
      <c r="N1247">
        <v>0</v>
      </c>
      <c r="O1247">
        <v>599</v>
      </c>
      <c r="P1247">
        <v>240</v>
      </c>
      <c r="Q1247">
        <v>240</v>
      </c>
      <c r="R1247">
        <v>100</v>
      </c>
      <c r="S1247">
        <v>259</v>
      </c>
    </row>
    <row r="1248" spans="1:19" x14ac:dyDescent="0.3">
      <c r="A1248" s="1" t="s">
        <v>1748</v>
      </c>
      <c r="B1248" s="4">
        <v>45896</v>
      </c>
      <c r="C1248" s="1" t="s">
        <v>1014</v>
      </c>
      <c r="D1248" s="1" t="s">
        <v>48</v>
      </c>
      <c r="E1248" s="1" t="s">
        <v>96</v>
      </c>
      <c r="F1248" s="1" t="s">
        <v>97</v>
      </c>
      <c r="G1248" s="1" t="s">
        <v>42</v>
      </c>
      <c r="H1248" s="1" t="s">
        <v>89</v>
      </c>
      <c r="I1248" s="1" t="s">
        <v>85</v>
      </c>
      <c r="J1248" s="1" t="s">
        <v>86</v>
      </c>
      <c r="K1248" s="1" t="s">
        <v>45</v>
      </c>
      <c r="L1248">
        <v>2</v>
      </c>
      <c r="M1248">
        <v>599</v>
      </c>
      <c r="N1248">
        <v>0.05</v>
      </c>
      <c r="O1248">
        <v>1138.0999999999999</v>
      </c>
      <c r="P1248">
        <v>240</v>
      </c>
      <c r="Q1248">
        <v>480</v>
      </c>
      <c r="R1248">
        <v>60</v>
      </c>
      <c r="S1248">
        <v>598.1</v>
      </c>
    </row>
    <row r="1249" spans="1:19" x14ac:dyDescent="0.3">
      <c r="A1249" s="1" t="s">
        <v>1749</v>
      </c>
      <c r="B1249" s="4">
        <v>45896</v>
      </c>
      <c r="C1249" s="1" t="s">
        <v>1750</v>
      </c>
      <c r="D1249" s="1" t="s">
        <v>48</v>
      </c>
      <c r="E1249" s="1" t="s">
        <v>112</v>
      </c>
      <c r="F1249" s="1" t="s">
        <v>113</v>
      </c>
      <c r="G1249" s="1" t="s">
        <v>33</v>
      </c>
      <c r="H1249" s="1" t="s">
        <v>89</v>
      </c>
      <c r="I1249" s="1" t="s">
        <v>59</v>
      </c>
      <c r="J1249" s="1" t="s">
        <v>60</v>
      </c>
      <c r="K1249" s="1" t="s">
        <v>61</v>
      </c>
      <c r="L1249">
        <v>1</v>
      </c>
      <c r="M1249">
        <v>999</v>
      </c>
      <c r="N1249">
        <v>0.1</v>
      </c>
      <c r="O1249">
        <v>899.1</v>
      </c>
      <c r="P1249">
        <v>520</v>
      </c>
      <c r="Q1249">
        <v>520</v>
      </c>
      <c r="R1249">
        <v>60</v>
      </c>
      <c r="S1249">
        <v>319.10000000000002</v>
      </c>
    </row>
    <row r="1250" spans="1:19" x14ac:dyDescent="0.3">
      <c r="A1250" s="1" t="s">
        <v>1751</v>
      </c>
      <c r="B1250" s="4">
        <v>45897</v>
      </c>
      <c r="C1250" s="1" t="s">
        <v>383</v>
      </c>
      <c r="D1250" s="1" t="s">
        <v>40</v>
      </c>
      <c r="E1250" s="1" t="s">
        <v>49</v>
      </c>
      <c r="F1250" s="1" t="s">
        <v>50</v>
      </c>
      <c r="G1250" s="1" t="s">
        <v>33</v>
      </c>
      <c r="H1250" s="1" t="s">
        <v>25</v>
      </c>
      <c r="I1250" s="1" t="s">
        <v>43</v>
      </c>
      <c r="J1250" s="1" t="s">
        <v>44</v>
      </c>
      <c r="K1250" s="1" t="s">
        <v>45</v>
      </c>
      <c r="L1250">
        <v>5</v>
      </c>
      <c r="M1250">
        <v>1799</v>
      </c>
      <c r="N1250">
        <v>0</v>
      </c>
      <c r="O1250">
        <v>8995</v>
      </c>
      <c r="P1250">
        <v>850</v>
      </c>
      <c r="Q1250">
        <v>4250</v>
      </c>
      <c r="R1250">
        <v>100</v>
      </c>
      <c r="S1250">
        <v>4645</v>
      </c>
    </row>
    <row r="1251" spans="1:19" x14ac:dyDescent="0.3">
      <c r="A1251" s="1" t="s">
        <v>1752</v>
      </c>
      <c r="B1251" s="4">
        <v>45897</v>
      </c>
      <c r="C1251" s="1" t="s">
        <v>755</v>
      </c>
      <c r="D1251" s="1" t="s">
        <v>48</v>
      </c>
      <c r="E1251" s="1" t="s">
        <v>96</v>
      </c>
      <c r="F1251" s="1" t="s">
        <v>97</v>
      </c>
      <c r="G1251" s="1" t="s">
        <v>42</v>
      </c>
      <c r="H1251" s="1" t="s">
        <v>56</v>
      </c>
      <c r="I1251" s="1" t="s">
        <v>43</v>
      </c>
      <c r="J1251" s="1" t="s">
        <v>44</v>
      </c>
      <c r="K1251" s="1" t="s">
        <v>45</v>
      </c>
      <c r="L1251">
        <v>3</v>
      </c>
      <c r="M1251">
        <v>1799</v>
      </c>
      <c r="N1251">
        <v>0.05</v>
      </c>
      <c r="O1251">
        <v>5127.1499999999996</v>
      </c>
      <c r="P1251">
        <v>850</v>
      </c>
      <c r="Q1251">
        <v>2550</v>
      </c>
      <c r="R1251">
        <v>0</v>
      </c>
      <c r="S1251">
        <v>2577.15</v>
      </c>
    </row>
    <row r="1252" spans="1:19" x14ac:dyDescent="0.3">
      <c r="A1252" s="1" t="s">
        <v>1753</v>
      </c>
      <c r="B1252" s="4">
        <v>45899</v>
      </c>
      <c r="C1252" s="1" t="s">
        <v>144</v>
      </c>
      <c r="D1252" s="1" t="s">
        <v>21</v>
      </c>
      <c r="E1252" s="1" t="s">
        <v>70</v>
      </c>
      <c r="F1252" s="1" t="s">
        <v>70</v>
      </c>
      <c r="G1252" s="1" t="s">
        <v>42</v>
      </c>
      <c r="H1252" s="1" t="s">
        <v>71</v>
      </c>
      <c r="I1252" s="1" t="s">
        <v>92</v>
      </c>
      <c r="J1252" s="1" t="s">
        <v>93</v>
      </c>
      <c r="K1252" s="1" t="s">
        <v>28</v>
      </c>
      <c r="L1252">
        <v>1</v>
      </c>
      <c r="M1252">
        <v>1599</v>
      </c>
      <c r="N1252">
        <v>0</v>
      </c>
      <c r="O1252">
        <v>1599</v>
      </c>
      <c r="P1252">
        <v>900</v>
      </c>
      <c r="Q1252">
        <v>900</v>
      </c>
      <c r="R1252">
        <v>60</v>
      </c>
      <c r="S1252">
        <v>639</v>
      </c>
    </row>
    <row r="1253" spans="1:19" x14ac:dyDescent="0.3">
      <c r="A1253" s="1" t="s">
        <v>1754</v>
      </c>
      <c r="B1253" s="4">
        <v>45899</v>
      </c>
      <c r="C1253" s="1" t="s">
        <v>257</v>
      </c>
      <c r="D1253" s="1" t="s">
        <v>48</v>
      </c>
      <c r="E1253" s="1" t="s">
        <v>64</v>
      </c>
      <c r="F1253" s="1" t="s">
        <v>65</v>
      </c>
      <c r="G1253" s="1" t="s">
        <v>24</v>
      </c>
      <c r="H1253" s="1" t="s">
        <v>56</v>
      </c>
      <c r="I1253" s="1" t="s">
        <v>51</v>
      </c>
      <c r="J1253" s="1" t="s">
        <v>52</v>
      </c>
      <c r="K1253" s="1" t="s">
        <v>37</v>
      </c>
      <c r="L1253">
        <v>1</v>
      </c>
      <c r="M1253">
        <v>499</v>
      </c>
      <c r="N1253">
        <v>0.1</v>
      </c>
      <c r="O1253">
        <v>449.1</v>
      </c>
      <c r="P1253">
        <v>180</v>
      </c>
      <c r="Q1253">
        <v>180</v>
      </c>
      <c r="R1253">
        <v>100</v>
      </c>
      <c r="S1253">
        <v>169.1</v>
      </c>
    </row>
    <row r="1254" spans="1:19" x14ac:dyDescent="0.3">
      <c r="A1254" s="1" t="s">
        <v>1755</v>
      </c>
      <c r="B1254" s="4">
        <v>45900</v>
      </c>
      <c r="C1254" s="1" t="s">
        <v>244</v>
      </c>
      <c r="D1254" s="1" t="s">
        <v>21</v>
      </c>
      <c r="E1254" s="1" t="s">
        <v>22</v>
      </c>
      <c r="F1254" s="1" t="s">
        <v>23</v>
      </c>
      <c r="G1254" s="1" t="s">
        <v>33</v>
      </c>
      <c r="H1254" s="1" t="s">
        <v>89</v>
      </c>
      <c r="I1254" s="1" t="s">
        <v>134</v>
      </c>
      <c r="J1254" s="1" t="s">
        <v>135</v>
      </c>
      <c r="K1254" s="1" t="s">
        <v>136</v>
      </c>
      <c r="L1254">
        <v>1</v>
      </c>
      <c r="M1254">
        <v>299</v>
      </c>
      <c r="N1254">
        <v>0</v>
      </c>
      <c r="O1254">
        <v>299</v>
      </c>
      <c r="P1254">
        <v>110</v>
      </c>
      <c r="Q1254">
        <v>110</v>
      </c>
      <c r="R1254">
        <v>40</v>
      </c>
      <c r="S1254">
        <v>149</v>
      </c>
    </row>
    <row r="1255" spans="1:19" x14ac:dyDescent="0.3">
      <c r="A1255" s="1" t="s">
        <v>1756</v>
      </c>
      <c r="B1255" s="4">
        <v>45900</v>
      </c>
      <c r="C1255" s="1" t="s">
        <v>1413</v>
      </c>
      <c r="D1255" s="1" t="s">
        <v>21</v>
      </c>
      <c r="E1255" s="1" t="s">
        <v>120</v>
      </c>
      <c r="F1255" s="1" t="s">
        <v>121</v>
      </c>
      <c r="G1255" s="1" t="s">
        <v>33</v>
      </c>
      <c r="H1255" s="1" t="s">
        <v>25</v>
      </c>
      <c r="I1255" s="1" t="s">
        <v>85</v>
      </c>
      <c r="J1255" s="1" t="s">
        <v>86</v>
      </c>
      <c r="K1255" s="1" t="s">
        <v>45</v>
      </c>
      <c r="L1255">
        <v>2</v>
      </c>
      <c r="M1255">
        <v>599</v>
      </c>
      <c r="N1255">
        <v>0.2</v>
      </c>
      <c r="O1255">
        <v>958.4</v>
      </c>
      <c r="P1255">
        <v>240</v>
      </c>
      <c r="Q1255">
        <v>480</v>
      </c>
      <c r="R1255">
        <v>0</v>
      </c>
      <c r="S1255">
        <v>478.4</v>
      </c>
    </row>
    <row r="1256" spans="1:19" x14ac:dyDescent="0.3">
      <c r="A1256" s="1" t="s">
        <v>1757</v>
      </c>
      <c r="B1256" s="4">
        <v>45900</v>
      </c>
      <c r="C1256" s="1" t="s">
        <v>1413</v>
      </c>
      <c r="D1256" s="1" t="s">
        <v>48</v>
      </c>
      <c r="E1256" s="1" t="s">
        <v>112</v>
      </c>
      <c r="F1256" s="1" t="s">
        <v>113</v>
      </c>
      <c r="G1256" s="1" t="s">
        <v>42</v>
      </c>
      <c r="H1256" s="1" t="s">
        <v>56</v>
      </c>
      <c r="I1256" s="1" t="s">
        <v>35</v>
      </c>
      <c r="J1256" s="1" t="s">
        <v>36</v>
      </c>
      <c r="K1256" s="1" t="s">
        <v>37</v>
      </c>
      <c r="L1256">
        <v>2</v>
      </c>
      <c r="M1256">
        <v>1299</v>
      </c>
      <c r="N1256">
        <v>0.1</v>
      </c>
      <c r="O1256">
        <v>2338.1999999999998</v>
      </c>
      <c r="P1256">
        <v>700</v>
      </c>
      <c r="Q1256">
        <v>1400</v>
      </c>
      <c r="R1256">
        <v>100</v>
      </c>
      <c r="S1256">
        <v>838.2</v>
      </c>
    </row>
    <row r="1257" spans="1:19" x14ac:dyDescent="0.3">
      <c r="A1257" s="1" t="s">
        <v>1758</v>
      </c>
      <c r="B1257" s="4">
        <v>45900</v>
      </c>
      <c r="C1257" s="1" t="s">
        <v>976</v>
      </c>
      <c r="D1257" s="1" t="s">
        <v>21</v>
      </c>
      <c r="E1257" s="1" t="s">
        <v>41</v>
      </c>
      <c r="F1257" s="1" t="s">
        <v>32</v>
      </c>
      <c r="G1257" s="1" t="s">
        <v>42</v>
      </c>
      <c r="H1257" s="1" t="s">
        <v>89</v>
      </c>
      <c r="I1257" s="1" t="s">
        <v>76</v>
      </c>
      <c r="J1257" s="1" t="s">
        <v>77</v>
      </c>
      <c r="K1257" s="1" t="s">
        <v>37</v>
      </c>
      <c r="L1257">
        <v>4</v>
      </c>
      <c r="M1257">
        <v>6999</v>
      </c>
      <c r="N1257">
        <v>0</v>
      </c>
      <c r="O1257">
        <v>27996</v>
      </c>
      <c r="P1257">
        <v>4900</v>
      </c>
      <c r="Q1257">
        <v>19600</v>
      </c>
      <c r="R1257">
        <v>40</v>
      </c>
      <c r="S1257">
        <v>8356</v>
      </c>
    </row>
    <row r="1258" spans="1:19" x14ac:dyDescent="0.3">
      <c r="A1258" s="1" t="s">
        <v>1759</v>
      </c>
      <c r="B1258" s="4">
        <v>45901</v>
      </c>
      <c r="C1258" s="1" t="s">
        <v>95</v>
      </c>
      <c r="D1258" s="1" t="s">
        <v>40</v>
      </c>
      <c r="E1258" s="1" t="s">
        <v>80</v>
      </c>
      <c r="F1258" s="1" t="s">
        <v>55</v>
      </c>
      <c r="G1258" s="1" t="s">
        <v>24</v>
      </c>
      <c r="H1258" s="1" t="s">
        <v>89</v>
      </c>
      <c r="I1258" s="1" t="s">
        <v>66</v>
      </c>
      <c r="J1258" s="1" t="s">
        <v>67</v>
      </c>
      <c r="K1258" s="1" t="s">
        <v>28</v>
      </c>
      <c r="L1258">
        <v>2</v>
      </c>
      <c r="M1258">
        <v>2499</v>
      </c>
      <c r="N1258">
        <v>0</v>
      </c>
      <c r="O1258">
        <v>4998</v>
      </c>
      <c r="P1258">
        <v>1450</v>
      </c>
      <c r="Q1258">
        <v>2900</v>
      </c>
      <c r="R1258">
        <v>80</v>
      </c>
      <c r="S1258">
        <v>2018</v>
      </c>
    </row>
    <row r="1259" spans="1:19" x14ac:dyDescent="0.3">
      <c r="A1259" s="1" t="s">
        <v>1760</v>
      </c>
      <c r="B1259" s="4">
        <v>45903</v>
      </c>
      <c r="C1259" s="1" t="s">
        <v>630</v>
      </c>
      <c r="D1259" s="1" t="s">
        <v>40</v>
      </c>
      <c r="E1259" s="1" t="s">
        <v>54</v>
      </c>
      <c r="F1259" s="1" t="s">
        <v>55</v>
      </c>
      <c r="G1259" s="1" t="s">
        <v>33</v>
      </c>
      <c r="H1259" s="1" t="s">
        <v>71</v>
      </c>
      <c r="I1259" s="1" t="s">
        <v>35</v>
      </c>
      <c r="J1259" s="1" t="s">
        <v>36</v>
      </c>
      <c r="K1259" s="1" t="s">
        <v>37</v>
      </c>
      <c r="L1259">
        <v>1</v>
      </c>
      <c r="M1259">
        <v>1299</v>
      </c>
      <c r="N1259">
        <v>0.15</v>
      </c>
      <c r="O1259">
        <v>1104.1500000000001</v>
      </c>
      <c r="P1259">
        <v>700</v>
      </c>
      <c r="Q1259">
        <v>700</v>
      </c>
      <c r="R1259">
        <v>0</v>
      </c>
      <c r="S1259">
        <v>404.15</v>
      </c>
    </row>
    <row r="1260" spans="1:19" x14ac:dyDescent="0.3">
      <c r="A1260" s="1" t="s">
        <v>1761</v>
      </c>
      <c r="B1260" s="4">
        <v>45903</v>
      </c>
      <c r="C1260" s="1" t="s">
        <v>959</v>
      </c>
      <c r="D1260" s="1" t="s">
        <v>48</v>
      </c>
      <c r="E1260" s="1" t="s">
        <v>31</v>
      </c>
      <c r="F1260" s="1" t="s">
        <v>32</v>
      </c>
      <c r="G1260" s="1" t="s">
        <v>42</v>
      </c>
      <c r="H1260" s="1" t="s">
        <v>71</v>
      </c>
      <c r="I1260" s="1" t="s">
        <v>35</v>
      </c>
      <c r="J1260" s="1" t="s">
        <v>36</v>
      </c>
      <c r="K1260" s="1" t="s">
        <v>37</v>
      </c>
      <c r="L1260">
        <v>1</v>
      </c>
      <c r="M1260">
        <v>1299</v>
      </c>
      <c r="N1260">
        <v>0.1</v>
      </c>
      <c r="O1260">
        <v>1169.0999999999999</v>
      </c>
      <c r="P1260">
        <v>700</v>
      </c>
      <c r="Q1260">
        <v>700</v>
      </c>
      <c r="R1260">
        <v>60</v>
      </c>
      <c r="S1260">
        <v>409.1</v>
      </c>
    </row>
    <row r="1261" spans="1:19" x14ac:dyDescent="0.3">
      <c r="A1261" s="1" t="s">
        <v>1762</v>
      </c>
      <c r="B1261" s="4">
        <v>45903</v>
      </c>
      <c r="C1261" s="1" t="s">
        <v>761</v>
      </c>
      <c r="D1261" s="1" t="s">
        <v>48</v>
      </c>
      <c r="E1261" s="1" t="s">
        <v>49</v>
      </c>
      <c r="F1261" s="1" t="s">
        <v>50</v>
      </c>
      <c r="G1261" s="1" t="s">
        <v>33</v>
      </c>
      <c r="H1261" s="1" t="s">
        <v>34</v>
      </c>
      <c r="I1261" s="1" t="s">
        <v>51</v>
      </c>
      <c r="J1261" s="1" t="s">
        <v>52</v>
      </c>
      <c r="K1261" s="1" t="s">
        <v>37</v>
      </c>
      <c r="L1261">
        <v>3</v>
      </c>
      <c r="M1261">
        <v>499</v>
      </c>
      <c r="N1261">
        <v>0.15</v>
      </c>
      <c r="O1261">
        <v>1272.45</v>
      </c>
      <c r="P1261">
        <v>180</v>
      </c>
      <c r="Q1261">
        <v>540</v>
      </c>
      <c r="R1261">
        <v>60</v>
      </c>
      <c r="S1261">
        <v>672.45</v>
      </c>
    </row>
    <row r="1262" spans="1:19" x14ac:dyDescent="0.3">
      <c r="A1262" s="1" t="s">
        <v>1763</v>
      </c>
      <c r="B1262" s="4">
        <v>45904</v>
      </c>
      <c r="C1262" s="1" t="s">
        <v>1300</v>
      </c>
      <c r="D1262" s="1" t="s">
        <v>21</v>
      </c>
      <c r="E1262" s="1" t="s">
        <v>49</v>
      </c>
      <c r="F1262" s="1" t="s">
        <v>50</v>
      </c>
      <c r="G1262" s="1" t="s">
        <v>33</v>
      </c>
      <c r="H1262" s="1" t="s">
        <v>34</v>
      </c>
      <c r="I1262" s="1" t="s">
        <v>81</v>
      </c>
      <c r="J1262" s="1" t="s">
        <v>82</v>
      </c>
      <c r="K1262" s="1" t="s">
        <v>61</v>
      </c>
      <c r="L1262">
        <v>2</v>
      </c>
      <c r="M1262">
        <v>2999</v>
      </c>
      <c r="N1262">
        <v>0.05</v>
      </c>
      <c r="O1262">
        <v>5698.1</v>
      </c>
      <c r="P1262">
        <v>1750</v>
      </c>
      <c r="Q1262">
        <v>3500</v>
      </c>
      <c r="R1262">
        <v>0</v>
      </c>
      <c r="S1262">
        <v>2198.1</v>
      </c>
    </row>
    <row r="1263" spans="1:19" x14ac:dyDescent="0.3">
      <c r="A1263" s="1" t="s">
        <v>1764</v>
      </c>
      <c r="B1263" s="4">
        <v>45905</v>
      </c>
      <c r="C1263" s="1" t="s">
        <v>516</v>
      </c>
      <c r="D1263" s="1" t="s">
        <v>21</v>
      </c>
      <c r="E1263" s="1" t="s">
        <v>120</v>
      </c>
      <c r="F1263" s="1" t="s">
        <v>121</v>
      </c>
      <c r="G1263" s="1" t="s">
        <v>24</v>
      </c>
      <c r="H1263" s="1" t="s">
        <v>34</v>
      </c>
      <c r="I1263" s="1" t="s">
        <v>59</v>
      </c>
      <c r="J1263" s="1" t="s">
        <v>60</v>
      </c>
      <c r="K1263" s="1" t="s">
        <v>61</v>
      </c>
      <c r="L1263">
        <v>3</v>
      </c>
      <c r="M1263">
        <v>999</v>
      </c>
      <c r="N1263">
        <v>0.05</v>
      </c>
      <c r="O1263">
        <v>2847.15</v>
      </c>
      <c r="P1263">
        <v>520</v>
      </c>
      <c r="Q1263">
        <v>1560</v>
      </c>
      <c r="R1263">
        <v>40</v>
      </c>
      <c r="S1263">
        <v>1247.1500000000001</v>
      </c>
    </row>
    <row r="1264" spans="1:19" x14ac:dyDescent="0.3">
      <c r="A1264" s="1" t="s">
        <v>1765</v>
      </c>
      <c r="B1264" s="4">
        <v>45906</v>
      </c>
      <c r="C1264" s="1" t="s">
        <v>392</v>
      </c>
      <c r="D1264" s="1" t="s">
        <v>48</v>
      </c>
      <c r="E1264" s="1" t="s">
        <v>124</v>
      </c>
      <c r="F1264" s="1" t="s">
        <v>125</v>
      </c>
      <c r="G1264" s="1" t="s">
        <v>42</v>
      </c>
      <c r="H1264" s="1" t="s">
        <v>34</v>
      </c>
      <c r="I1264" s="1" t="s">
        <v>59</v>
      </c>
      <c r="J1264" s="1" t="s">
        <v>60</v>
      </c>
      <c r="K1264" s="1" t="s">
        <v>61</v>
      </c>
      <c r="L1264">
        <v>1</v>
      </c>
      <c r="M1264">
        <v>999</v>
      </c>
      <c r="N1264">
        <v>0.05</v>
      </c>
      <c r="O1264">
        <v>949.05</v>
      </c>
      <c r="P1264">
        <v>520</v>
      </c>
      <c r="Q1264">
        <v>520</v>
      </c>
      <c r="R1264">
        <v>40</v>
      </c>
      <c r="S1264">
        <v>389.05</v>
      </c>
    </row>
    <row r="1265" spans="1:19" x14ac:dyDescent="0.3">
      <c r="A1265" s="1" t="s">
        <v>1766</v>
      </c>
      <c r="B1265" s="4">
        <v>45906</v>
      </c>
      <c r="C1265" s="1" t="s">
        <v>404</v>
      </c>
      <c r="D1265" s="1" t="s">
        <v>21</v>
      </c>
      <c r="E1265" s="1" t="s">
        <v>49</v>
      </c>
      <c r="F1265" s="1" t="s">
        <v>50</v>
      </c>
      <c r="G1265" s="1" t="s">
        <v>42</v>
      </c>
      <c r="H1265" s="1" t="s">
        <v>89</v>
      </c>
      <c r="I1265" s="1" t="s">
        <v>81</v>
      </c>
      <c r="J1265" s="1" t="s">
        <v>82</v>
      </c>
      <c r="K1265" s="1" t="s">
        <v>61</v>
      </c>
      <c r="L1265">
        <v>1</v>
      </c>
      <c r="M1265">
        <v>2999</v>
      </c>
      <c r="N1265">
        <v>0.15</v>
      </c>
      <c r="O1265">
        <v>2549.15</v>
      </c>
      <c r="P1265">
        <v>1750</v>
      </c>
      <c r="Q1265">
        <v>1750</v>
      </c>
      <c r="R1265">
        <v>80</v>
      </c>
      <c r="S1265">
        <v>719.15</v>
      </c>
    </row>
    <row r="1266" spans="1:19" x14ac:dyDescent="0.3">
      <c r="A1266" s="1" t="s">
        <v>1767</v>
      </c>
      <c r="B1266" s="4">
        <v>45906</v>
      </c>
      <c r="C1266" s="1" t="s">
        <v>1300</v>
      </c>
      <c r="D1266" s="1" t="s">
        <v>48</v>
      </c>
      <c r="E1266" s="1" t="s">
        <v>64</v>
      </c>
      <c r="F1266" s="1" t="s">
        <v>65</v>
      </c>
      <c r="G1266" s="1" t="s">
        <v>42</v>
      </c>
      <c r="H1266" s="1" t="s">
        <v>56</v>
      </c>
      <c r="I1266" s="1" t="s">
        <v>51</v>
      </c>
      <c r="J1266" s="1" t="s">
        <v>52</v>
      </c>
      <c r="K1266" s="1" t="s">
        <v>37</v>
      </c>
      <c r="L1266">
        <v>1</v>
      </c>
      <c r="M1266">
        <v>499</v>
      </c>
      <c r="N1266">
        <v>0</v>
      </c>
      <c r="O1266">
        <v>499</v>
      </c>
      <c r="P1266">
        <v>180</v>
      </c>
      <c r="Q1266">
        <v>180</v>
      </c>
      <c r="R1266">
        <v>100</v>
      </c>
      <c r="S1266">
        <v>219</v>
      </c>
    </row>
    <row r="1267" spans="1:19" x14ac:dyDescent="0.3">
      <c r="A1267" s="1" t="s">
        <v>1768</v>
      </c>
      <c r="B1267" s="4">
        <v>45908</v>
      </c>
      <c r="C1267" s="1" t="s">
        <v>285</v>
      </c>
      <c r="D1267" s="1" t="s">
        <v>48</v>
      </c>
      <c r="E1267" s="1" t="s">
        <v>80</v>
      </c>
      <c r="F1267" s="1" t="s">
        <v>55</v>
      </c>
      <c r="G1267" s="1" t="s">
        <v>33</v>
      </c>
      <c r="H1267" s="1" t="s">
        <v>71</v>
      </c>
      <c r="I1267" s="1" t="s">
        <v>92</v>
      </c>
      <c r="J1267" s="1" t="s">
        <v>93</v>
      </c>
      <c r="K1267" s="1" t="s">
        <v>28</v>
      </c>
      <c r="L1267">
        <v>2</v>
      </c>
      <c r="M1267">
        <v>1599</v>
      </c>
      <c r="N1267">
        <v>0.05</v>
      </c>
      <c r="O1267">
        <v>3038.1</v>
      </c>
      <c r="P1267">
        <v>900</v>
      </c>
      <c r="Q1267">
        <v>1800</v>
      </c>
      <c r="R1267">
        <v>0</v>
      </c>
      <c r="S1267">
        <v>1238.0999999999999</v>
      </c>
    </row>
    <row r="1268" spans="1:19" x14ac:dyDescent="0.3">
      <c r="A1268" s="1" t="s">
        <v>1769</v>
      </c>
      <c r="B1268" s="4">
        <v>45908</v>
      </c>
      <c r="C1268" s="1" t="s">
        <v>400</v>
      </c>
      <c r="D1268" s="1" t="s">
        <v>40</v>
      </c>
      <c r="E1268" s="1" t="s">
        <v>80</v>
      </c>
      <c r="F1268" s="1" t="s">
        <v>55</v>
      </c>
      <c r="G1268" s="1" t="s">
        <v>24</v>
      </c>
      <c r="H1268" s="1" t="s">
        <v>34</v>
      </c>
      <c r="I1268" s="1" t="s">
        <v>134</v>
      </c>
      <c r="J1268" s="1" t="s">
        <v>135</v>
      </c>
      <c r="K1268" s="1" t="s">
        <v>136</v>
      </c>
      <c r="L1268">
        <v>4</v>
      </c>
      <c r="M1268">
        <v>299</v>
      </c>
      <c r="N1268">
        <v>0</v>
      </c>
      <c r="O1268">
        <v>1196</v>
      </c>
      <c r="P1268">
        <v>110</v>
      </c>
      <c r="Q1268">
        <v>440</v>
      </c>
      <c r="R1268">
        <v>0</v>
      </c>
      <c r="S1268">
        <v>756</v>
      </c>
    </row>
    <row r="1269" spans="1:19" x14ac:dyDescent="0.3">
      <c r="A1269" s="1" t="s">
        <v>1770</v>
      </c>
      <c r="B1269" s="4">
        <v>45909</v>
      </c>
      <c r="C1269" s="1" t="s">
        <v>445</v>
      </c>
      <c r="D1269" s="1" t="s">
        <v>21</v>
      </c>
      <c r="E1269" s="1" t="s">
        <v>64</v>
      </c>
      <c r="F1269" s="1" t="s">
        <v>65</v>
      </c>
      <c r="G1269" s="1" t="s">
        <v>33</v>
      </c>
      <c r="H1269" s="1" t="s">
        <v>34</v>
      </c>
      <c r="I1269" s="1" t="s">
        <v>51</v>
      </c>
      <c r="J1269" s="1" t="s">
        <v>52</v>
      </c>
      <c r="K1269" s="1" t="s">
        <v>37</v>
      </c>
      <c r="L1269">
        <v>2</v>
      </c>
      <c r="M1269">
        <v>499</v>
      </c>
      <c r="N1269">
        <v>0.05</v>
      </c>
      <c r="O1269">
        <v>948.1</v>
      </c>
      <c r="P1269">
        <v>180</v>
      </c>
      <c r="Q1269">
        <v>360</v>
      </c>
      <c r="R1269">
        <v>80</v>
      </c>
      <c r="S1269">
        <v>508.1</v>
      </c>
    </row>
    <row r="1270" spans="1:19" x14ac:dyDescent="0.3">
      <c r="A1270" s="1" t="s">
        <v>1771</v>
      </c>
      <c r="B1270" s="4">
        <v>45909</v>
      </c>
      <c r="C1270" s="1" t="s">
        <v>777</v>
      </c>
      <c r="D1270" s="1" t="s">
        <v>21</v>
      </c>
      <c r="E1270" s="1" t="s">
        <v>120</v>
      </c>
      <c r="F1270" s="1" t="s">
        <v>121</v>
      </c>
      <c r="G1270" s="1" t="s">
        <v>42</v>
      </c>
      <c r="H1270" s="1" t="s">
        <v>89</v>
      </c>
      <c r="I1270" s="1" t="s">
        <v>85</v>
      </c>
      <c r="J1270" s="1" t="s">
        <v>86</v>
      </c>
      <c r="K1270" s="1" t="s">
        <v>45</v>
      </c>
      <c r="L1270">
        <v>3</v>
      </c>
      <c r="M1270">
        <v>599</v>
      </c>
      <c r="N1270">
        <v>0.2</v>
      </c>
      <c r="O1270">
        <v>1437.6</v>
      </c>
      <c r="P1270">
        <v>240</v>
      </c>
      <c r="Q1270">
        <v>720</v>
      </c>
      <c r="R1270">
        <v>80</v>
      </c>
      <c r="S1270">
        <v>637.6</v>
      </c>
    </row>
    <row r="1271" spans="1:19" x14ac:dyDescent="0.3">
      <c r="A1271" s="1" t="s">
        <v>1772</v>
      </c>
      <c r="B1271" s="4">
        <v>45910</v>
      </c>
      <c r="C1271" s="1" t="s">
        <v>1213</v>
      </c>
      <c r="D1271" s="1" t="s">
        <v>40</v>
      </c>
      <c r="E1271" s="1" t="s">
        <v>70</v>
      </c>
      <c r="F1271" s="1" t="s">
        <v>70</v>
      </c>
      <c r="G1271" s="1" t="s">
        <v>24</v>
      </c>
      <c r="H1271" s="1" t="s">
        <v>71</v>
      </c>
      <c r="I1271" s="1" t="s">
        <v>26</v>
      </c>
      <c r="J1271" s="1" t="s">
        <v>27</v>
      </c>
      <c r="K1271" s="1" t="s">
        <v>28</v>
      </c>
      <c r="L1271">
        <v>2</v>
      </c>
      <c r="M1271">
        <v>799</v>
      </c>
      <c r="N1271">
        <v>0</v>
      </c>
      <c r="O1271">
        <v>1598</v>
      </c>
      <c r="P1271">
        <v>420</v>
      </c>
      <c r="Q1271">
        <v>840</v>
      </c>
      <c r="R1271">
        <v>80</v>
      </c>
      <c r="S1271">
        <v>678</v>
      </c>
    </row>
    <row r="1272" spans="1:19" x14ac:dyDescent="0.3">
      <c r="A1272" s="1" t="s">
        <v>1773</v>
      </c>
      <c r="B1272" s="4">
        <v>45912</v>
      </c>
      <c r="C1272" s="1" t="s">
        <v>662</v>
      </c>
      <c r="D1272" s="1" t="s">
        <v>48</v>
      </c>
      <c r="E1272" s="1" t="s">
        <v>54</v>
      </c>
      <c r="F1272" s="1" t="s">
        <v>55</v>
      </c>
      <c r="G1272" s="1" t="s">
        <v>24</v>
      </c>
      <c r="H1272" s="1" t="s">
        <v>34</v>
      </c>
      <c r="I1272" s="1" t="s">
        <v>76</v>
      </c>
      <c r="J1272" s="1" t="s">
        <v>77</v>
      </c>
      <c r="K1272" s="1" t="s">
        <v>37</v>
      </c>
      <c r="L1272">
        <v>5</v>
      </c>
      <c r="M1272">
        <v>6999</v>
      </c>
      <c r="N1272">
        <v>0.15</v>
      </c>
      <c r="O1272">
        <v>29745.75</v>
      </c>
      <c r="P1272">
        <v>4900</v>
      </c>
      <c r="Q1272">
        <v>24500</v>
      </c>
      <c r="R1272">
        <v>0</v>
      </c>
      <c r="S1272">
        <v>5245.75</v>
      </c>
    </row>
    <row r="1273" spans="1:19" x14ac:dyDescent="0.3">
      <c r="A1273" s="1" t="s">
        <v>1774</v>
      </c>
      <c r="B1273" s="4">
        <v>45913</v>
      </c>
      <c r="C1273" s="1" t="s">
        <v>914</v>
      </c>
      <c r="D1273" s="1" t="s">
        <v>48</v>
      </c>
      <c r="E1273" s="1" t="s">
        <v>112</v>
      </c>
      <c r="F1273" s="1" t="s">
        <v>113</v>
      </c>
      <c r="G1273" s="1" t="s">
        <v>42</v>
      </c>
      <c r="H1273" s="1" t="s">
        <v>34</v>
      </c>
      <c r="I1273" s="1" t="s">
        <v>66</v>
      </c>
      <c r="J1273" s="1" t="s">
        <v>67</v>
      </c>
      <c r="K1273" s="1" t="s">
        <v>28</v>
      </c>
      <c r="L1273">
        <v>1</v>
      </c>
      <c r="M1273">
        <v>2499</v>
      </c>
      <c r="N1273">
        <v>0.1</v>
      </c>
      <c r="O1273">
        <v>2249.1</v>
      </c>
      <c r="P1273">
        <v>1450</v>
      </c>
      <c r="Q1273">
        <v>1450</v>
      </c>
      <c r="R1273">
        <v>80</v>
      </c>
      <c r="S1273">
        <v>719.1</v>
      </c>
    </row>
    <row r="1274" spans="1:19" x14ac:dyDescent="0.3">
      <c r="A1274" s="1" t="s">
        <v>1775</v>
      </c>
      <c r="B1274" s="4">
        <v>45913</v>
      </c>
      <c r="C1274" s="1" t="s">
        <v>79</v>
      </c>
      <c r="D1274" s="1" t="s">
        <v>21</v>
      </c>
      <c r="E1274" s="1" t="s">
        <v>49</v>
      </c>
      <c r="F1274" s="1" t="s">
        <v>50</v>
      </c>
      <c r="G1274" s="1" t="s">
        <v>24</v>
      </c>
      <c r="H1274" s="1" t="s">
        <v>89</v>
      </c>
      <c r="I1274" s="1" t="s">
        <v>59</v>
      </c>
      <c r="J1274" s="1" t="s">
        <v>60</v>
      </c>
      <c r="K1274" s="1" t="s">
        <v>61</v>
      </c>
      <c r="L1274">
        <v>1</v>
      </c>
      <c r="M1274">
        <v>999</v>
      </c>
      <c r="N1274">
        <v>0</v>
      </c>
      <c r="O1274">
        <v>999</v>
      </c>
      <c r="P1274">
        <v>520</v>
      </c>
      <c r="Q1274">
        <v>520</v>
      </c>
      <c r="R1274">
        <v>60</v>
      </c>
      <c r="S1274">
        <v>419</v>
      </c>
    </row>
    <row r="1275" spans="1:19" x14ac:dyDescent="0.3">
      <c r="A1275" s="1" t="s">
        <v>1776</v>
      </c>
      <c r="B1275" s="4">
        <v>45913</v>
      </c>
      <c r="C1275" s="1" t="s">
        <v>406</v>
      </c>
      <c r="D1275" s="1" t="s">
        <v>40</v>
      </c>
      <c r="E1275" s="1" t="s">
        <v>124</v>
      </c>
      <c r="F1275" s="1" t="s">
        <v>125</v>
      </c>
      <c r="G1275" s="1" t="s">
        <v>24</v>
      </c>
      <c r="H1275" s="1" t="s">
        <v>71</v>
      </c>
      <c r="I1275" s="1" t="s">
        <v>43</v>
      </c>
      <c r="J1275" s="1" t="s">
        <v>44</v>
      </c>
      <c r="K1275" s="1" t="s">
        <v>45</v>
      </c>
      <c r="L1275">
        <v>2</v>
      </c>
      <c r="M1275">
        <v>1799</v>
      </c>
      <c r="N1275">
        <v>0.15</v>
      </c>
      <c r="O1275">
        <v>3058.3</v>
      </c>
      <c r="P1275">
        <v>850</v>
      </c>
      <c r="Q1275">
        <v>1700</v>
      </c>
      <c r="R1275">
        <v>80</v>
      </c>
      <c r="S1275">
        <v>1278.3</v>
      </c>
    </row>
    <row r="1276" spans="1:19" x14ac:dyDescent="0.3">
      <c r="A1276" s="1" t="s">
        <v>1777</v>
      </c>
      <c r="B1276" s="4">
        <v>45915</v>
      </c>
      <c r="C1276" s="1" t="s">
        <v>404</v>
      </c>
      <c r="D1276" s="1" t="s">
        <v>48</v>
      </c>
      <c r="E1276" s="1" t="s">
        <v>112</v>
      </c>
      <c r="F1276" s="1" t="s">
        <v>113</v>
      </c>
      <c r="G1276" s="1" t="s">
        <v>24</v>
      </c>
      <c r="H1276" s="1" t="s">
        <v>34</v>
      </c>
      <c r="I1276" s="1" t="s">
        <v>43</v>
      </c>
      <c r="J1276" s="1" t="s">
        <v>44</v>
      </c>
      <c r="K1276" s="1" t="s">
        <v>45</v>
      </c>
      <c r="L1276">
        <v>1</v>
      </c>
      <c r="M1276">
        <v>1799</v>
      </c>
      <c r="N1276">
        <v>0</v>
      </c>
      <c r="O1276">
        <v>1799</v>
      </c>
      <c r="P1276">
        <v>850</v>
      </c>
      <c r="Q1276">
        <v>850</v>
      </c>
      <c r="R1276">
        <v>40</v>
      </c>
      <c r="S1276">
        <v>909</v>
      </c>
    </row>
    <row r="1277" spans="1:19" x14ac:dyDescent="0.3">
      <c r="A1277" s="1" t="s">
        <v>1778</v>
      </c>
      <c r="B1277" s="4">
        <v>45915</v>
      </c>
      <c r="C1277" s="1" t="s">
        <v>568</v>
      </c>
      <c r="D1277" s="1" t="s">
        <v>21</v>
      </c>
      <c r="E1277" s="1" t="s">
        <v>124</v>
      </c>
      <c r="F1277" s="1" t="s">
        <v>125</v>
      </c>
      <c r="G1277" s="1" t="s">
        <v>33</v>
      </c>
      <c r="H1277" s="1" t="s">
        <v>56</v>
      </c>
      <c r="I1277" s="1" t="s">
        <v>51</v>
      </c>
      <c r="J1277" s="1" t="s">
        <v>52</v>
      </c>
      <c r="K1277" s="1" t="s">
        <v>37</v>
      </c>
      <c r="L1277">
        <v>3</v>
      </c>
      <c r="M1277">
        <v>499</v>
      </c>
      <c r="N1277">
        <v>0.15</v>
      </c>
      <c r="O1277">
        <v>1272.45</v>
      </c>
      <c r="P1277">
        <v>180</v>
      </c>
      <c r="Q1277">
        <v>540</v>
      </c>
      <c r="R1277">
        <v>40</v>
      </c>
      <c r="S1277">
        <v>692.45</v>
      </c>
    </row>
    <row r="1278" spans="1:19" x14ac:dyDescent="0.3">
      <c r="A1278" s="1" t="s">
        <v>1779</v>
      </c>
      <c r="B1278" s="4">
        <v>45915</v>
      </c>
      <c r="C1278" s="1" t="s">
        <v>411</v>
      </c>
      <c r="D1278" s="1" t="s">
        <v>48</v>
      </c>
      <c r="E1278" s="1" t="s">
        <v>120</v>
      </c>
      <c r="F1278" s="1" t="s">
        <v>121</v>
      </c>
      <c r="G1278" s="1" t="s">
        <v>42</v>
      </c>
      <c r="H1278" s="1" t="s">
        <v>56</v>
      </c>
      <c r="I1278" s="1" t="s">
        <v>134</v>
      </c>
      <c r="J1278" s="1" t="s">
        <v>135</v>
      </c>
      <c r="K1278" s="1" t="s">
        <v>136</v>
      </c>
      <c r="L1278">
        <v>2</v>
      </c>
      <c r="M1278">
        <v>299</v>
      </c>
      <c r="N1278">
        <v>0.15</v>
      </c>
      <c r="O1278">
        <v>508.3</v>
      </c>
      <c r="P1278">
        <v>110</v>
      </c>
      <c r="Q1278">
        <v>220</v>
      </c>
      <c r="R1278">
        <v>40</v>
      </c>
      <c r="S1278">
        <v>248.3</v>
      </c>
    </row>
    <row r="1279" spans="1:19" x14ac:dyDescent="0.3">
      <c r="A1279" s="1" t="s">
        <v>1780</v>
      </c>
      <c r="B1279" s="4">
        <v>45916</v>
      </c>
      <c r="C1279" s="1" t="s">
        <v>251</v>
      </c>
      <c r="D1279" s="1" t="s">
        <v>40</v>
      </c>
      <c r="E1279" s="1" t="s">
        <v>120</v>
      </c>
      <c r="F1279" s="1" t="s">
        <v>121</v>
      </c>
      <c r="G1279" s="1" t="s">
        <v>33</v>
      </c>
      <c r="H1279" s="1" t="s">
        <v>71</v>
      </c>
      <c r="I1279" s="1" t="s">
        <v>43</v>
      </c>
      <c r="J1279" s="1" t="s">
        <v>44</v>
      </c>
      <c r="K1279" s="1" t="s">
        <v>45</v>
      </c>
      <c r="L1279">
        <v>1</v>
      </c>
      <c r="M1279">
        <v>1799</v>
      </c>
      <c r="N1279">
        <v>0</v>
      </c>
      <c r="O1279">
        <v>1799</v>
      </c>
      <c r="P1279">
        <v>850</v>
      </c>
      <c r="Q1279">
        <v>850</v>
      </c>
      <c r="R1279">
        <v>60</v>
      </c>
      <c r="S1279">
        <v>889</v>
      </c>
    </row>
    <row r="1280" spans="1:19" x14ac:dyDescent="0.3">
      <c r="A1280" s="1" t="s">
        <v>1781</v>
      </c>
      <c r="B1280" s="4">
        <v>45917</v>
      </c>
      <c r="C1280" s="1" t="s">
        <v>583</v>
      </c>
      <c r="D1280" s="1" t="s">
        <v>40</v>
      </c>
      <c r="E1280" s="1" t="s">
        <v>64</v>
      </c>
      <c r="F1280" s="1" t="s">
        <v>65</v>
      </c>
      <c r="G1280" s="1" t="s">
        <v>24</v>
      </c>
      <c r="H1280" s="1" t="s">
        <v>71</v>
      </c>
      <c r="I1280" s="1" t="s">
        <v>59</v>
      </c>
      <c r="J1280" s="1" t="s">
        <v>60</v>
      </c>
      <c r="K1280" s="1" t="s">
        <v>61</v>
      </c>
      <c r="L1280">
        <v>2</v>
      </c>
      <c r="M1280">
        <v>999</v>
      </c>
      <c r="N1280">
        <v>0.05</v>
      </c>
      <c r="O1280">
        <v>1898.1</v>
      </c>
      <c r="P1280">
        <v>520</v>
      </c>
      <c r="Q1280">
        <v>1040</v>
      </c>
      <c r="R1280">
        <v>60</v>
      </c>
      <c r="S1280">
        <v>798.1</v>
      </c>
    </row>
    <row r="1281" spans="1:19" x14ac:dyDescent="0.3">
      <c r="A1281" s="1" t="s">
        <v>1782</v>
      </c>
      <c r="B1281" s="4">
        <v>45917</v>
      </c>
      <c r="C1281" s="1" t="s">
        <v>736</v>
      </c>
      <c r="D1281" s="1" t="s">
        <v>40</v>
      </c>
      <c r="E1281" s="1" t="s">
        <v>22</v>
      </c>
      <c r="F1281" s="1" t="s">
        <v>23</v>
      </c>
      <c r="G1281" s="1" t="s">
        <v>33</v>
      </c>
      <c r="H1281" s="1" t="s">
        <v>89</v>
      </c>
      <c r="I1281" s="1" t="s">
        <v>76</v>
      </c>
      <c r="J1281" s="1" t="s">
        <v>77</v>
      </c>
      <c r="K1281" s="1" t="s">
        <v>37</v>
      </c>
      <c r="L1281">
        <v>3</v>
      </c>
      <c r="M1281">
        <v>6999</v>
      </c>
      <c r="N1281">
        <v>0.05</v>
      </c>
      <c r="O1281">
        <v>19947.150000000001</v>
      </c>
      <c r="P1281">
        <v>4900</v>
      </c>
      <c r="Q1281">
        <v>14700</v>
      </c>
      <c r="R1281">
        <v>60</v>
      </c>
      <c r="S1281">
        <v>5187.1499999999996</v>
      </c>
    </row>
    <row r="1282" spans="1:19" x14ac:dyDescent="0.3">
      <c r="A1282" s="1" t="s">
        <v>1783</v>
      </c>
      <c r="B1282" s="4">
        <v>45917</v>
      </c>
      <c r="C1282" s="1" t="s">
        <v>279</v>
      </c>
      <c r="D1282" s="1" t="s">
        <v>21</v>
      </c>
      <c r="E1282" s="1" t="s">
        <v>120</v>
      </c>
      <c r="F1282" s="1" t="s">
        <v>121</v>
      </c>
      <c r="G1282" s="1" t="s">
        <v>33</v>
      </c>
      <c r="H1282" s="1" t="s">
        <v>34</v>
      </c>
      <c r="I1282" s="1" t="s">
        <v>76</v>
      </c>
      <c r="J1282" s="1" t="s">
        <v>77</v>
      </c>
      <c r="K1282" s="1" t="s">
        <v>37</v>
      </c>
      <c r="L1282">
        <v>2</v>
      </c>
      <c r="M1282">
        <v>6999</v>
      </c>
      <c r="N1282">
        <v>0</v>
      </c>
      <c r="O1282">
        <v>13998</v>
      </c>
      <c r="P1282">
        <v>4900</v>
      </c>
      <c r="Q1282">
        <v>9800</v>
      </c>
      <c r="R1282">
        <v>0</v>
      </c>
      <c r="S1282">
        <v>4198</v>
      </c>
    </row>
    <row r="1283" spans="1:19" x14ac:dyDescent="0.3">
      <c r="A1283" s="1" t="s">
        <v>1784</v>
      </c>
      <c r="B1283" s="4">
        <v>45918</v>
      </c>
      <c r="C1283" s="1" t="s">
        <v>216</v>
      </c>
      <c r="D1283" s="1" t="s">
        <v>48</v>
      </c>
      <c r="E1283" s="1" t="s">
        <v>70</v>
      </c>
      <c r="F1283" s="1" t="s">
        <v>70</v>
      </c>
      <c r="G1283" s="1" t="s">
        <v>24</v>
      </c>
      <c r="H1283" s="1" t="s">
        <v>56</v>
      </c>
      <c r="I1283" s="1" t="s">
        <v>92</v>
      </c>
      <c r="J1283" s="1" t="s">
        <v>93</v>
      </c>
      <c r="K1283" s="1" t="s">
        <v>28</v>
      </c>
      <c r="L1283">
        <v>1</v>
      </c>
      <c r="M1283">
        <v>1599</v>
      </c>
      <c r="N1283">
        <v>0.1</v>
      </c>
      <c r="O1283">
        <v>1439.1</v>
      </c>
      <c r="P1283">
        <v>900</v>
      </c>
      <c r="Q1283">
        <v>900</v>
      </c>
      <c r="R1283">
        <v>0</v>
      </c>
      <c r="S1283">
        <v>539.1</v>
      </c>
    </row>
    <row r="1284" spans="1:19" x14ac:dyDescent="0.3">
      <c r="A1284" s="1" t="s">
        <v>1785</v>
      </c>
      <c r="B1284" s="4">
        <v>45918</v>
      </c>
      <c r="C1284" s="1" t="s">
        <v>855</v>
      </c>
      <c r="D1284" s="1" t="s">
        <v>48</v>
      </c>
      <c r="E1284" s="1" t="s">
        <v>112</v>
      </c>
      <c r="F1284" s="1" t="s">
        <v>113</v>
      </c>
      <c r="G1284" s="1" t="s">
        <v>42</v>
      </c>
      <c r="H1284" s="1" t="s">
        <v>56</v>
      </c>
      <c r="I1284" s="1" t="s">
        <v>66</v>
      </c>
      <c r="J1284" s="1" t="s">
        <v>67</v>
      </c>
      <c r="K1284" s="1" t="s">
        <v>28</v>
      </c>
      <c r="L1284">
        <v>2</v>
      </c>
      <c r="M1284">
        <v>2499</v>
      </c>
      <c r="N1284">
        <v>0.05</v>
      </c>
      <c r="O1284">
        <v>4748.1000000000004</v>
      </c>
      <c r="P1284">
        <v>1450</v>
      </c>
      <c r="Q1284">
        <v>2900</v>
      </c>
      <c r="R1284">
        <v>60</v>
      </c>
      <c r="S1284">
        <v>1788.1</v>
      </c>
    </row>
    <row r="1285" spans="1:19" x14ac:dyDescent="0.3">
      <c r="A1285" s="1" t="s">
        <v>1786</v>
      </c>
      <c r="B1285" s="4">
        <v>45918</v>
      </c>
      <c r="C1285" s="1" t="s">
        <v>1787</v>
      </c>
      <c r="D1285" s="1" t="s">
        <v>48</v>
      </c>
      <c r="E1285" s="1" t="s">
        <v>80</v>
      </c>
      <c r="F1285" s="1" t="s">
        <v>55</v>
      </c>
      <c r="G1285" s="1" t="s">
        <v>42</v>
      </c>
      <c r="H1285" s="1" t="s">
        <v>25</v>
      </c>
      <c r="I1285" s="1" t="s">
        <v>134</v>
      </c>
      <c r="J1285" s="1" t="s">
        <v>135</v>
      </c>
      <c r="K1285" s="1" t="s">
        <v>136</v>
      </c>
      <c r="L1285">
        <v>1</v>
      </c>
      <c r="M1285">
        <v>299</v>
      </c>
      <c r="N1285">
        <v>0.2</v>
      </c>
      <c r="O1285">
        <v>239.2</v>
      </c>
      <c r="P1285">
        <v>110</v>
      </c>
      <c r="Q1285">
        <v>110</v>
      </c>
      <c r="R1285">
        <v>40</v>
      </c>
      <c r="S1285">
        <v>89.2</v>
      </c>
    </row>
    <row r="1286" spans="1:19" x14ac:dyDescent="0.3">
      <c r="A1286" s="1" t="s">
        <v>1788</v>
      </c>
      <c r="B1286" s="4">
        <v>45919</v>
      </c>
      <c r="C1286" s="1" t="s">
        <v>837</v>
      </c>
      <c r="D1286" s="1" t="s">
        <v>48</v>
      </c>
      <c r="E1286" s="1" t="s">
        <v>80</v>
      </c>
      <c r="F1286" s="1" t="s">
        <v>55</v>
      </c>
      <c r="G1286" s="1" t="s">
        <v>24</v>
      </c>
      <c r="H1286" s="1" t="s">
        <v>25</v>
      </c>
      <c r="I1286" s="1" t="s">
        <v>35</v>
      </c>
      <c r="J1286" s="1" t="s">
        <v>36</v>
      </c>
      <c r="K1286" s="1" t="s">
        <v>37</v>
      </c>
      <c r="L1286">
        <v>1</v>
      </c>
      <c r="M1286">
        <v>1299</v>
      </c>
      <c r="N1286">
        <v>0.2</v>
      </c>
      <c r="O1286">
        <v>1039.2</v>
      </c>
      <c r="P1286">
        <v>700</v>
      </c>
      <c r="Q1286">
        <v>700</v>
      </c>
      <c r="R1286">
        <v>60</v>
      </c>
      <c r="S1286">
        <v>279.2</v>
      </c>
    </row>
    <row r="1287" spans="1:19" x14ac:dyDescent="0.3">
      <c r="A1287" s="1" t="s">
        <v>1789</v>
      </c>
      <c r="B1287" s="4">
        <v>45919</v>
      </c>
      <c r="C1287" s="1" t="s">
        <v>1470</v>
      </c>
      <c r="D1287" s="1" t="s">
        <v>21</v>
      </c>
      <c r="E1287" s="1" t="s">
        <v>96</v>
      </c>
      <c r="F1287" s="1" t="s">
        <v>97</v>
      </c>
      <c r="G1287" s="1" t="s">
        <v>33</v>
      </c>
      <c r="H1287" s="1" t="s">
        <v>56</v>
      </c>
      <c r="I1287" s="1" t="s">
        <v>92</v>
      </c>
      <c r="J1287" s="1" t="s">
        <v>93</v>
      </c>
      <c r="K1287" s="1" t="s">
        <v>28</v>
      </c>
      <c r="L1287">
        <v>1</v>
      </c>
      <c r="M1287">
        <v>1599</v>
      </c>
      <c r="N1287">
        <v>0</v>
      </c>
      <c r="O1287">
        <v>1599</v>
      </c>
      <c r="P1287">
        <v>900</v>
      </c>
      <c r="Q1287">
        <v>900</v>
      </c>
      <c r="R1287">
        <v>100</v>
      </c>
      <c r="S1287">
        <v>599</v>
      </c>
    </row>
    <row r="1288" spans="1:19" x14ac:dyDescent="0.3">
      <c r="A1288" s="1" t="s">
        <v>1790</v>
      </c>
      <c r="B1288" s="4">
        <v>45919</v>
      </c>
      <c r="C1288" s="1" t="s">
        <v>392</v>
      </c>
      <c r="D1288" s="1" t="s">
        <v>48</v>
      </c>
      <c r="E1288" s="1" t="s">
        <v>124</v>
      </c>
      <c r="F1288" s="1" t="s">
        <v>125</v>
      </c>
      <c r="G1288" s="1" t="s">
        <v>33</v>
      </c>
      <c r="H1288" s="1" t="s">
        <v>56</v>
      </c>
      <c r="I1288" s="1" t="s">
        <v>51</v>
      </c>
      <c r="J1288" s="1" t="s">
        <v>52</v>
      </c>
      <c r="K1288" s="1" t="s">
        <v>37</v>
      </c>
      <c r="L1288">
        <v>2</v>
      </c>
      <c r="M1288">
        <v>499</v>
      </c>
      <c r="N1288">
        <v>0</v>
      </c>
      <c r="O1288">
        <v>998</v>
      </c>
      <c r="P1288">
        <v>180</v>
      </c>
      <c r="Q1288">
        <v>360</v>
      </c>
      <c r="R1288">
        <v>0</v>
      </c>
      <c r="S1288">
        <v>638</v>
      </c>
    </row>
    <row r="1289" spans="1:19" x14ac:dyDescent="0.3">
      <c r="A1289" s="1" t="s">
        <v>1791</v>
      </c>
      <c r="B1289" s="4">
        <v>45920</v>
      </c>
      <c r="C1289" s="1" t="s">
        <v>761</v>
      </c>
      <c r="D1289" s="1" t="s">
        <v>48</v>
      </c>
      <c r="E1289" s="1" t="s">
        <v>64</v>
      </c>
      <c r="F1289" s="1" t="s">
        <v>65</v>
      </c>
      <c r="G1289" s="1" t="s">
        <v>33</v>
      </c>
      <c r="H1289" s="1" t="s">
        <v>25</v>
      </c>
      <c r="I1289" s="1" t="s">
        <v>134</v>
      </c>
      <c r="J1289" s="1" t="s">
        <v>135</v>
      </c>
      <c r="K1289" s="1" t="s">
        <v>136</v>
      </c>
      <c r="L1289">
        <v>2</v>
      </c>
      <c r="M1289">
        <v>299</v>
      </c>
      <c r="N1289">
        <v>0.2</v>
      </c>
      <c r="O1289">
        <v>478.4</v>
      </c>
      <c r="P1289">
        <v>110</v>
      </c>
      <c r="Q1289">
        <v>220</v>
      </c>
      <c r="R1289">
        <v>60</v>
      </c>
      <c r="S1289">
        <v>198.4</v>
      </c>
    </row>
    <row r="1290" spans="1:19" x14ac:dyDescent="0.3">
      <c r="A1290" s="1" t="s">
        <v>1792</v>
      </c>
      <c r="B1290" s="4">
        <v>45920</v>
      </c>
      <c r="C1290" s="1" t="s">
        <v>1189</v>
      </c>
      <c r="D1290" s="1" t="s">
        <v>40</v>
      </c>
      <c r="E1290" s="1" t="s">
        <v>64</v>
      </c>
      <c r="F1290" s="1" t="s">
        <v>65</v>
      </c>
      <c r="G1290" s="1" t="s">
        <v>24</v>
      </c>
      <c r="H1290" s="1" t="s">
        <v>89</v>
      </c>
      <c r="I1290" s="1" t="s">
        <v>76</v>
      </c>
      <c r="J1290" s="1" t="s">
        <v>77</v>
      </c>
      <c r="K1290" s="1" t="s">
        <v>37</v>
      </c>
      <c r="L1290">
        <v>1</v>
      </c>
      <c r="M1290">
        <v>6999</v>
      </c>
      <c r="N1290">
        <v>0.15</v>
      </c>
      <c r="O1290">
        <v>5949.15</v>
      </c>
      <c r="P1290">
        <v>4900</v>
      </c>
      <c r="Q1290">
        <v>4900</v>
      </c>
      <c r="R1290">
        <v>40</v>
      </c>
      <c r="S1290">
        <v>1009.15</v>
      </c>
    </row>
    <row r="1291" spans="1:19" x14ac:dyDescent="0.3">
      <c r="A1291" s="1" t="s">
        <v>1793</v>
      </c>
      <c r="B1291" s="4">
        <v>45920</v>
      </c>
      <c r="C1291" s="1" t="s">
        <v>768</v>
      </c>
      <c r="D1291" s="1" t="s">
        <v>40</v>
      </c>
      <c r="E1291" s="1" t="s">
        <v>80</v>
      </c>
      <c r="F1291" s="1" t="s">
        <v>55</v>
      </c>
      <c r="G1291" s="1" t="s">
        <v>42</v>
      </c>
      <c r="H1291" s="1" t="s">
        <v>89</v>
      </c>
      <c r="I1291" s="1" t="s">
        <v>76</v>
      </c>
      <c r="J1291" s="1" t="s">
        <v>77</v>
      </c>
      <c r="K1291" s="1" t="s">
        <v>37</v>
      </c>
      <c r="L1291">
        <v>1</v>
      </c>
      <c r="M1291">
        <v>6999</v>
      </c>
      <c r="N1291">
        <v>0.1</v>
      </c>
      <c r="O1291">
        <v>6299.1</v>
      </c>
      <c r="P1291">
        <v>4900</v>
      </c>
      <c r="Q1291">
        <v>4900</v>
      </c>
      <c r="R1291">
        <v>60</v>
      </c>
      <c r="S1291">
        <v>1339.1</v>
      </c>
    </row>
    <row r="1292" spans="1:19" x14ac:dyDescent="0.3">
      <c r="A1292" s="1" t="s">
        <v>1794</v>
      </c>
      <c r="B1292" s="4">
        <v>45921</v>
      </c>
      <c r="C1292" s="1" t="s">
        <v>757</v>
      </c>
      <c r="D1292" s="1" t="s">
        <v>40</v>
      </c>
      <c r="E1292" s="1" t="s">
        <v>124</v>
      </c>
      <c r="F1292" s="1" t="s">
        <v>125</v>
      </c>
      <c r="G1292" s="1" t="s">
        <v>42</v>
      </c>
      <c r="H1292" s="1" t="s">
        <v>89</v>
      </c>
      <c r="I1292" s="1" t="s">
        <v>92</v>
      </c>
      <c r="J1292" s="1" t="s">
        <v>93</v>
      </c>
      <c r="K1292" s="1" t="s">
        <v>28</v>
      </c>
      <c r="L1292">
        <v>1</v>
      </c>
      <c r="M1292">
        <v>1599</v>
      </c>
      <c r="N1292">
        <v>0.1</v>
      </c>
      <c r="O1292">
        <v>1439.1</v>
      </c>
      <c r="P1292">
        <v>900</v>
      </c>
      <c r="Q1292">
        <v>900</v>
      </c>
      <c r="R1292">
        <v>0</v>
      </c>
      <c r="S1292">
        <v>539.1</v>
      </c>
    </row>
    <row r="1293" spans="1:19" x14ac:dyDescent="0.3">
      <c r="A1293" s="1" t="s">
        <v>1795</v>
      </c>
      <c r="B1293" s="4">
        <v>45921</v>
      </c>
      <c r="C1293" s="1" t="s">
        <v>200</v>
      </c>
      <c r="D1293" s="1" t="s">
        <v>21</v>
      </c>
      <c r="E1293" s="1" t="s">
        <v>80</v>
      </c>
      <c r="F1293" s="1" t="s">
        <v>55</v>
      </c>
      <c r="G1293" s="1" t="s">
        <v>24</v>
      </c>
      <c r="H1293" s="1" t="s">
        <v>56</v>
      </c>
      <c r="I1293" s="1" t="s">
        <v>134</v>
      </c>
      <c r="J1293" s="1" t="s">
        <v>135</v>
      </c>
      <c r="K1293" s="1" t="s">
        <v>136</v>
      </c>
      <c r="L1293">
        <v>1</v>
      </c>
      <c r="M1293">
        <v>299</v>
      </c>
      <c r="N1293">
        <v>0.15</v>
      </c>
      <c r="O1293">
        <v>254.15</v>
      </c>
      <c r="P1293">
        <v>110</v>
      </c>
      <c r="Q1293">
        <v>110</v>
      </c>
      <c r="R1293">
        <v>100</v>
      </c>
      <c r="S1293">
        <v>44.15</v>
      </c>
    </row>
    <row r="1294" spans="1:19" x14ac:dyDescent="0.3">
      <c r="A1294" s="1" t="s">
        <v>1796</v>
      </c>
      <c r="B1294" s="4">
        <v>45921</v>
      </c>
      <c r="C1294" s="1" t="s">
        <v>802</v>
      </c>
      <c r="D1294" s="1" t="s">
        <v>48</v>
      </c>
      <c r="E1294" s="1" t="s">
        <v>112</v>
      </c>
      <c r="F1294" s="1" t="s">
        <v>113</v>
      </c>
      <c r="G1294" s="1" t="s">
        <v>24</v>
      </c>
      <c r="H1294" s="1" t="s">
        <v>25</v>
      </c>
      <c r="I1294" s="1" t="s">
        <v>35</v>
      </c>
      <c r="J1294" s="1" t="s">
        <v>36</v>
      </c>
      <c r="K1294" s="1" t="s">
        <v>37</v>
      </c>
      <c r="L1294">
        <v>2</v>
      </c>
      <c r="M1294">
        <v>1299</v>
      </c>
      <c r="N1294">
        <v>0.1</v>
      </c>
      <c r="O1294">
        <v>2338.1999999999998</v>
      </c>
      <c r="P1294">
        <v>700</v>
      </c>
      <c r="Q1294">
        <v>1400</v>
      </c>
      <c r="R1294">
        <v>0</v>
      </c>
      <c r="S1294">
        <v>938.2</v>
      </c>
    </row>
    <row r="1295" spans="1:19" x14ac:dyDescent="0.3">
      <c r="A1295" s="1" t="s">
        <v>1797</v>
      </c>
      <c r="B1295" s="4">
        <v>45921</v>
      </c>
      <c r="C1295" s="1" t="s">
        <v>894</v>
      </c>
      <c r="D1295" s="1" t="s">
        <v>48</v>
      </c>
      <c r="E1295" s="1" t="s">
        <v>120</v>
      </c>
      <c r="F1295" s="1" t="s">
        <v>121</v>
      </c>
      <c r="G1295" s="1" t="s">
        <v>42</v>
      </c>
      <c r="H1295" s="1" t="s">
        <v>34</v>
      </c>
      <c r="I1295" s="1" t="s">
        <v>134</v>
      </c>
      <c r="J1295" s="1" t="s">
        <v>135</v>
      </c>
      <c r="K1295" s="1" t="s">
        <v>136</v>
      </c>
      <c r="L1295">
        <v>2</v>
      </c>
      <c r="M1295">
        <v>299</v>
      </c>
      <c r="N1295">
        <v>0.1</v>
      </c>
      <c r="O1295">
        <v>538.20000000000005</v>
      </c>
      <c r="P1295">
        <v>110</v>
      </c>
      <c r="Q1295">
        <v>220</v>
      </c>
      <c r="R1295">
        <v>100</v>
      </c>
      <c r="S1295">
        <v>218.2</v>
      </c>
    </row>
    <row r="1296" spans="1:19" x14ac:dyDescent="0.3">
      <c r="A1296" s="1" t="s">
        <v>1798</v>
      </c>
      <c r="B1296" s="4">
        <v>45921</v>
      </c>
      <c r="C1296" s="1" t="s">
        <v>451</v>
      </c>
      <c r="D1296" s="1" t="s">
        <v>21</v>
      </c>
      <c r="E1296" s="1" t="s">
        <v>41</v>
      </c>
      <c r="F1296" s="1" t="s">
        <v>32</v>
      </c>
      <c r="G1296" s="1" t="s">
        <v>33</v>
      </c>
      <c r="H1296" s="1" t="s">
        <v>89</v>
      </c>
      <c r="I1296" s="1" t="s">
        <v>59</v>
      </c>
      <c r="J1296" s="1" t="s">
        <v>60</v>
      </c>
      <c r="K1296" s="1" t="s">
        <v>61</v>
      </c>
      <c r="L1296">
        <v>1</v>
      </c>
      <c r="M1296">
        <v>999</v>
      </c>
      <c r="N1296">
        <v>0</v>
      </c>
      <c r="O1296">
        <v>999</v>
      </c>
      <c r="P1296">
        <v>520</v>
      </c>
      <c r="Q1296">
        <v>520</v>
      </c>
      <c r="R1296">
        <v>0</v>
      </c>
      <c r="S1296">
        <v>479</v>
      </c>
    </row>
    <row r="1297" spans="1:19" x14ac:dyDescent="0.3">
      <c r="A1297" s="1" t="s">
        <v>1799</v>
      </c>
      <c r="B1297" s="4">
        <v>45921</v>
      </c>
      <c r="C1297" s="1" t="s">
        <v>504</v>
      </c>
      <c r="D1297" s="1" t="s">
        <v>21</v>
      </c>
      <c r="E1297" s="1" t="s">
        <v>80</v>
      </c>
      <c r="F1297" s="1" t="s">
        <v>55</v>
      </c>
      <c r="G1297" s="1" t="s">
        <v>42</v>
      </c>
      <c r="H1297" s="1" t="s">
        <v>56</v>
      </c>
      <c r="I1297" s="1" t="s">
        <v>134</v>
      </c>
      <c r="J1297" s="1" t="s">
        <v>135</v>
      </c>
      <c r="K1297" s="1" t="s">
        <v>136</v>
      </c>
      <c r="L1297">
        <v>1</v>
      </c>
      <c r="M1297">
        <v>299</v>
      </c>
      <c r="N1297">
        <v>0</v>
      </c>
      <c r="O1297">
        <v>299</v>
      </c>
      <c r="P1297">
        <v>110</v>
      </c>
      <c r="Q1297">
        <v>110</v>
      </c>
      <c r="R1297">
        <v>60</v>
      </c>
      <c r="S1297">
        <v>129</v>
      </c>
    </row>
    <row r="1298" spans="1:19" x14ac:dyDescent="0.3">
      <c r="A1298" s="1" t="s">
        <v>1800</v>
      </c>
      <c r="B1298" s="4">
        <v>45921</v>
      </c>
      <c r="C1298" s="1" t="s">
        <v>744</v>
      </c>
      <c r="D1298" s="1" t="s">
        <v>40</v>
      </c>
      <c r="E1298" s="1" t="s">
        <v>64</v>
      </c>
      <c r="F1298" s="1" t="s">
        <v>65</v>
      </c>
      <c r="G1298" s="1" t="s">
        <v>24</v>
      </c>
      <c r="H1298" s="1" t="s">
        <v>56</v>
      </c>
      <c r="I1298" s="1" t="s">
        <v>134</v>
      </c>
      <c r="J1298" s="1" t="s">
        <v>135</v>
      </c>
      <c r="K1298" s="1" t="s">
        <v>136</v>
      </c>
      <c r="L1298">
        <v>2</v>
      </c>
      <c r="M1298">
        <v>299</v>
      </c>
      <c r="N1298">
        <v>0.2</v>
      </c>
      <c r="O1298">
        <v>478.4</v>
      </c>
      <c r="P1298">
        <v>110</v>
      </c>
      <c r="Q1298">
        <v>220</v>
      </c>
      <c r="R1298">
        <v>80</v>
      </c>
      <c r="S1298">
        <v>178.4</v>
      </c>
    </row>
    <row r="1299" spans="1:19" x14ac:dyDescent="0.3">
      <c r="A1299" s="1" t="s">
        <v>1801</v>
      </c>
      <c r="B1299" s="4">
        <v>45921</v>
      </c>
      <c r="C1299" s="1" t="s">
        <v>957</v>
      </c>
      <c r="D1299" s="1" t="s">
        <v>40</v>
      </c>
      <c r="E1299" s="1" t="s">
        <v>41</v>
      </c>
      <c r="F1299" s="1" t="s">
        <v>32</v>
      </c>
      <c r="G1299" s="1" t="s">
        <v>24</v>
      </c>
      <c r="H1299" s="1" t="s">
        <v>71</v>
      </c>
      <c r="I1299" s="1" t="s">
        <v>81</v>
      </c>
      <c r="J1299" s="1" t="s">
        <v>82</v>
      </c>
      <c r="K1299" s="1" t="s">
        <v>61</v>
      </c>
      <c r="L1299">
        <v>1</v>
      </c>
      <c r="M1299">
        <v>2999</v>
      </c>
      <c r="N1299">
        <v>0.1</v>
      </c>
      <c r="O1299">
        <v>2699.1</v>
      </c>
      <c r="P1299">
        <v>1750</v>
      </c>
      <c r="Q1299">
        <v>1750</v>
      </c>
      <c r="R1299">
        <v>40</v>
      </c>
      <c r="S1299">
        <v>909.1</v>
      </c>
    </row>
    <row r="1300" spans="1:19" x14ac:dyDescent="0.3">
      <c r="A1300" s="1" t="s">
        <v>1802</v>
      </c>
      <c r="B1300" s="4">
        <v>45922</v>
      </c>
      <c r="C1300" s="1" t="s">
        <v>570</v>
      </c>
      <c r="D1300" s="1" t="s">
        <v>48</v>
      </c>
      <c r="E1300" s="1" t="s">
        <v>112</v>
      </c>
      <c r="F1300" s="1" t="s">
        <v>113</v>
      </c>
      <c r="G1300" s="1" t="s">
        <v>24</v>
      </c>
      <c r="H1300" s="1" t="s">
        <v>71</v>
      </c>
      <c r="I1300" s="1" t="s">
        <v>76</v>
      </c>
      <c r="J1300" s="1" t="s">
        <v>77</v>
      </c>
      <c r="K1300" s="1" t="s">
        <v>37</v>
      </c>
      <c r="L1300">
        <v>3</v>
      </c>
      <c r="M1300">
        <v>6999</v>
      </c>
      <c r="N1300">
        <v>0</v>
      </c>
      <c r="O1300">
        <v>20997</v>
      </c>
      <c r="P1300">
        <v>4900</v>
      </c>
      <c r="Q1300">
        <v>14700</v>
      </c>
      <c r="R1300">
        <v>100</v>
      </c>
      <c r="S1300">
        <v>6197</v>
      </c>
    </row>
    <row r="1301" spans="1:19" x14ac:dyDescent="0.3">
      <c r="A1301" s="1" t="s">
        <v>1803</v>
      </c>
      <c r="B1301" s="4">
        <v>45922</v>
      </c>
      <c r="C1301" s="1" t="s">
        <v>498</v>
      </c>
      <c r="D1301" s="1" t="s">
        <v>40</v>
      </c>
      <c r="E1301" s="1" t="s">
        <v>54</v>
      </c>
      <c r="F1301" s="1" t="s">
        <v>55</v>
      </c>
      <c r="G1301" s="1" t="s">
        <v>42</v>
      </c>
      <c r="H1301" s="1" t="s">
        <v>25</v>
      </c>
      <c r="I1301" s="1" t="s">
        <v>76</v>
      </c>
      <c r="J1301" s="1" t="s">
        <v>77</v>
      </c>
      <c r="K1301" s="1" t="s">
        <v>37</v>
      </c>
      <c r="L1301">
        <v>4</v>
      </c>
      <c r="M1301">
        <v>6999</v>
      </c>
      <c r="N1301">
        <v>0</v>
      </c>
      <c r="O1301">
        <v>27996</v>
      </c>
      <c r="P1301">
        <v>4900</v>
      </c>
      <c r="Q1301">
        <v>19600</v>
      </c>
      <c r="R1301">
        <v>40</v>
      </c>
      <c r="S1301">
        <v>8356</v>
      </c>
    </row>
    <row r="1302" spans="1:19" x14ac:dyDescent="0.3">
      <c r="A1302" s="1" t="s">
        <v>1804</v>
      </c>
      <c r="B1302" s="4">
        <v>45922</v>
      </c>
      <c r="C1302" s="1" t="s">
        <v>987</v>
      </c>
      <c r="D1302" s="1" t="s">
        <v>48</v>
      </c>
      <c r="E1302" s="1" t="s">
        <v>41</v>
      </c>
      <c r="F1302" s="1" t="s">
        <v>32</v>
      </c>
      <c r="G1302" s="1" t="s">
        <v>42</v>
      </c>
      <c r="H1302" s="1" t="s">
        <v>25</v>
      </c>
      <c r="I1302" s="1" t="s">
        <v>35</v>
      </c>
      <c r="J1302" s="1" t="s">
        <v>36</v>
      </c>
      <c r="K1302" s="1" t="s">
        <v>37</v>
      </c>
      <c r="L1302">
        <v>1</v>
      </c>
      <c r="M1302">
        <v>1299</v>
      </c>
      <c r="N1302">
        <v>0.2</v>
      </c>
      <c r="O1302">
        <v>1039.2</v>
      </c>
      <c r="P1302">
        <v>700</v>
      </c>
      <c r="Q1302">
        <v>700</v>
      </c>
      <c r="R1302">
        <v>60</v>
      </c>
      <c r="S1302">
        <v>279.2</v>
      </c>
    </row>
    <row r="1303" spans="1:19" x14ac:dyDescent="0.3">
      <c r="A1303" s="1" t="s">
        <v>1805</v>
      </c>
      <c r="B1303" s="4">
        <v>45922</v>
      </c>
      <c r="C1303" s="1" t="s">
        <v>720</v>
      </c>
      <c r="D1303" s="1" t="s">
        <v>48</v>
      </c>
      <c r="E1303" s="1" t="s">
        <v>120</v>
      </c>
      <c r="F1303" s="1" t="s">
        <v>121</v>
      </c>
      <c r="G1303" s="1" t="s">
        <v>42</v>
      </c>
      <c r="H1303" s="1" t="s">
        <v>25</v>
      </c>
      <c r="I1303" s="1" t="s">
        <v>59</v>
      </c>
      <c r="J1303" s="1" t="s">
        <v>60</v>
      </c>
      <c r="K1303" s="1" t="s">
        <v>61</v>
      </c>
      <c r="L1303">
        <v>1</v>
      </c>
      <c r="M1303">
        <v>999</v>
      </c>
      <c r="N1303">
        <v>0.05</v>
      </c>
      <c r="O1303">
        <v>949.05</v>
      </c>
      <c r="P1303">
        <v>520</v>
      </c>
      <c r="Q1303">
        <v>520</v>
      </c>
      <c r="R1303">
        <v>60</v>
      </c>
      <c r="S1303">
        <v>369.05</v>
      </c>
    </row>
    <row r="1304" spans="1:19" x14ac:dyDescent="0.3">
      <c r="A1304" s="1" t="s">
        <v>1806</v>
      </c>
      <c r="B1304" s="4">
        <v>45923</v>
      </c>
      <c r="C1304" s="1" t="s">
        <v>142</v>
      </c>
      <c r="D1304" s="1" t="s">
        <v>21</v>
      </c>
      <c r="E1304" s="1" t="s">
        <v>80</v>
      </c>
      <c r="F1304" s="1" t="s">
        <v>55</v>
      </c>
      <c r="G1304" s="1" t="s">
        <v>24</v>
      </c>
      <c r="H1304" s="1" t="s">
        <v>56</v>
      </c>
      <c r="I1304" s="1" t="s">
        <v>81</v>
      </c>
      <c r="J1304" s="1" t="s">
        <v>82</v>
      </c>
      <c r="K1304" s="1" t="s">
        <v>61</v>
      </c>
      <c r="L1304">
        <v>1</v>
      </c>
      <c r="M1304">
        <v>2999</v>
      </c>
      <c r="N1304">
        <v>0</v>
      </c>
      <c r="O1304">
        <v>2999</v>
      </c>
      <c r="P1304">
        <v>1750</v>
      </c>
      <c r="Q1304">
        <v>1750</v>
      </c>
      <c r="R1304">
        <v>100</v>
      </c>
      <c r="S1304">
        <v>1149</v>
      </c>
    </row>
    <row r="1305" spans="1:19" x14ac:dyDescent="0.3">
      <c r="A1305" s="1" t="s">
        <v>1807</v>
      </c>
      <c r="B1305" s="4">
        <v>45924</v>
      </c>
      <c r="C1305" s="1" t="s">
        <v>172</v>
      </c>
      <c r="D1305" s="1" t="s">
        <v>48</v>
      </c>
      <c r="E1305" s="1" t="s">
        <v>124</v>
      </c>
      <c r="F1305" s="1" t="s">
        <v>125</v>
      </c>
      <c r="G1305" s="1" t="s">
        <v>42</v>
      </c>
      <c r="H1305" s="1" t="s">
        <v>25</v>
      </c>
      <c r="I1305" s="1" t="s">
        <v>59</v>
      </c>
      <c r="J1305" s="1" t="s">
        <v>60</v>
      </c>
      <c r="K1305" s="1" t="s">
        <v>61</v>
      </c>
      <c r="L1305">
        <v>2</v>
      </c>
      <c r="M1305">
        <v>999</v>
      </c>
      <c r="N1305">
        <v>0</v>
      </c>
      <c r="O1305">
        <v>1998</v>
      </c>
      <c r="P1305">
        <v>520</v>
      </c>
      <c r="Q1305">
        <v>1040</v>
      </c>
      <c r="R1305">
        <v>0</v>
      </c>
      <c r="S1305">
        <v>958</v>
      </c>
    </row>
    <row r="1306" spans="1:19" x14ac:dyDescent="0.3">
      <c r="A1306" s="1" t="s">
        <v>1808</v>
      </c>
      <c r="B1306" s="4">
        <v>45925</v>
      </c>
      <c r="C1306" s="1" t="s">
        <v>500</v>
      </c>
      <c r="D1306" s="1" t="s">
        <v>40</v>
      </c>
      <c r="E1306" s="1" t="s">
        <v>112</v>
      </c>
      <c r="F1306" s="1" t="s">
        <v>113</v>
      </c>
      <c r="G1306" s="1" t="s">
        <v>42</v>
      </c>
      <c r="H1306" s="1" t="s">
        <v>71</v>
      </c>
      <c r="I1306" s="1" t="s">
        <v>76</v>
      </c>
      <c r="J1306" s="1" t="s">
        <v>77</v>
      </c>
      <c r="K1306" s="1" t="s">
        <v>37</v>
      </c>
      <c r="L1306">
        <v>2</v>
      </c>
      <c r="M1306">
        <v>6999</v>
      </c>
      <c r="N1306">
        <v>0.1</v>
      </c>
      <c r="O1306">
        <v>12598.2</v>
      </c>
      <c r="P1306">
        <v>4900</v>
      </c>
      <c r="Q1306">
        <v>9800</v>
      </c>
      <c r="R1306">
        <v>100</v>
      </c>
      <c r="S1306">
        <v>2698.2</v>
      </c>
    </row>
    <row r="1307" spans="1:19" x14ac:dyDescent="0.3">
      <c r="A1307" s="1" t="s">
        <v>1809</v>
      </c>
      <c r="B1307" s="4">
        <v>45926</v>
      </c>
      <c r="C1307" s="1" t="s">
        <v>1529</v>
      </c>
      <c r="D1307" s="1" t="s">
        <v>40</v>
      </c>
      <c r="E1307" s="1" t="s">
        <v>31</v>
      </c>
      <c r="F1307" s="1" t="s">
        <v>32</v>
      </c>
      <c r="G1307" s="1" t="s">
        <v>42</v>
      </c>
      <c r="H1307" s="1" t="s">
        <v>25</v>
      </c>
      <c r="I1307" s="1" t="s">
        <v>43</v>
      </c>
      <c r="J1307" s="1" t="s">
        <v>44</v>
      </c>
      <c r="K1307" s="1" t="s">
        <v>45</v>
      </c>
      <c r="L1307">
        <v>3</v>
      </c>
      <c r="M1307">
        <v>1799</v>
      </c>
      <c r="N1307">
        <v>0.2</v>
      </c>
      <c r="O1307">
        <v>4317.6000000000004</v>
      </c>
      <c r="P1307">
        <v>850</v>
      </c>
      <c r="Q1307">
        <v>2550</v>
      </c>
      <c r="R1307">
        <v>80</v>
      </c>
      <c r="S1307">
        <v>1687.6</v>
      </c>
    </row>
    <row r="1308" spans="1:19" x14ac:dyDescent="0.3">
      <c r="A1308" s="1" t="s">
        <v>1810</v>
      </c>
      <c r="B1308" s="4">
        <v>45926</v>
      </c>
      <c r="C1308" s="1" t="s">
        <v>392</v>
      </c>
      <c r="D1308" s="1" t="s">
        <v>21</v>
      </c>
      <c r="E1308" s="1" t="s">
        <v>112</v>
      </c>
      <c r="F1308" s="1" t="s">
        <v>113</v>
      </c>
      <c r="G1308" s="1" t="s">
        <v>33</v>
      </c>
      <c r="H1308" s="1" t="s">
        <v>34</v>
      </c>
      <c r="I1308" s="1" t="s">
        <v>85</v>
      </c>
      <c r="J1308" s="1" t="s">
        <v>86</v>
      </c>
      <c r="K1308" s="1" t="s">
        <v>45</v>
      </c>
      <c r="L1308">
        <v>1</v>
      </c>
      <c r="M1308">
        <v>599</v>
      </c>
      <c r="N1308">
        <v>0.05</v>
      </c>
      <c r="O1308">
        <v>569.04999999999995</v>
      </c>
      <c r="P1308">
        <v>240</v>
      </c>
      <c r="Q1308">
        <v>240</v>
      </c>
      <c r="R1308">
        <v>60</v>
      </c>
      <c r="S1308">
        <v>269.05</v>
      </c>
    </row>
    <row r="1309" spans="1:19" x14ac:dyDescent="0.3">
      <c r="A1309" s="1" t="s">
        <v>1811</v>
      </c>
      <c r="B1309" s="4">
        <v>45927</v>
      </c>
      <c r="C1309" s="1" t="s">
        <v>1812</v>
      </c>
      <c r="D1309" s="1" t="s">
        <v>40</v>
      </c>
      <c r="E1309" s="1" t="s">
        <v>41</v>
      </c>
      <c r="F1309" s="1" t="s">
        <v>32</v>
      </c>
      <c r="G1309" s="1" t="s">
        <v>42</v>
      </c>
      <c r="H1309" s="1" t="s">
        <v>34</v>
      </c>
      <c r="I1309" s="1" t="s">
        <v>81</v>
      </c>
      <c r="J1309" s="1" t="s">
        <v>82</v>
      </c>
      <c r="K1309" s="1" t="s">
        <v>61</v>
      </c>
      <c r="L1309">
        <v>3</v>
      </c>
      <c r="M1309">
        <v>2999</v>
      </c>
      <c r="N1309">
        <v>0</v>
      </c>
      <c r="O1309">
        <v>8997</v>
      </c>
      <c r="P1309">
        <v>1750</v>
      </c>
      <c r="Q1309">
        <v>5250</v>
      </c>
      <c r="R1309">
        <v>100</v>
      </c>
      <c r="S1309">
        <v>3647</v>
      </c>
    </row>
    <row r="1310" spans="1:19" x14ac:dyDescent="0.3">
      <c r="A1310" s="1" t="s">
        <v>1813</v>
      </c>
      <c r="B1310" s="4">
        <v>45927</v>
      </c>
      <c r="C1310" s="1" t="s">
        <v>441</v>
      </c>
      <c r="D1310" s="1" t="s">
        <v>40</v>
      </c>
      <c r="E1310" s="1" t="s">
        <v>80</v>
      </c>
      <c r="F1310" s="1" t="s">
        <v>55</v>
      </c>
      <c r="G1310" s="1" t="s">
        <v>24</v>
      </c>
      <c r="H1310" s="1" t="s">
        <v>89</v>
      </c>
      <c r="I1310" s="1" t="s">
        <v>51</v>
      </c>
      <c r="J1310" s="1" t="s">
        <v>52</v>
      </c>
      <c r="K1310" s="1" t="s">
        <v>37</v>
      </c>
      <c r="L1310">
        <v>2</v>
      </c>
      <c r="M1310">
        <v>499</v>
      </c>
      <c r="N1310">
        <v>0.1</v>
      </c>
      <c r="O1310">
        <v>898.2</v>
      </c>
      <c r="P1310">
        <v>180</v>
      </c>
      <c r="Q1310">
        <v>360</v>
      </c>
      <c r="R1310">
        <v>80</v>
      </c>
      <c r="S1310">
        <v>458.2</v>
      </c>
    </row>
    <row r="1311" spans="1:19" x14ac:dyDescent="0.3">
      <c r="A1311" s="1" t="s">
        <v>1814</v>
      </c>
      <c r="B1311" s="4">
        <v>45927</v>
      </c>
      <c r="C1311" s="1" t="s">
        <v>288</v>
      </c>
      <c r="D1311" s="1" t="s">
        <v>48</v>
      </c>
      <c r="E1311" s="1" t="s">
        <v>80</v>
      </c>
      <c r="F1311" s="1" t="s">
        <v>55</v>
      </c>
      <c r="G1311" s="1" t="s">
        <v>33</v>
      </c>
      <c r="H1311" s="1" t="s">
        <v>89</v>
      </c>
      <c r="I1311" s="1" t="s">
        <v>66</v>
      </c>
      <c r="J1311" s="1" t="s">
        <v>67</v>
      </c>
      <c r="K1311" s="1" t="s">
        <v>28</v>
      </c>
      <c r="L1311">
        <v>2</v>
      </c>
      <c r="M1311">
        <v>2499</v>
      </c>
      <c r="N1311">
        <v>0</v>
      </c>
      <c r="O1311">
        <v>4998</v>
      </c>
      <c r="P1311">
        <v>1450</v>
      </c>
      <c r="Q1311">
        <v>2900</v>
      </c>
      <c r="R1311">
        <v>100</v>
      </c>
      <c r="S1311">
        <v>1998</v>
      </c>
    </row>
    <row r="1312" spans="1:19" x14ac:dyDescent="0.3">
      <c r="A1312" s="1" t="s">
        <v>1815</v>
      </c>
      <c r="B1312" s="4">
        <v>45928</v>
      </c>
      <c r="C1312" s="1" t="s">
        <v>984</v>
      </c>
      <c r="D1312" s="1" t="s">
        <v>40</v>
      </c>
      <c r="E1312" s="1" t="s">
        <v>70</v>
      </c>
      <c r="F1312" s="1" t="s">
        <v>70</v>
      </c>
      <c r="G1312" s="1" t="s">
        <v>42</v>
      </c>
      <c r="H1312" s="1" t="s">
        <v>89</v>
      </c>
      <c r="I1312" s="1" t="s">
        <v>26</v>
      </c>
      <c r="J1312" s="1" t="s">
        <v>27</v>
      </c>
      <c r="K1312" s="1" t="s">
        <v>28</v>
      </c>
      <c r="L1312">
        <v>1</v>
      </c>
      <c r="M1312">
        <v>799</v>
      </c>
      <c r="N1312">
        <v>0</v>
      </c>
      <c r="O1312">
        <v>799</v>
      </c>
      <c r="P1312">
        <v>420</v>
      </c>
      <c r="Q1312">
        <v>420</v>
      </c>
      <c r="R1312">
        <v>60</v>
      </c>
      <c r="S1312">
        <v>319</v>
      </c>
    </row>
    <row r="1313" spans="1:19" x14ac:dyDescent="0.3">
      <c r="A1313" s="1" t="s">
        <v>1816</v>
      </c>
      <c r="B1313" s="4">
        <v>45929</v>
      </c>
      <c r="C1313" s="1" t="s">
        <v>255</v>
      </c>
      <c r="D1313" s="1" t="s">
        <v>48</v>
      </c>
      <c r="E1313" s="1" t="s">
        <v>112</v>
      </c>
      <c r="F1313" s="1" t="s">
        <v>113</v>
      </c>
      <c r="G1313" s="1" t="s">
        <v>24</v>
      </c>
      <c r="H1313" s="1" t="s">
        <v>25</v>
      </c>
      <c r="I1313" s="1" t="s">
        <v>72</v>
      </c>
      <c r="J1313" s="1" t="s">
        <v>73</v>
      </c>
      <c r="K1313" s="1" t="s">
        <v>28</v>
      </c>
      <c r="L1313">
        <v>5</v>
      </c>
      <c r="M1313">
        <v>2199</v>
      </c>
      <c r="N1313">
        <v>0.2</v>
      </c>
      <c r="O1313">
        <v>8796</v>
      </c>
      <c r="P1313">
        <v>1250</v>
      </c>
      <c r="Q1313">
        <v>6250</v>
      </c>
      <c r="R1313">
        <v>0</v>
      </c>
      <c r="S1313">
        <v>2546</v>
      </c>
    </row>
    <row r="1314" spans="1:19" x14ac:dyDescent="0.3">
      <c r="A1314" s="1" t="s">
        <v>1817</v>
      </c>
      <c r="B1314" s="4">
        <v>45929</v>
      </c>
      <c r="C1314" s="1" t="s">
        <v>292</v>
      </c>
      <c r="D1314" s="1" t="s">
        <v>21</v>
      </c>
      <c r="E1314" s="1" t="s">
        <v>54</v>
      </c>
      <c r="F1314" s="1" t="s">
        <v>55</v>
      </c>
      <c r="G1314" s="1" t="s">
        <v>24</v>
      </c>
      <c r="H1314" s="1" t="s">
        <v>56</v>
      </c>
      <c r="I1314" s="1" t="s">
        <v>76</v>
      </c>
      <c r="J1314" s="1" t="s">
        <v>77</v>
      </c>
      <c r="K1314" s="1" t="s">
        <v>37</v>
      </c>
      <c r="L1314">
        <v>1</v>
      </c>
      <c r="M1314">
        <v>6999</v>
      </c>
      <c r="N1314">
        <v>0.2</v>
      </c>
      <c r="O1314">
        <v>5599.2</v>
      </c>
      <c r="P1314">
        <v>4900</v>
      </c>
      <c r="Q1314">
        <v>4900</v>
      </c>
      <c r="R1314">
        <v>80</v>
      </c>
      <c r="S1314">
        <v>619.20000000000005</v>
      </c>
    </row>
    <row r="1315" spans="1:19" x14ac:dyDescent="0.3">
      <c r="A1315" s="1" t="s">
        <v>1818</v>
      </c>
      <c r="B1315" s="4">
        <v>45930</v>
      </c>
      <c r="C1315" s="1" t="s">
        <v>871</v>
      </c>
      <c r="D1315" s="1" t="s">
        <v>40</v>
      </c>
      <c r="E1315" s="1" t="s">
        <v>41</v>
      </c>
      <c r="F1315" s="1" t="s">
        <v>32</v>
      </c>
      <c r="G1315" s="1" t="s">
        <v>42</v>
      </c>
      <c r="H1315" s="1" t="s">
        <v>25</v>
      </c>
      <c r="I1315" s="1" t="s">
        <v>26</v>
      </c>
      <c r="J1315" s="1" t="s">
        <v>27</v>
      </c>
      <c r="K1315" s="1" t="s">
        <v>28</v>
      </c>
      <c r="L1315">
        <v>2</v>
      </c>
      <c r="M1315">
        <v>799</v>
      </c>
      <c r="N1315">
        <v>0</v>
      </c>
      <c r="O1315">
        <v>1598</v>
      </c>
      <c r="P1315">
        <v>420</v>
      </c>
      <c r="Q1315">
        <v>840</v>
      </c>
      <c r="R1315">
        <v>0</v>
      </c>
      <c r="S1315">
        <v>758</v>
      </c>
    </row>
    <row r="1316" spans="1:19" x14ac:dyDescent="0.3">
      <c r="A1316" s="1" t="s">
        <v>1819</v>
      </c>
      <c r="B1316" s="4">
        <v>45930</v>
      </c>
      <c r="C1316" s="1" t="s">
        <v>433</v>
      </c>
      <c r="D1316" s="1" t="s">
        <v>21</v>
      </c>
      <c r="E1316" s="1" t="s">
        <v>22</v>
      </c>
      <c r="F1316" s="1" t="s">
        <v>23</v>
      </c>
      <c r="G1316" s="1" t="s">
        <v>42</v>
      </c>
      <c r="H1316" s="1" t="s">
        <v>34</v>
      </c>
      <c r="I1316" s="1" t="s">
        <v>85</v>
      </c>
      <c r="J1316" s="1" t="s">
        <v>86</v>
      </c>
      <c r="K1316" s="1" t="s">
        <v>45</v>
      </c>
      <c r="L1316">
        <v>2</v>
      </c>
      <c r="M1316">
        <v>599</v>
      </c>
      <c r="N1316">
        <v>0.05</v>
      </c>
      <c r="O1316">
        <v>1138.0999999999999</v>
      </c>
      <c r="P1316">
        <v>240</v>
      </c>
      <c r="Q1316">
        <v>480</v>
      </c>
      <c r="R1316">
        <v>80</v>
      </c>
      <c r="S1316">
        <v>578.1</v>
      </c>
    </row>
    <row r="1317" spans="1:19" x14ac:dyDescent="0.3">
      <c r="A1317" s="1" t="s">
        <v>1820</v>
      </c>
      <c r="B1317" s="4">
        <v>45931</v>
      </c>
      <c r="C1317" s="1" t="s">
        <v>1555</v>
      </c>
      <c r="D1317" s="1" t="s">
        <v>48</v>
      </c>
      <c r="E1317" s="1" t="s">
        <v>112</v>
      </c>
      <c r="F1317" s="1" t="s">
        <v>113</v>
      </c>
      <c r="G1317" s="1" t="s">
        <v>33</v>
      </c>
      <c r="H1317" s="1" t="s">
        <v>34</v>
      </c>
      <c r="I1317" s="1" t="s">
        <v>76</v>
      </c>
      <c r="J1317" s="1" t="s">
        <v>77</v>
      </c>
      <c r="K1317" s="1" t="s">
        <v>37</v>
      </c>
      <c r="L1317">
        <v>2</v>
      </c>
      <c r="M1317">
        <v>6999</v>
      </c>
      <c r="N1317">
        <v>0.2</v>
      </c>
      <c r="O1317">
        <v>11198.4</v>
      </c>
      <c r="P1317">
        <v>4900</v>
      </c>
      <c r="Q1317">
        <v>9800</v>
      </c>
      <c r="R1317">
        <v>60</v>
      </c>
      <c r="S1317">
        <v>1338.4</v>
      </c>
    </row>
    <row r="1318" spans="1:19" x14ac:dyDescent="0.3">
      <c r="A1318" s="1" t="s">
        <v>1821</v>
      </c>
      <c r="B1318" s="4">
        <v>45931</v>
      </c>
      <c r="C1318" s="1" t="s">
        <v>1724</v>
      </c>
      <c r="D1318" s="1" t="s">
        <v>48</v>
      </c>
      <c r="E1318" s="1" t="s">
        <v>112</v>
      </c>
      <c r="F1318" s="1" t="s">
        <v>113</v>
      </c>
      <c r="G1318" s="1" t="s">
        <v>42</v>
      </c>
      <c r="H1318" s="1" t="s">
        <v>34</v>
      </c>
      <c r="I1318" s="1" t="s">
        <v>76</v>
      </c>
      <c r="J1318" s="1" t="s">
        <v>77</v>
      </c>
      <c r="K1318" s="1" t="s">
        <v>37</v>
      </c>
      <c r="L1318">
        <v>2</v>
      </c>
      <c r="M1318">
        <v>6999</v>
      </c>
      <c r="N1318">
        <v>0.1</v>
      </c>
      <c r="O1318">
        <v>12598.2</v>
      </c>
      <c r="P1318">
        <v>4900</v>
      </c>
      <c r="Q1318">
        <v>9800</v>
      </c>
      <c r="R1318">
        <v>40</v>
      </c>
      <c r="S1318">
        <v>2758.2</v>
      </c>
    </row>
    <row r="1319" spans="1:19" x14ac:dyDescent="0.3">
      <c r="A1319" s="1" t="s">
        <v>1822</v>
      </c>
      <c r="B1319" s="4">
        <v>45932</v>
      </c>
      <c r="C1319" s="1" t="s">
        <v>253</v>
      </c>
      <c r="D1319" s="1" t="s">
        <v>21</v>
      </c>
      <c r="E1319" s="1" t="s">
        <v>54</v>
      </c>
      <c r="F1319" s="1" t="s">
        <v>55</v>
      </c>
      <c r="G1319" s="1" t="s">
        <v>33</v>
      </c>
      <c r="H1319" s="1" t="s">
        <v>25</v>
      </c>
      <c r="I1319" s="1" t="s">
        <v>35</v>
      </c>
      <c r="J1319" s="1" t="s">
        <v>36</v>
      </c>
      <c r="K1319" s="1" t="s">
        <v>37</v>
      </c>
      <c r="L1319">
        <v>1</v>
      </c>
      <c r="M1319">
        <v>1299</v>
      </c>
      <c r="N1319">
        <v>0.15</v>
      </c>
      <c r="O1319">
        <v>1104.1500000000001</v>
      </c>
      <c r="P1319">
        <v>700</v>
      </c>
      <c r="Q1319">
        <v>700</v>
      </c>
      <c r="R1319">
        <v>60</v>
      </c>
      <c r="S1319">
        <v>344.15</v>
      </c>
    </row>
    <row r="1320" spans="1:19" x14ac:dyDescent="0.3">
      <c r="A1320" s="1" t="s">
        <v>1823</v>
      </c>
      <c r="B1320" s="4">
        <v>45932</v>
      </c>
      <c r="C1320" s="1" t="s">
        <v>1050</v>
      </c>
      <c r="D1320" s="1" t="s">
        <v>48</v>
      </c>
      <c r="E1320" s="1" t="s">
        <v>22</v>
      </c>
      <c r="F1320" s="1" t="s">
        <v>23</v>
      </c>
      <c r="G1320" s="1" t="s">
        <v>24</v>
      </c>
      <c r="H1320" s="1" t="s">
        <v>71</v>
      </c>
      <c r="I1320" s="1" t="s">
        <v>51</v>
      </c>
      <c r="J1320" s="1" t="s">
        <v>52</v>
      </c>
      <c r="K1320" s="1" t="s">
        <v>37</v>
      </c>
      <c r="L1320">
        <v>2</v>
      </c>
      <c r="M1320">
        <v>499</v>
      </c>
      <c r="N1320">
        <v>0.15</v>
      </c>
      <c r="O1320">
        <v>848.3</v>
      </c>
      <c r="P1320">
        <v>180</v>
      </c>
      <c r="Q1320">
        <v>360</v>
      </c>
      <c r="R1320">
        <v>60</v>
      </c>
      <c r="S1320">
        <v>428.3</v>
      </c>
    </row>
    <row r="1321" spans="1:19" x14ac:dyDescent="0.3">
      <c r="A1321" s="1" t="s">
        <v>1824</v>
      </c>
      <c r="B1321" s="4">
        <v>45933</v>
      </c>
      <c r="C1321" s="1" t="s">
        <v>811</v>
      </c>
      <c r="D1321" s="1" t="s">
        <v>40</v>
      </c>
      <c r="E1321" s="1" t="s">
        <v>22</v>
      </c>
      <c r="F1321" s="1" t="s">
        <v>23</v>
      </c>
      <c r="G1321" s="1" t="s">
        <v>33</v>
      </c>
      <c r="H1321" s="1" t="s">
        <v>89</v>
      </c>
      <c r="I1321" s="1" t="s">
        <v>72</v>
      </c>
      <c r="J1321" s="1" t="s">
        <v>73</v>
      </c>
      <c r="K1321" s="1" t="s">
        <v>28</v>
      </c>
      <c r="L1321">
        <v>1</v>
      </c>
      <c r="M1321">
        <v>2199</v>
      </c>
      <c r="N1321">
        <v>0.2</v>
      </c>
      <c r="O1321">
        <v>1759.2</v>
      </c>
      <c r="P1321">
        <v>1250</v>
      </c>
      <c r="Q1321">
        <v>1250</v>
      </c>
      <c r="R1321">
        <v>60</v>
      </c>
      <c r="S1321">
        <v>449.2</v>
      </c>
    </row>
    <row r="1322" spans="1:19" x14ac:dyDescent="0.3">
      <c r="A1322" s="1" t="s">
        <v>1825</v>
      </c>
      <c r="B1322" s="4">
        <v>45933</v>
      </c>
      <c r="C1322" s="1" t="s">
        <v>656</v>
      </c>
      <c r="D1322" s="1" t="s">
        <v>40</v>
      </c>
      <c r="E1322" s="1" t="s">
        <v>22</v>
      </c>
      <c r="F1322" s="1" t="s">
        <v>23</v>
      </c>
      <c r="G1322" s="1" t="s">
        <v>42</v>
      </c>
      <c r="H1322" s="1" t="s">
        <v>34</v>
      </c>
      <c r="I1322" s="1" t="s">
        <v>51</v>
      </c>
      <c r="J1322" s="1" t="s">
        <v>52</v>
      </c>
      <c r="K1322" s="1" t="s">
        <v>37</v>
      </c>
      <c r="L1322">
        <v>4</v>
      </c>
      <c r="M1322">
        <v>499</v>
      </c>
      <c r="N1322">
        <v>0.1</v>
      </c>
      <c r="O1322">
        <v>1796.4</v>
      </c>
      <c r="P1322">
        <v>180</v>
      </c>
      <c r="Q1322">
        <v>720</v>
      </c>
      <c r="R1322">
        <v>40</v>
      </c>
      <c r="S1322">
        <v>1036.4000000000001</v>
      </c>
    </row>
    <row r="1323" spans="1:19" x14ac:dyDescent="0.3">
      <c r="A1323" s="1" t="s">
        <v>1826</v>
      </c>
      <c r="B1323" s="4">
        <v>45933</v>
      </c>
      <c r="C1323" s="1" t="s">
        <v>734</v>
      </c>
      <c r="D1323" s="1" t="s">
        <v>48</v>
      </c>
      <c r="E1323" s="1" t="s">
        <v>112</v>
      </c>
      <c r="F1323" s="1" t="s">
        <v>113</v>
      </c>
      <c r="G1323" s="1" t="s">
        <v>42</v>
      </c>
      <c r="H1323" s="1" t="s">
        <v>71</v>
      </c>
      <c r="I1323" s="1" t="s">
        <v>85</v>
      </c>
      <c r="J1323" s="1" t="s">
        <v>86</v>
      </c>
      <c r="K1323" s="1" t="s">
        <v>45</v>
      </c>
      <c r="L1323">
        <v>3</v>
      </c>
      <c r="M1323">
        <v>599</v>
      </c>
      <c r="N1323">
        <v>0.15</v>
      </c>
      <c r="O1323">
        <v>1527.45</v>
      </c>
      <c r="P1323">
        <v>240</v>
      </c>
      <c r="Q1323">
        <v>720</v>
      </c>
      <c r="R1323">
        <v>100</v>
      </c>
      <c r="S1323">
        <v>707.45</v>
      </c>
    </row>
    <row r="1324" spans="1:19" x14ac:dyDescent="0.3">
      <c r="A1324" s="1" t="s">
        <v>1827</v>
      </c>
      <c r="B1324" s="4">
        <v>45934</v>
      </c>
      <c r="C1324" s="1" t="s">
        <v>372</v>
      </c>
      <c r="D1324" s="1" t="s">
        <v>21</v>
      </c>
      <c r="E1324" s="1" t="s">
        <v>120</v>
      </c>
      <c r="F1324" s="1" t="s">
        <v>121</v>
      </c>
      <c r="G1324" s="1" t="s">
        <v>24</v>
      </c>
      <c r="H1324" s="1" t="s">
        <v>25</v>
      </c>
      <c r="I1324" s="1" t="s">
        <v>134</v>
      </c>
      <c r="J1324" s="1" t="s">
        <v>135</v>
      </c>
      <c r="K1324" s="1" t="s">
        <v>136</v>
      </c>
      <c r="L1324">
        <v>1</v>
      </c>
      <c r="M1324">
        <v>299</v>
      </c>
      <c r="N1324">
        <v>0</v>
      </c>
      <c r="O1324">
        <v>299</v>
      </c>
      <c r="P1324">
        <v>110</v>
      </c>
      <c r="Q1324">
        <v>110</v>
      </c>
      <c r="R1324">
        <v>0</v>
      </c>
      <c r="S1324">
        <v>189</v>
      </c>
    </row>
    <row r="1325" spans="1:19" x14ac:dyDescent="0.3">
      <c r="A1325" s="1" t="s">
        <v>1828</v>
      </c>
      <c r="B1325" s="4">
        <v>45935</v>
      </c>
      <c r="C1325" s="1" t="s">
        <v>1368</v>
      </c>
      <c r="D1325" s="1" t="s">
        <v>40</v>
      </c>
      <c r="E1325" s="1" t="s">
        <v>70</v>
      </c>
      <c r="F1325" s="1" t="s">
        <v>70</v>
      </c>
      <c r="G1325" s="1" t="s">
        <v>24</v>
      </c>
      <c r="H1325" s="1" t="s">
        <v>71</v>
      </c>
      <c r="I1325" s="1" t="s">
        <v>85</v>
      </c>
      <c r="J1325" s="1" t="s">
        <v>86</v>
      </c>
      <c r="K1325" s="1" t="s">
        <v>45</v>
      </c>
      <c r="L1325">
        <v>3</v>
      </c>
      <c r="M1325">
        <v>599</v>
      </c>
      <c r="N1325">
        <v>0</v>
      </c>
      <c r="O1325">
        <v>1797</v>
      </c>
      <c r="P1325">
        <v>240</v>
      </c>
      <c r="Q1325">
        <v>720</v>
      </c>
      <c r="R1325">
        <v>0</v>
      </c>
      <c r="S1325">
        <v>1077</v>
      </c>
    </row>
    <row r="1326" spans="1:19" x14ac:dyDescent="0.3">
      <c r="A1326" s="1" t="s">
        <v>1829</v>
      </c>
      <c r="B1326" s="4">
        <v>45936</v>
      </c>
      <c r="C1326" s="1" t="s">
        <v>224</v>
      </c>
      <c r="D1326" s="1" t="s">
        <v>40</v>
      </c>
      <c r="E1326" s="1" t="s">
        <v>22</v>
      </c>
      <c r="F1326" s="1" t="s">
        <v>23</v>
      </c>
      <c r="G1326" s="1" t="s">
        <v>42</v>
      </c>
      <c r="H1326" s="1" t="s">
        <v>89</v>
      </c>
      <c r="I1326" s="1" t="s">
        <v>76</v>
      </c>
      <c r="J1326" s="1" t="s">
        <v>77</v>
      </c>
      <c r="K1326" s="1" t="s">
        <v>37</v>
      </c>
      <c r="L1326">
        <v>1</v>
      </c>
      <c r="M1326">
        <v>6999</v>
      </c>
      <c r="N1326">
        <v>0</v>
      </c>
      <c r="O1326">
        <v>6999</v>
      </c>
      <c r="P1326">
        <v>4900</v>
      </c>
      <c r="Q1326">
        <v>4900</v>
      </c>
      <c r="R1326">
        <v>100</v>
      </c>
      <c r="S1326">
        <v>1999</v>
      </c>
    </row>
    <row r="1327" spans="1:19" x14ac:dyDescent="0.3">
      <c r="A1327" s="1" t="s">
        <v>1830</v>
      </c>
      <c r="B1327" s="4">
        <v>45936</v>
      </c>
      <c r="C1327" s="1" t="s">
        <v>1228</v>
      </c>
      <c r="D1327" s="1" t="s">
        <v>48</v>
      </c>
      <c r="E1327" s="1" t="s">
        <v>41</v>
      </c>
      <c r="F1327" s="1" t="s">
        <v>32</v>
      </c>
      <c r="G1327" s="1" t="s">
        <v>24</v>
      </c>
      <c r="H1327" s="1" t="s">
        <v>25</v>
      </c>
      <c r="I1327" s="1" t="s">
        <v>43</v>
      </c>
      <c r="J1327" s="1" t="s">
        <v>44</v>
      </c>
      <c r="K1327" s="1" t="s">
        <v>45</v>
      </c>
      <c r="L1327">
        <v>2</v>
      </c>
      <c r="M1327">
        <v>1799</v>
      </c>
      <c r="N1327">
        <v>0.15</v>
      </c>
      <c r="O1327">
        <v>3058.3</v>
      </c>
      <c r="P1327">
        <v>850</v>
      </c>
      <c r="Q1327">
        <v>1700</v>
      </c>
      <c r="R1327">
        <v>0</v>
      </c>
      <c r="S1327">
        <v>1358.3</v>
      </c>
    </row>
    <row r="1328" spans="1:19" x14ac:dyDescent="0.3">
      <c r="A1328" s="1" t="s">
        <v>1831</v>
      </c>
      <c r="B1328" s="4">
        <v>45937</v>
      </c>
      <c r="C1328" s="1" t="s">
        <v>1266</v>
      </c>
      <c r="D1328" s="1" t="s">
        <v>40</v>
      </c>
      <c r="E1328" s="1" t="s">
        <v>64</v>
      </c>
      <c r="F1328" s="1" t="s">
        <v>65</v>
      </c>
      <c r="G1328" s="1" t="s">
        <v>24</v>
      </c>
      <c r="H1328" s="1" t="s">
        <v>56</v>
      </c>
      <c r="I1328" s="1" t="s">
        <v>43</v>
      </c>
      <c r="J1328" s="1" t="s">
        <v>44</v>
      </c>
      <c r="K1328" s="1" t="s">
        <v>45</v>
      </c>
      <c r="L1328">
        <v>3</v>
      </c>
      <c r="M1328">
        <v>1799</v>
      </c>
      <c r="N1328">
        <v>0.1</v>
      </c>
      <c r="O1328">
        <v>4857.3</v>
      </c>
      <c r="P1328">
        <v>850</v>
      </c>
      <c r="Q1328">
        <v>2550</v>
      </c>
      <c r="R1328">
        <v>60</v>
      </c>
      <c r="S1328">
        <v>2247.3000000000002</v>
      </c>
    </row>
    <row r="1329" spans="1:19" x14ac:dyDescent="0.3">
      <c r="A1329" s="1" t="s">
        <v>1832</v>
      </c>
      <c r="B1329" s="4">
        <v>45937</v>
      </c>
      <c r="C1329" s="1" t="s">
        <v>185</v>
      </c>
      <c r="D1329" s="1" t="s">
        <v>48</v>
      </c>
      <c r="E1329" s="1" t="s">
        <v>112</v>
      </c>
      <c r="F1329" s="1" t="s">
        <v>113</v>
      </c>
      <c r="G1329" s="1" t="s">
        <v>33</v>
      </c>
      <c r="H1329" s="1" t="s">
        <v>71</v>
      </c>
      <c r="I1329" s="1" t="s">
        <v>43</v>
      </c>
      <c r="J1329" s="1" t="s">
        <v>44</v>
      </c>
      <c r="K1329" s="1" t="s">
        <v>45</v>
      </c>
      <c r="L1329">
        <v>3</v>
      </c>
      <c r="M1329">
        <v>1799</v>
      </c>
      <c r="N1329">
        <v>0</v>
      </c>
      <c r="O1329">
        <v>5397</v>
      </c>
      <c r="P1329">
        <v>850</v>
      </c>
      <c r="Q1329">
        <v>2550</v>
      </c>
      <c r="R1329">
        <v>0</v>
      </c>
      <c r="S1329">
        <v>2847</v>
      </c>
    </row>
    <row r="1330" spans="1:19" x14ac:dyDescent="0.3">
      <c r="A1330" s="1" t="s">
        <v>1833</v>
      </c>
      <c r="B1330" s="4">
        <v>45938</v>
      </c>
      <c r="C1330" s="1" t="s">
        <v>30</v>
      </c>
      <c r="D1330" s="1" t="s">
        <v>21</v>
      </c>
      <c r="E1330" s="1" t="s">
        <v>112</v>
      </c>
      <c r="F1330" s="1" t="s">
        <v>113</v>
      </c>
      <c r="G1330" s="1" t="s">
        <v>42</v>
      </c>
      <c r="H1330" s="1" t="s">
        <v>71</v>
      </c>
      <c r="I1330" s="1" t="s">
        <v>72</v>
      </c>
      <c r="J1330" s="1" t="s">
        <v>73</v>
      </c>
      <c r="K1330" s="1" t="s">
        <v>28</v>
      </c>
      <c r="L1330">
        <v>1</v>
      </c>
      <c r="M1330">
        <v>2199</v>
      </c>
      <c r="N1330">
        <v>0.05</v>
      </c>
      <c r="O1330">
        <v>2089.0500000000002</v>
      </c>
      <c r="P1330">
        <v>1250</v>
      </c>
      <c r="Q1330">
        <v>1250</v>
      </c>
      <c r="R1330">
        <v>0</v>
      </c>
      <c r="S1330">
        <v>839.05</v>
      </c>
    </row>
    <row r="1331" spans="1:19" x14ac:dyDescent="0.3">
      <c r="A1331" s="1" t="s">
        <v>1834</v>
      </c>
      <c r="B1331" s="4">
        <v>45938</v>
      </c>
      <c r="C1331" s="1" t="s">
        <v>1189</v>
      </c>
      <c r="D1331" s="1" t="s">
        <v>21</v>
      </c>
      <c r="E1331" s="1" t="s">
        <v>120</v>
      </c>
      <c r="F1331" s="1" t="s">
        <v>121</v>
      </c>
      <c r="G1331" s="1" t="s">
        <v>42</v>
      </c>
      <c r="H1331" s="1" t="s">
        <v>25</v>
      </c>
      <c r="I1331" s="1" t="s">
        <v>134</v>
      </c>
      <c r="J1331" s="1" t="s">
        <v>135</v>
      </c>
      <c r="K1331" s="1" t="s">
        <v>136</v>
      </c>
      <c r="L1331">
        <v>3</v>
      </c>
      <c r="M1331">
        <v>299</v>
      </c>
      <c r="N1331">
        <v>0.2</v>
      </c>
      <c r="O1331">
        <v>717.6</v>
      </c>
      <c r="P1331">
        <v>110</v>
      </c>
      <c r="Q1331">
        <v>330</v>
      </c>
      <c r="R1331">
        <v>60</v>
      </c>
      <c r="S1331">
        <v>327.60000000000002</v>
      </c>
    </row>
    <row r="1332" spans="1:19" x14ac:dyDescent="0.3">
      <c r="A1332" s="1" t="s">
        <v>1835</v>
      </c>
      <c r="B1332" s="4">
        <v>45938</v>
      </c>
      <c r="C1332" s="1" t="s">
        <v>987</v>
      </c>
      <c r="D1332" s="1" t="s">
        <v>21</v>
      </c>
      <c r="E1332" s="1" t="s">
        <v>54</v>
      </c>
      <c r="F1332" s="1" t="s">
        <v>55</v>
      </c>
      <c r="G1332" s="1" t="s">
        <v>42</v>
      </c>
      <c r="H1332" s="1" t="s">
        <v>56</v>
      </c>
      <c r="I1332" s="1" t="s">
        <v>51</v>
      </c>
      <c r="J1332" s="1" t="s">
        <v>52</v>
      </c>
      <c r="K1332" s="1" t="s">
        <v>37</v>
      </c>
      <c r="L1332">
        <v>2</v>
      </c>
      <c r="M1332">
        <v>499</v>
      </c>
      <c r="N1332">
        <v>0.2</v>
      </c>
      <c r="O1332">
        <v>798.4</v>
      </c>
      <c r="P1332">
        <v>180</v>
      </c>
      <c r="Q1332">
        <v>360</v>
      </c>
      <c r="R1332">
        <v>80</v>
      </c>
      <c r="S1332">
        <v>358.4</v>
      </c>
    </row>
    <row r="1333" spans="1:19" x14ac:dyDescent="0.3">
      <c r="A1333" s="1" t="s">
        <v>1836</v>
      </c>
      <c r="B1333" s="4">
        <v>45940</v>
      </c>
      <c r="C1333" s="1" t="s">
        <v>771</v>
      </c>
      <c r="D1333" s="1" t="s">
        <v>48</v>
      </c>
      <c r="E1333" s="1" t="s">
        <v>31</v>
      </c>
      <c r="F1333" s="1" t="s">
        <v>32</v>
      </c>
      <c r="G1333" s="1" t="s">
        <v>24</v>
      </c>
      <c r="H1333" s="1" t="s">
        <v>89</v>
      </c>
      <c r="I1333" s="1" t="s">
        <v>72</v>
      </c>
      <c r="J1333" s="1" t="s">
        <v>73</v>
      </c>
      <c r="K1333" s="1" t="s">
        <v>28</v>
      </c>
      <c r="L1333">
        <v>2</v>
      </c>
      <c r="M1333">
        <v>2199</v>
      </c>
      <c r="N1333">
        <v>0.2</v>
      </c>
      <c r="O1333">
        <v>3518.4</v>
      </c>
      <c r="P1333">
        <v>1250</v>
      </c>
      <c r="Q1333">
        <v>2500</v>
      </c>
      <c r="R1333">
        <v>60</v>
      </c>
      <c r="S1333">
        <v>958.4</v>
      </c>
    </row>
    <row r="1334" spans="1:19" x14ac:dyDescent="0.3">
      <c r="A1334" s="1" t="s">
        <v>1837</v>
      </c>
      <c r="B1334" s="4">
        <v>45940</v>
      </c>
      <c r="C1334" s="1" t="s">
        <v>722</v>
      </c>
      <c r="D1334" s="1" t="s">
        <v>40</v>
      </c>
      <c r="E1334" s="1" t="s">
        <v>96</v>
      </c>
      <c r="F1334" s="1" t="s">
        <v>97</v>
      </c>
      <c r="G1334" s="1" t="s">
        <v>42</v>
      </c>
      <c r="H1334" s="1" t="s">
        <v>71</v>
      </c>
      <c r="I1334" s="1" t="s">
        <v>72</v>
      </c>
      <c r="J1334" s="1" t="s">
        <v>73</v>
      </c>
      <c r="K1334" s="1" t="s">
        <v>28</v>
      </c>
      <c r="L1334">
        <v>3</v>
      </c>
      <c r="M1334">
        <v>2199</v>
      </c>
      <c r="N1334">
        <v>0.1</v>
      </c>
      <c r="O1334">
        <v>5937.3</v>
      </c>
      <c r="P1334">
        <v>1250</v>
      </c>
      <c r="Q1334">
        <v>3750</v>
      </c>
      <c r="R1334">
        <v>40</v>
      </c>
      <c r="S1334">
        <v>2147.3000000000002</v>
      </c>
    </row>
    <row r="1335" spans="1:19" x14ac:dyDescent="0.3">
      <c r="A1335" s="1" t="s">
        <v>1838</v>
      </c>
      <c r="B1335" s="4">
        <v>45940</v>
      </c>
      <c r="C1335" s="1" t="s">
        <v>411</v>
      </c>
      <c r="D1335" s="1" t="s">
        <v>48</v>
      </c>
      <c r="E1335" s="1" t="s">
        <v>120</v>
      </c>
      <c r="F1335" s="1" t="s">
        <v>121</v>
      </c>
      <c r="G1335" s="1" t="s">
        <v>42</v>
      </c>
      <c r="H1335" s="1" t="s">
        <v>56</v>
      </c>
      <c r="I1335" s="1" t="s">
        <v>51</v>
      </c>
      <c r="J1335" s="1" t="s">
        <v>52</v>
      </c>
      <c r="K1335" s="1" t="s">
        <v>37</v>
      </c>
      <c r="L1335">
        <v>4</v>
      </c>
      <c r="M1335">
        <v>499</v>
      </c>
      <c r="N1335">
        <v>0</v>
      </c>
      <c r="O1335">
        <v>1996</v>
      </c>
      <c r="P1335">
        <v>180</v>
      </c>
      <c r="Q1335">
        <v>720</v>
      </c>
      <c r="R1335">
        <v>60</v>
      </c>
      <c r="S1335">
        <v>1216</v>
      </c>
    </row>
    <row r="1336" spans="1:19" x14ac:dyDescent="0.3">
      <c r="A1336" s="1" t="s">
        <v>1839</v>
      </c>
      <c r="B1336" s="4">
        <v>45941</v>
      </c>
      <c r="C1336" s="1" t="s">
        <v>1840</v>
      </c>
      <c r="D1336" s="1" t="s">
        <v>48</v>
      </c>
      <c r="E1336" s="1" t="s">
        <v>80</v>
      </c>
      <c r="F1336" s="1" t="s">
        <v>55</v>
      </c>
      <c r="G1336" s="1" t="s">
        <v>42</v>
      </c>
      <c r="H1336" s="1" t="s">
        <v>89</v>
      </c>
      <c r="I1336" s="1" t="s">
        <v>35</v>
      </c>
      <c r="J1336" s="1" t="s">
        <v>36</v>
      </c>
      <c r="K1336" s="1" t="s">
        <v>37</v>
      </c>
      <c r="L1336">
        <v>2</v>
      </c>
      <c r="M1336">
        <v>1299</v>
      </c>
      <c r="N1336">
        <v>0</v>
      </c>
      <c r="O1336">
        <v>2598</v>
      </c>
      <c r="P1336">
        <v>700</v>
      </c>
      <c r="Q1336">
        <v>1400</v>
      </c>
      <c r="R1336">
        <v>0</v>
      </c>
      <c r="S1336">
        <v>1198</v>
      </c>
    </row>
    <row r="1337" spans="1:19" x14ac:dyDescent="0.3">
      <c r="A1337" s="1" t="s">
        <v>1841</v>
      </c>
      <c r="B1337" s="4">
        <v>45941</v>
      </c>
      <c r="C1337" s="1" t="s">
        <v>864</v>
      </c>
      <c r="D1337" s="1" t="s">
        <v>40</v>
      </c>
      <c r="E1337" s="1" t="s">
        <v>70</v>
      </c>
      <c r="F1337" s="1" t="s">
        <v>70</v>
      </c>
      <c r="G1337" s="1" t="s">
        <v>33</v>
      </c>
      <c r="H1337" s="1" t="s">
        <v>25</v>
      </c>
      <c r="I1337" s="1" t="s">
        <v>26</v>
      </c>
      <c r="J1337" s="1" t="s">
        <v>27</v>
      </c>
      <c r="K1337" s="1" t="s">
        <v>28</v>
      </c>
      <c r="L1337">
        <v>1</v>
      </c>
      <c r="M1337">
        <v>799</v>
      </c>
      <c r="N1337">
        <v>0.05</v>
      </c>
      <c r="O1337">
        <v>759.05</v>
      </c>
      <c r="P1337">
        <v>420</v>
      </c>
      <c r="Q1337">
        <v>420</v>
      </c>
      <c r="R1337">
        <v>40</v>
      </c>
      <c r="S1337">
        <v>299.05</v>
      </c>
    </row>
    <row r="1338" spans="1:19" x14ac:dyDescent="0.3">
      <c r="A1338" s="1" t="s">
        <v>1842</v>
      </c>
      <c r="B1338" s="4">
        <v>45942</v>
      </c>
      <c r="C1338" s="1" t="s">
        <v>727</v>
      </c>
      <c r="D1338" s="1" t="s">
        <v>21</v>
      </c>
      <c r="E1338" s="1" t="s">
        <v>64</v>
      </c>
      <c r="F1338" s="1" t="s">
        <v>65</v>
      </c>
      <c r="G1338" s="1" t="s">
        <v>42</v>
      </c>
      <c r="H1338" s="1" t="s">
        <v>34</v>
      </c>
      <c r="I1338" s="1" t="s">
        <v>66</v>
      </c>
      <c r="J1338" s="1" t="s">
        <v>67</v>
      </c>
      <c r="K1338" s="1" t="s">
        <v>28</v>
      </c>
      <c r="L1338">
        <v>2</v>
      </c>
      <c r="M1338">
        <v>2499</v>
      </c>
      <c r="N1338">
        <v>0</v>
      </c>
      <c r="O1338">
        <v>4998</v>
      </c>
      <c r="P1338">
        <v>1450</v>
      </c>
      <c r="Q1338">
        <v>2900</v>
      </c>
      <c r="R1338">
        <v>60</v>
      </c>
      <c r="S1338">
        <v>2038</v>
      </c>
    </row>
    <row r="1339" spans="1:19" x14ac:dyDescent="0.3">
      <c r="A1339" s="1" t="s">
        <v>1843</v>
      </c>
      <c r="B1339" s="4">
        <v>45943</v>
      </c>
      <c r="C1339" s="1" t="s">
        <v>846</v>
      </c>
      <c r="D1339" s="1" t="s">
        <v>40</v>
      </c>
      <c r="E1339" s="1" t="s">
        <v>80</v>
      </c>
      <c r="F1339" s="1" t="s">
        <v>55</v>
      </c>
      <c r="G1339" s="1" t="s">
        <v>33</v>
      </c>
      <c r="H1339" s="1" t="s">
        <v>25</v>
      </c>
      <c r="I1339" s="1" t="s">
        <v>92</v>
      </c>
      <c r="J1339" s="1" t="s">
        <v>93</v>
      </c>
      <c r="K1339" s="1" t="s">
        <v>28</v>
      </c>
      <c r="L1339">
        <v>1</v>
      </c>
      <c r="M1339">
        <v>1599</v>
      </c>
      <c r="N1339">
        <v>0</v>
      </c>
      <c r="O1339">
        <v>1599</v>
      </c>
      <c r="P1339">
        <v>900</v>
      </c>
      <c r="Q1339">
        <v>900</v>
      </c>
      <c r="R1339">
        <v>80</v>
      </c>
      <c r="S1339">
        <v>619</v>
      </c>
    </row>
    <row r="1340" spans="1:19" x14ac:dyDescent="0.3">
      <c r="A1340" s="1" t="s">
        <v>1844</v>
      </c>
      <c r="B1340" s="4">
        <v>45944</v>
      </c>
      <c r="C1340" s="1" t="s">
        <v>802</v>
      </c>
      <c r="D1340" s="1" t="s">
        <v>21</v>
      </c>
      <c r="E1340" s="1" t="s">
        <v>54</v>
      </c>
      <c r="F1340" s="1" t="s">
        <v>55</v>
      </c>
      <c r="G1340" s="1" t="s">
        <v>42</v>
      </c>
      <c r="H1340" s="1" t="s">
        <v>25</v>
      </c>
      <c r="I1340" s="1" t="s">
        <v>92</v>
      </c>
      <c r="J1340" s="1" t="s">
        <v>93</v>
      </c>
      <c r="K1340" s="1" t="s">
        <v>28</v>
      </c>
      <c r="L1340">
        <v>1</v>
      </c>
      <c r="M1340">
        <v>1599</v>
      </c>
      <c r="N1340">
        <v>0.2</v>
      </c>
      <c r="O1340">
        <v>1279.2</v>
      </c>
      <c r="P1340">
        <v>900</v>
      </c>
      <c r="Q1340">
        <v>900</v>
      </c>
      <c r="R1340">
        <v>60</v>
      </c>
      <c r="S1340">
        <v>319.2</v>
      </c>
    </row>
    <row r="1341" spans="1:19" x14ac:dyDescent="0.3">
      <c r="A1341" s="1" t="s">
        <v>1845</v>
      </c>
      <c r="B1341" s="4">
        <v>45945</v>
      </c>
      <c r="C1341" s="1" t="s">
        <v>133</v>
      </c>
      <c r="D1341" s="1" t="s">
        <v>21</v>
      </c>
      <c r="E1341" s="1" t="s">
        <v>22</v>
      </c>
      <c r="F1341" s="1" t="s">
        <v>23</v>
      </c>
      <c r="G1341" s="1" t="s">
        <v>33</v>
      </c>
      <c r="H1341" s="1" t="s">
        <v>71</v>
      </c>
      <c r="I1341" s="1" t="s">
        <v>43</v>
      </c>
      <c r="J1341" s="1" t="s">
        <v>44</v>
      </c>
      <c r="K1341" s="1" t="s">
        <v>45</v>
      </c>
      <c r="L1341">
        <v>1</v>
      </c>
      <c r="M1341">
        <v>1799</v>
      </c>
      <c r="N1341">
        <v>0</v>
      </c>
      <c r="O1341">
        <v>1799</v>
      </c>
      <c r="P1341">
        <v>850</v>
      </c>
      <c r="Q1341">
        <v>850</v>
      </c>
      <c r="R1341">
        <v>100</v>
      </c>
      <c r="S1341">
        <v>849</v>
      </c>
    </row>
    <row r="1342" spans="1:19" x14ac:dyDescent="0.3">
      <c r="A1342" s="1" t="s">
        <v>1846</v>
      </c>
      <c r="B1342" s="4">
        <v>45945</v>
      </c>
      <c r="C1342" s="1" t="s">
        <v>722</v>
      </c>
      <c r="D1342" s="1" t="s">
        <v>40</v>
      </c>
      <c r="E1342" s="1" t="s">
        <v>120</v>
      </c>
      <c r="F1342" s="1" t="s">
        <v>121</v>
      </c>
      <c r="G1342" s="1" t="s">
        <v>24</v>
      </c>
      <c r="H1342" s="1" t="s">
        <v>89</v>
      </c>
      <c r="I1342" s="1" t="s">
        <v>43</v>
      </c>
      <c r="J1342" s="1" t="s">
        <v>44</v>
      </c>
      <c r="K1342" s="1" t="s">
        <v>45</v>
      </c>
      <c r="L1342">
        <v>4</v>
      </c>
      <c r="M1342">
        <v>1799</v>
      </c>
      <c r="N1342">
        <v>0.2</v>
      </c>
      <c r="O1342">
        <v>5756.8</v>
      </c>
      <c r="P1342">
        <v>850</v>
      </c>
      <c r="Q1342">
        <v>3400</v>
      </c>
      <c r="R1342">
        <v>60</v>
      </c>
      <c r="S1342">
        <v>2296.8000000000002</v>
      </c>
    </row>
    <row r="1343" spans="1:19" x14ac:dyDescent="0.3">
      <c r="A1343" s="1" t="s">
        <v>1847</v>
      </c>
      <c r="B1343" s="4">
        <v>45946</v>
      </c>
      <c r="C1343" s="1" t="s">
        <v>959</v>
      </c>
      <c r="D1343" s="1" t="s">
        <v>48</v>
      </c>
      <c r="E1343" s="1" t="s">
        <v>49</v>
      </c>
      <c r="F1343" s="1" t="s">
        <v>50</v>
      </c>
      <c r="G1343" s="1" t="s">
        <v>42</v>
      </c>
      <c r="H1343" s="1" t="s">
        <v>89</v>
      </c>
      <c r="I1343" s="1" t="s">
        <v>66</v>
      </c>
      <c r="J1343" s="1" t="s">
        <v>67</v>
      </c>
      <c r="K1343" s="1" t="s">
        <v>28</v>
      </c>
      <c r="L1343">
        <v>1</v>
      </c>
      <c r="M1343">
        <v>2499</v>
      </c>
      <c r="N1343">
        <v>0.05</v>
      </c>
      <c r="O1343">
        <v>2374.0500000000002</v>
      </c>
      <c r="P1343">
        <v>1450</v>
      </c>
      <c r="Q1343">
        <v>1450</v>
      </c>
      <c r="R1343">
        <v>40</v>
      </c>
      <c r="S1343">
        <v>884.05</v>
      </c>
    </row>
    <row r="1344" spans="1:19" x14ac:dyDescent="0.3">
      <c r="A1344" s="1" t="s">
        <v>1848</v>
      </c>
      <c r="B1344" s="4">
        <v>45946</v>
      </c>
      <c r="C1344" s="1" t="s">
        <v>603</v>
      </c>
      <c r="D1344" s="1" t="s">
        <v>48</v>
      </c>
      <c r="E1344" s="1" t="s">
        <v>80</v>
      </c>
      <c r="F1344" s="1" t="s">
        <v>55</v>
      </c>
      <c r="G1344" s="1" t="s">
        <v>42</v>
      </c>
      <c r="H1344" s="1" t="s">
        <v>56</v>
      </c>
      <c r="I1344" s="1" t="s">
        <v>59</v>
      </c>
      <c r="J1344" s="1" t="s">
        <v>60</v>
      </c>
      <c r="K1344" s="1" t="s">
        <v>61</v>
      </c>
      <c r="L1344">
        <v>3</v>
      </c>
      <c r="M1344">
        <v>999</v>
      </c>
      <c r="N1344">
        <v>0.15</v>
      </c>
      <c r="O1344">
        <v>2547.4499999999998</v>
      </c>
      <c r="P1344">
        <v>520</v>
      </c>
      <c r="Q1344">
        <v>1560</v>
      </c>
      <c r="R1344">
        <v>60</v>
      </c>
      <c r="S1344">
        <v>927.45</v>
      </c>
    </row>
    <row r="1345" spans="1:19" x14ac:dyDescent="0.3">
      <c r="A1345" s="1" t="s">
        <v>1849</v>
      </c>
      <c r="B1345" s="4">
        <v>45946</v>
      </c>
      <c r="C1345" s="1" t="s">
        <v>698</v>
      </c>
      <c r="D1345" s="1" t="s">
        <v>48</v>
      </c>
      <c r="E1345" s="1" t="s">
        <v>70</v>
      </c>
      <c r="F1345" s="1" t="s">
        <v>70</v>
      </c>
      <c r="G1345" s="1" t="s">
        <v>42</v>
      </c>
      <c r="H1345" s="1" t="s">
        <v>89</v>
      </c>
      <c r="I1345" s="1" t="s">
        <v>85</v>
      </c>
      <c r="J1345" s="1" t="s">
        <v>86</v>
      </c>
      <c r="K1345" s="1" t="s">
        <v>45</v>
      </c>
      <c r="L1345">
        <v>2</v>
      </c>
      <c r="M1345">
        <v>599</v>
      </c>
      <c r="N1345">
        <v>0</v>
      </c>
      <c r="O1345">
        <v>1198</v>
      </c>
      <c r="P1345">
        <v>240</v>
      </c>
      <c r="Q1345">
        <v>480</v>
      </c>
      <c r="R1345">
        <v>60</v>
      </c>
      <c r="S1345">
        <v>658</v>
      </c>
    </row>
    <row r="1346" spans="1:19" x14ac:dyDescent="0.3">
      <c r="A1346" s="1" t="s">
        <v>1850</v>
      </c>
      <c r="B1346" s="4">
        <v>45946</v>
      </c>
      <c r="C1346" s="1" t="s">
        <v>802</v>
      </c>
      <c r="D1346" s="1" t="s">
        <v>21</v>
      </c>
      <c r="E1346" s="1" t="s">
        <v>22</v>
      </c>
      <c r="F1346" s="1" t="s">
        <v>23</v>
      </c>
      <c r="G1346" s="1" t="s">
        <v>33</v>
      </c>
      <c r="H1346" s="1" t="s">
        <v>56</v>
      </c>
      <c r="I1346" s="1" t="s">
        <v>26</v>
      </c>
      <c r="J1346" s="1" t="s">
        <v>27</v>
      </c>
      <c r="K1346" s="1" t="s">
        <v>28</v>
      </c>
      <c r="L1346">
        <v>2</v>
      </c>
      <c r="M1346">
        <v>799</v>
      </c>
      <c r="N1346">
        <v>0.2</v>
      </c>
      <c r="O1346">
        <v>1278.4000000000001</v>
      </c>
      <c r="P1346">
        <v>420</v>
      </c>
      <c r="Q1346">
        <v>840</v>
      </c>
      <c r="R1346">
        <v>100</v>
      </c>
      <c r="S1346">
        <v>338.4</v>
      </c>
    </row>
    <row r="1347" spans="1:19" x14ac:dyDescent="0.3">
      <c r="A1347" s="1" t="s">
        <v>1851</v>
      </c>
      <c r="B1347" s="4">
        <v>45947</v>
      </c>
      <c r="C1347" s="1" t="s">
        <v>722</v>
      </c>
      <c r="D1347" s="1" t="s">
        <v>48</v>
      </c>
      <c r="E1347" s="1" t="s">
        <v>22</v>
      </c>
      <c r="F1347" s="1" t="s">
        <v>23</v>
      </c>
      <c r="G1347" s="1" t="s">
        <v>24</v>
      </c>
      <c r="H1347" s="1" t="s">
        <v>71</v>
      </c>
      <c r="I1347" s="1" t="s">
        <v>51</v>
      </c>
      <c r="J1347" s="1" t="s">
        <v>52</v>
      </c>
      <c r="K1347" s="1" t="s">
        <v>37</v>
      </c>
      <c r="L1347">
        <v>2</v>
      </c>
      <c r="M1347">
        <v>499</v>
      </c>
      <c r="N1347">
        <v>0.05</v>
      </c>
      <c r="O1347">
        <v>948.1</v>
      </c>
      <c r="P1347">
        <v>180</v>
      </c>
      <c r="Q1347">
        <v>360</v>
      </c>
      <c r="R1347">
        <v>0</v>
      </c>
      <c r="S1347">
        <v>588.1</v>
      </c>
    </row>
    <row r="1348" spans="1:19" x14ac:dyDescent="0.3">
      <c r="A1348" s="1" t="s">
        <v>1852</v>
      </c>
      <c r="B1348" s="4">
        <v>45948</v>
      </c>
      <c r="C1348" s="1" t="s">
        <v>409</v>
      </c>
      <c r="D1348" s="1" t="s">
        <v>40</v>
      </c>
      <c r="E1348" s="1" t="s">
        <v>49</v>
      </c>
      <c r="F1348" s="1" t="s">
        <v>50</v>
      </c>
      <c r="G1348" s="1" t="s">
        <v>24</v>
      </c>
      <c r="H1348" s="1" t="s">
        <v>34</v>
      </c>
      <c r="I1348" s="1" t="s">
        <v>51</v>
      </c>
      <c r="J1348" s="1" t="s">
        <v>52</v>
      </c>
      <c r="K1348" s="1" t="s">
        <v>37</v>
      </c>
      <c r="L1348">
        <v>2</v>
      </c>
      <c r="M1348">
        <v>499</v>
      </c>
      <c r="N1348">
        <v>0</v>
      </c>
      <c r="O1348">
        <v>998</v>
      </c>
      <c r="P1348">
        <v>180</v>
      </c>
      <c r="Q1348">
        <v>360</v>
      </c>
      <c r="R1348">
        <v>60</v>
      </c>
      <c r="S1348">
        <v>578</v>
      </c>
    </row>
    <row r="1349" spans="1:19" x14ac:dyDescent="0.3">
      <c r="A1349" s="1" t="s">
        <v>1853</v>
      </c>
      <c r="B1349" s="4">
        <v>45949</v>
      </c>
      <c r="C1349" s="1" t="s">
        <v>624</v>
      </c>
      <c r="D1349" s="1" t="s">
        <v>40</v>
      </c>
      <c r="E1349" s="1" t="s">
        <v>124</v>
      </c>
      <c r="F1349" s="1" t="s">
        <v>125</v>
      </c>
      <c r="G1349" s="1" t="s">
        <v>24</v>
      </c>
      <c r="H1349" s="1" t="s">
        <v>56</v>
      </c>
      <c r="I1349" s="1" t="s">
        <v>76</v>
      </c>
      <c r="J1349" s="1" t="s">
        <v>77</v>
      </c>
      <c r="K1349" s="1" t="s">
        <v>37</v>
      </c>
      <c r="L1349">
        <v>2</v>
      </c>
      <c r="M1349">
        <v>6999</v>
      </c>
      <c r="N1349">
        <v>0</v>
      </c>
      <c r="O1349">
        <v>13998</v>
      </c>
      <c r="P1349">
        <v>4900</v>
      </c>
      <c r="Q1349">
        <v>9800</v>
      </c>
      <c r="R1349">
        <v>0</v>
      </c>
      <c r="S1349">
        <v>4198</v>
      </c>
    </row>
    <row r="1350" spans="1:19" x14ac:dyDescent="0.3">
      <c r="A1350" s="1" t="s">
        <v>1854</v>
      </c>
      <c r="B1350" s="4">
        <v>45951</v>
      </c>
      <c r="C1350" s="1" t="s">
        <v>1025</v>
      </c>
      <c r="D1350" s="1" t="s">
        <v>21</v>
      </c>
      <c r="E1350" s="1" t="s">
        <v>70</v>
      </c>
      <c r="F1350" s="1" t="s">
        <v>70</v>
      </c>
      <c r="G1350" s="1" t="s">
        <v>24</v>
      </c>
      <c r="H1350" s="1" t="s">
        <v>56</v>
      </c>
      <c r="I1350" s="1" t="s">
        <v>59</v>
      </c>
      <c r="J1350" s="1" t="s">
        <v>60</v>
      </c>
      <c r="K1350" s="1" t="s">
        <v>61</v>
      </c>
      <c r="L1350">
        <v>3</v>
      </c>
      <c r="M1350">
        <v>999</v>
      </c>
      <c r="N1350">
        <v>0.15</v>
      </c>
      <c r="O1350">
        <v>2547.4499999999998</v>
      </c>
      <c r="P1350">
        <v>520</v>
      </c>
      <c r="Q1350">
        <v>1560</v>
      </c>
      <c r="R1350">
        <v>80</v>
      </c>
      <c r="S1350">
        <v>907.45</v>
      </c>
    </row>
    <row r="1351" spans="1:19" x14ac:dyDescent="0.3">
      <c r="A1351" s="1" t="s">
        <v>1855</v>
      </c>
      <c r="B1351" s="4">
        <v>45952</v>
      </c>
      <c r="C1351" s="1" t="s">
        <v>918</v>
      </c>
      <c r="D1351" s="1" t="s">
        <v>48</v>
      </c>
      <c r="E1351" s="1" t="s">
        <v>31</v>
      </c>
      <c r="F1351" s="1" t="s">
        <v>32</v>
      </c>
      <c r="G1351" s="1" t="s">
        <v>42</v>
      </c>
      <c r="H1351" s="1" t="s">
        <v>89</v>
      </c>
      <c r="I1351" s="1" t="s">
        <v>66</v>
      </c>
      <c r="J1351" s="1" t="s">
        <v>67</v>
      </c>
      <c r="K1351" s="1" t="s">
        <v>28</v>
      </c>
      <c r="L1351">
        <v>2</v>
      </c>
      <c r="M1351">
        <v>2499</v>
      </c>
      <c r="N1351">
        <v>0</v>
      </c>
      <c r="O1351">
        <v>4998</v>
      </c>
      <c r="P1351">
        <v>1450</v>
      </c>
      <c r="Q1351">
        <v>2900</v>
      </c>
      <c r="R1351">
        <v>40</v>
      </c>
      <c r="S1351">
        <v>2058</v>
      </c>
    </row>
    <row r="1352" spans="1:19" x14ac:dyDescent="0.3">
      <c r="A1352" s="1" t="s">
        <v>1856</v>
      </c>
      <c r="B1352" s="4">
        <v>45952</v>
      </c>
      <c r="C1352" s="1" t="s">
        <v>547</v>
      </c>
      <c r="D1352" s="1" t="s">
        <v>40</v>
      </c>
      <c r="E1352" s="1" t="s">
        <v>96</v>
      </c>
      <c r="F1352" s="1" t="s">
        <v>97</v>
      </c>
      <c r="G1352" s="1" t="s">
        <v>24</v>
      </c>
      <c r="H1352" s="1" t="s">
        <v>25</v>
      </c>
      <c r="I1352" s="1" t="s">
        <v>59</v>
      </c>
      <c r="J1352" s="1" t="s">
        <v>60</v>
      </c>
      <c r="K1352" s="1" t="s">
        <v>61</v>
      </c>
      <c r="L1352">
        <v>1</v>
      </c>
      <c r="M1352">
        <v>999</v>
      </c>
      <c r="N1352">
        <v>0.15</v>
      </c>
      <c r="O1352">
        <v>849.15</v>
      </c>
      <c r="P1352">
        <v>520</v>
      </c>
      <c r="Q1352">
        <v>520</v>
      </c>
      <c r="R1352">
        <v>40</v>
      </c>
      <c r="S1352">
        <v>289.14999999999998</v>
      </c>
    </row>
    <row r="1353" spans="1:19" x14ac:dyDescent="0.3">
      <c r="A1353" s="1" t="s">
        <v>1857</v>
      </c>
      <c r="B1353" s="4">
        <v>45954</v>
      </c>
      <c r="C1353" s="1" t="s">
        <v>1368</v>
      </c>
      <c r="D1353" s="1" t="s">
        <v>48</v>
      </c>
      <c r="E1353" s="1" t="s">
        <v>41</v>
      </c>
      <c r="F1353" s="1" t="s">
        <v>32</v>
      </c>
      <c r="G1353" s="1" t="s">
        <v>24</v>
      </c>
      <c r="H1353" s="1" t="s">
        <v>34</v>
      </c>
      <c r="I1353" s="1" t="s">
        <v>72</v>
      </c>
      <c r="J1353" s="1" t="s">
        <v>73</v>
      </c>
      <c r="K1353" s="1" t="s">
        <v>28</v>
      </c>
      <c r="L1353">
        <v>1</v>
      </c>
      <c r="M1353">
        <v>2199</v>
      </c>
      <c r="N1353">
        <v>0.05</v>
      </c>
      <c r="O1353">
        <v>2089.0500000000002</v>
      </c>
      <c r="P1353">
        <v>1250</v>
      </c>
      <c r="Q1353">
        <v>1250</v>
      </c>
      <c r="R1353">
        <v>100</v>
      </c>
      <c r="S1353">
        <v>739.05</v>
      </c>
    </row>
    <row r="1354" spans="1:19" x14ac:dyDescent="0.3">
      <c r="A1354" s="1" t="s">
        <v>1858</v>
      </c>
      <c r="B1354" s="4">
        <v>45955</v>
      </c>
      <c r="C1354" s="1" t="s">
        <v>1470</v>
      </c>
      <c r="D1354" s="1" t="s">
        <v>21</v>
      </c>
      <c r="E1354" s="1" t="s">
        <v>80</v>
      </c>
      <c r="F1354" s="1" t="s">
        <v>55</v>
      </c>
      <c r="G1354" s="1" t="s">
        <v>24</v>
      </c>
      <c r="H1354" s="1" t="s">
        <v>34</v>
      </c>
      <c r="I1354" s="1" t="s">
        <v>81</v>
      </c>
      <c r="J1354" s="1" t="s">
        <v>82</v>
      </c>
      <c r="K1354" s="1" t="s">
        <v>61</v>
      </c>
      <c r="L1354">
        <v>1</v>
      </c>
      <c r="M1354">
        <v>2999</v>
      </c>
      <c r="N1354">
        <v>0.1</v>
      </c>
      <c r="O1354">
        <v>2699.1</v>
      </c>
      <c r="P1354">
        <v>1750</v>
      </c>
      <c r="Q1354">
        <v>1750</v>
      </c>
      <c r="R1354">
        <v>80</v>
      </c>
      <c r="S1354">
        <v>869.1</v>
      </c>
    </row>
    <row r="1355" spans="1:19" x14ac:dyDescent="0.3">
      <c r="A1355" s="1" t="s">
        <v>1859</v>
      </c>
      <c r="B1355" s="4">
        <v>45957</v>
      </c>
      <c r="C1355" s="1" t="s">
        <v>792</v>
      </c>
      <c r="D1355" s="1" t="s">
        <v>21</v>
      </c>
      <c r="E1355" s="1" t="s">
        <v>31</v>
      </c>
      <c r="F1355" s="1" t="s">
        <v>32</v>
      </c>
      <c r="G1355" s="1" t="s">
        <v>24</v>
      </c>
      <c r="H1355" s="1" t="s">
        <v>89</v>
      </c>
      <c r="I1355" s="1" t="s">
        <v>92</v>
      </c>
      <c r="J1355" s="1" t="s">
        <v>93</v>
      </c>
      <c r="K1355" s="1" t="s">
        <v>28</v>
      </c>
      <c r="L1355">
        <v>1</v>
      </c>
      <c r="M1355">
        <v>1599</v>
      </c>
      <c r="N1355">
        <v>0.15</v>
      </c>
      <c r="O1355">
        <v>1359.15</v>
      </c>
      <c r="P1355">
        <v>900</v>
      </c>
      <c r="Q1355">
        <v>900</v>
      </c>
      <c r="R1355">
        <v>40</v>
      </c>
      <c r="S1355">
        <v>419.15</v>
      </c>
    </row>
    <row r="1356" spans="1:19" x14ac:dyDescent="0.3">
      <c r="A1356" s="1" t="s">
        <v>1860</v>
      </c>
      <c r="B1356" s="4">
        <v>45957</v>
      </c>
      <c r="C1356" s="1" t="s">
        <v>768</v>
      </c>
      <c r="D1356" s="1" t="s">
        <v>40</v>
      </c>
      <c r="E1356" s="1" t="s">
        <v>49</v>
      </c>
      <c r="F1356" s="1" t="s">
        <v>50</v>
      </c>
      <c r="G1356" s="1" t="s">
        <v>42</v>
      </c>
      <c r="H1356" s="1" t="s">
        <v>34</v>
      </c>
      <c r="I1356" s="1" t="s">
        <v>81</v>
      </c>
      <c r="J1356" s="1" t="s">
        <v>82</v>
      </c>
      <c r="K1356" s="1" t="s">
        <v>61</v>
      </c>
      <c r="L1356">
        <v>2</v>
      </c>
      <c r="M1356">
        <v>2999</v>
      </c>
      <c r="N1356">
        <v>0</v>
      </c>
      <c r="O1356">
        <v>5998</v>
      </c>
      <c r="P1356">
        <v>1750</v>
      </c>
      <c r="Q1356">
        <v>3500</v>
      </c>
      <c r="R1356">
        <v>80</v>
      </c>
      <c r="S1356">
        <v>2418</v>
      </c>
    </row>
    <row r="1357" spans="1:19" x14ac:dyDescent="0.3">
      <c r="A1357" s="1" t="s">
        <v>1861</v>
      </c>
      <c r="B1357" s="4">
        <v>45958</v>
      </c>
      <c r="C1357" s="1" t="s">
        <v>472</v>
      </c>
      <c r="D1357" s="1" t="s">
        <v>40</v>
      </c>
      <c r="E1357" s="1" t="s">
        <v>41</v>
      </c>
      <c r="F1357" s="1" t="s">
        <v>32</v>
      </c>
      <c r="G1357" s="1" t="s">
        <v>33</v>
      </c>
      <c r="H1357" s="1" t="s">
        <v>34</v>
      </c>
      <c r="I1357" s="1" t="s">
        <v>26</v>
      </c>
      <c r="J1357" s="1" t="s">
        <v>27</v>
      </c>
      <c r="K1357" s="1" t="s">
        <v>28</v>
      </c>
      <c r="L1357">
        <v>1</v>
      </c>
      <c r="M1357">
        <v>799</v>
      </c>
      <c r="N1357">
        <v>0.15</v>
      </c>
      <c r="O1357">
        <v>679.15</v>
      </c>
      <c r="P1357">
        <v>420</v>
      </c>
      <c r="Q1357">
        <v>420</v>
      </c>
      <c r="R1357">
        <v>0</v>
      </c>
      <c r="S1357">
        <v>259.14999999999998</v>
      </c>
    </row>
    <row r="1358" spans="1:19" x14ac:dyDescent="0.3">
      <c r="A1358" s="1" t="s">
        <v>1862</v>
      </c>
      <c r="B1358" s="4">
        <v>45958</v>
      </c>
      <c r="C1358" s="1" t="s">
        <v>1724</v>
      </c>
      <c r="D1358" s="1" t="s">
        <v>40</v>
      </c>
      <c r="E1358" s="1" t="s">
        <v>64</v>
      </c>
      <c r="F1358" s="1" t="s">
        <v>65</v>
      </c>
      <c r="G1358" s="1" t="s">
        <v>24</v>
      </c>
      <c r="H1358" s="1" t="s">
        <v>89</v>
      </c>
      <c r="I1358" s="1" t="s">
        <v>66</v>
      </c>
      <c r="J1358" s="1" t="s">
        <v>67</v>
      </c>
      <c r="K1358" s="1" t="s">
        <v>28</v>
      </c>
      <c r="L1358">
        <v>2</v>
      </c>
      <c r="M1358">
        <v>2499</v>
      </c>
      <c r="N1358">
        <v>0.15</v>
      </c>
      <c r="O1358">
        <v>4248.3</v>
      </c>
      <c r="P1358">
        <v>1450</v>
      </c>
      <c r="Q1358">
        <v>2900</v>
      </c>
      <c r="R1358">
        <v>0</v>
      </c>
      <c r="S1358">
        <v>1348.3</v>
      </c>
    </row>
    <row r="1359" spans="1:19" x14ac:dyDescent="0.3">
      <c r="A1359" s="1" t="s">
        <v>1863</v>
      </c>
      <c r="B1359" s="4">
        <v>45959</v>
      </c>
      <c r="C1359" s="1" t="s">
        <v>133</v>
      </c>
      <c r="D1359" s="1" t="s">
        <v>21</v>
      </c>
      <c r="E1359" s="1" t="s">
        <v>70</v>
      </c>
      <c r="F1359" s="1" t="s">
        <v>70</v>
      </c>
      <c r="G1359" s="1" t="s">
        <v>24</v>
      </c>
      <c r="H1359" s="1" t="s">
        <v>71</v>
      </c>
      <c r="I1359" s="1" t="s">
        <v>81</v>
      </c>
      <c r="J1359" s="1" t="s">
        <v>82</v>
      </c>
      <c r="K1359" s="1" t="s">
        <v>61</v>
      </c>
      <c r="L1359">
        <v>1</v>
      </c>
      <c r="M1359">
        <v>2999</v>
      </c>
      <c r="N1359">
        <v>0.15</v>
      </c>
      <c r="O1359">
        <v>2549.15</v>
      </c>
      <c r="P1359">
        <v>1750</v>
      </c>
      <c r="Q1359">
        <v>1750</v>
      </c>
      <c r="R1359">
        <v>40</v>
      </c>
      <c r="S1359">
        <v>759.15</v>
      </c>
    </row>
    <row r="1360" spans="1:19" x14ac:dyDescent="0.3">
      <c r="A1360" s="1" t="s">
        <v>1864</v>
      </c>
      <c r="B1360" s="4">
        <v>45960</v>
      </c>
      <c r="C1360" s="1" t="s">
        <v>161</v>
      </c>
      <c r="D1360" s="1" t="s">
        <v>21</v>
      </c>
      <c r="E1360" s="1" t="s">
        <v>22</v>
      </c>
      <c r="F1360" s="1" t="s">
        <v>23</v>
      </c>
      <c r="G1360" s="1" t="s">
        <v>24</v>
      </c>
      <c r="H1360" s="1" t="s">
        <v>89</v>
      </c>
      <c r="I1360" s="1" t="s">
        <v>35</v>
      </c>
      <c r="J1360" s="1" t="s">
        <v>36</v>
      </c>
      <c r="K1360" s="1" t="s">
        <v>37</v>
      </c>
      <c r="L1360">
        <v>2</v>
      </c>
      <c r="M1360">
        <v>1299</v>
      </c>
      <c r="N1360">
        <v>0.15</v>
      </c>
      <c r="O1360">
        <v>2208.3000000000002</v>
      </c>
      <c r="P1360">
        <v>700</v>
      </c>
      <c r="Q1360">
        <v>1400</v>
      </c>
      <c r="R1360">
        <v>80</v>
      </c>
      <c r="S1360">
        <v>728.3</v>
      </c>
    </row>
    <row r="1361" spans="1:19" x14ac:dyDescent="0.3">
      <c r="A1361" s="1" t="s">
        <v>1865</v>
      </c>
      <c r="B1361" s="4">
        <v>45961</v>
      </c>
      <c r="C1361" s="1" t="s">
        <v>888</v>
      </c>
      <c r="D1361" s="1" t="s">
        <v>21</v>
      </c>
      <c r="E1361" s="1" t="s">
        <v>120</v>
      </c>
      <c r="F1361" s="1" t="s">
        <v>121</v>
      </c>
      <c r="G1361" s="1" t="s">
        <v>24</v>
      </c>
      <c r="H1361" s="1" t="s">
        <v>89</v>
      </c>
      <c r="I1361" s="1" t="s">
        <v>51</v>
      </c>
      <c r="J1361" s="1" t="s">
        <v>52</v>
      </c>
      <c r="K1361" s="1" t="s">
        <v>37</v>
      </c>
      <c r="L1361">
        <v>1</v>
      </c>
      <c r="M1361">
        <v>499</v>
      </c>
      <c r="N1361">
        <v>0.15</v>
      </c>
      <c r="O1361">
        <v>424.15</v>
      </c>
      <c r="P1361">
        <v>180</v>
      </c>
      <c r="Q1361">
        <v>180</v>
      </c>
      <c r="R1361">
        <v>80</v>
      </c>
      <c r="S1361">
        <v>164.15</v>
      </c>
    </row>
    <row r="1362" spans="1:19" x14ac:dyDescent="0.3">
      <c r="A1362" s="1" t="s">
        <v>1866</v>
      </c>
      <c r="B1362" s="4">
        <v>45962</v>
      </c>
      <c r="C1362" s="1" t="s">
        <v>259</v>
      </c>
      <c r="D1362" s="1" t="s">
        <v>48</v>
      </c>
      <c r="E1362" s="1" t="s">
        <v>112</v>
      </c>
      <c r="F1362" s="1" t="s">
        <v>113</v>
      </c>
      <c r="G1362" s="1" t="s">
        <v>42</v>
      </c>
      <c r="H1362" s="1" t="s">
        <v>25</v>
      </c>
      <c r="I1362" s="1" t="s">
        <v>51</v>
      </c>
      <c r="J1362" s="1" t="s">
        <v>52</v>
      </c>
      <c r="K1362" s="1" t="s">
        <v>37</v>
      </c>
      <c r="L1362">
        <v>5</v>
      </c>
      <c r="M1362">
        <v>499</v>
      </c>
      <c r="N1362">
        <v>0</v>
      </c>
      <c r="O1362">
        <v>2495</v>
      </c>
      <c r="P1362">
        <v>180</v>
      </c>
      <c r="Q1362">
        <v>900</v>
      </c>
      <c r="R1362">
        <v>100</v>
      </c>
      <c r="S1362">
        <v>1495</v>
      </c>
    </row>
    <row r="1363" spans="1:19" x14ac:dyDescent="0.3">
      <c r="A1363" s="1" t="s">
        <v>1867</v>
      </c>
      <c r="B1363" s="4">
        <v>45962</v>
      </c>
      <c r="C1363" s="1" t="s">
        <v>504</v>
      </c>
      <c r="D1363" s="1" t="s">
        <v>21</v>
      </c>
      <c r="E1363" s="1" t="s">
        <v>64</v>
      </c>
      <c r="F1363" s="1" t="s">
        <v>65</v>
      </c>
      <c r="G1363" s="1" t="s">
        <v>33</v>
      </c>
      <c r="H1363" s="1" t="s">
        <v>56</v>
      </c>
      <c r="I1363" s="1" t="s">
        <v>66</v>
      </c>
      <c r="J1363" s="1" t="s">
        <v>67</v>
      </c>
      <c r="K1363" s="1" t="s">
        <v>28</v>
      </c>
      <c r="L1363">
        <v>1</v>
      </c>
      <c r="M1363">
        <v>2499</v>
      </c>
      <c r="N1363">
        <v>0</v>
      </c>
      <c r="O1363">
        <v>2499</v>
      </c>
      <c r="P1363">
        <v>1450</v>
      </c>
      <c r="Q1363">
        <v>1450</v>
      </c>
      <c r="R1363">
        <v>60</v>
      </c>
      <c r="S1363">
        <v>989</v>
      </c>
    </row>
    <row r="1364" spans="1:19" x14ac:dyDescent="0.3">
      <c r="A1364" s="1" t="s">
        <v>1868</v>
      </c>
      <c r="B1364" s="4">
        <v>45962</v>
      </c>
      <c r="C1364" s="1" t="s">
        <v>253</v>
      </c>
      <c r="D1364" s="1" t="s">
        <v>40</v>
      </c>
      <c r="E1364" s="1" t="s">
        <v>64</v>
      </c>
      <c r="F1364" s="1" t="s">
        <v>65</v>
      </c>
      <c r="G1364" s="1" t="s">
        <v>42</v>
      </c>
      <c r="H1364" s="1" t="s">
        <v>89</v>
      </c>
      <c r="I1364" s="1" t="s">
        <v>59</v>
      </c>
      <c r="J1364" s="1" t="s">
        <v>60</v>
      </c>
      <c r="K1364" s="1" t="s">
        <v>61</v>
      </c>
      <c r="L1364">
        <v>1</v>
      </c>
      <c r="M1364">
        <v>999</v>
      </c>
      <c r="N1364">
        <v>0</v>
      </c>
      <c r="O1364">
        <v>999</v>
      </c>
      <c r="P1364">
        <v>520</v>
      </c>
      <c r="Q1364">
        <v>520</v>
      </c>
      <c r="R1364">
        <v>60</v>
      </c>
      <c r="S1364">
        <v>419</v>
      </c>
    </row>
    <row r="1365" spans="1:19" x14ac:dyDescent="0.3">
      <c r="A1365" s="1" t="s">
        <v>1869</v>
      </c>
      <c r="B1365" s="4">
        <v>45962</v>
      </c>
      <c r="C1365" s="1" t="s">
        <v>1870</v>
      </c>
      <c r="D1365" s="1" t="s">
        <v>21</v>
      </c>
      <c r="E1365" s="1" t="s">
        <v>112</v>
      </c>
      <c r="F1365" s="1" t="s">
        <v>113</v>
      </c>
      <c r="G1365" s="1" t="s">
        <v>33</v>
      </c>
      <c r="H1365" s="1" t="s">
        <v>71</v>
      </c>
      <c r="I1365" s="1" t="s">
        <v>66</v>
      </c>
      <c r="J1365" s="1" t="s">
        <v>67</v>
      </c>
      <c r="K1365" s="1" t="s">
        <v>28</v>
      </c>
      <c r="L1365">
        <v>1</v>
      </c>
      <c r="M1365">
        <v>2499</v>
      </c>
      <c r="N1365">
        <v>0</v>
      </c>
      <c r="O1365">
        <v>2499</v>
      </c>
      <c r="P1365">
        <v>1450</v>
      </c>
      <c r="Q1365">
        <v>1450</v>
      </c>
      <c r="R1365">
        <v>60</v>
      </c>
      <c r="S1365">
        <v>989</v>
      </c>
    </row>
    <row r="1366" spans="1:19" x14ac:dyDescent="0.3">
      <c r="A1366" s="1" t="s">
        <v>1871</v>
      </c>
      <c r="B1366" s="4">
        <v>45963</v>
      </c>
      <c r="C1366" s="1" t="s">
        <v>119</v>
      </c>
      <c r="D1366" s="1" t="s">
        <v>21</v>
      </c>
      <c r="E1366" s="1" t="s">
        <v>70</v>
      </c>
      <c r="F1366" s="1" t="s">
        <v>70</v>
      </c>
      <c r="G1366" s="1" t="s">
        <v>42</v>
      </c>
      <c r="H1366" s="1" t="s">
        <v>34</v>
      </c>
      <c r="I1366" s="1" t="s">
        <v>92</v>
      </c>
      <c r="J1366" s="1" t="s">
        <v>93</v>
      </c>
      <c r="K1366" s="1" t="s">
        <v>28</v>
      </c>
      <c r="L1366">
        <v>2</v>
      </c>
      <c r="M1366">
        <v>1599</v>
      </c>
      <c r="N1366">
        <v>0</v>
      </c>
      <c r="O1366">
        <v>3198</v>
      </c>
      <c r="P1366">
        <v>900</v>
      </c>
      <c r="Q1366">
        <v>1800</v>
      </c>
      <c r="R1366">
        <v>40</v>
      </c>
      <c r="S1366">
        <v>1358</v>
      </c>
    </row>
    <row r="1367" spans="1:19" x14ac:dyDescent="0.3">
      <c r="A1367" s="1" t="s">
        <v>1872</v>
      </c>
      <c r="B1367" s="4">
        <v>45963</v>
      </c>
      <c r="C1367" s="1" t="s">
        <v>367</v>
      </c>
      <c r="D1367" s="1" t="s">
        <v>48</v>
      </c>
      <c r="E1367" s="1" t="s">
        <v>41</v>
      </c>
      <c r="F1367" s="1" t="s">
        <v>32</v>
      </c>
      <c r="G1367" s="1" t="s">
        <v>24</v>
      </c>
      <c r="H1367" s="1" t="s">
        <v>34</v>
      </c>
      <c r="I1367" s="1" t="s">
        <v>76</v>
      </c>
      <c r="J1367" s="1" t="s">
        <v>77</v>
      </c>
      <c r="K1367" s="1" t="s">
        <v>37</v>
      </c>
      <c r="L1367">
        <v>3</v>
      </c>
      <c r="M1367">
        <v>6999</v>
      </c>
      <c r="N1367">
        <v>0.1</v>
      </c>
      <c r="O1367">
        <v>18897.3</v>
      </c>
      <c r="P1367">
        <v>4900</v>
      </c>
      <c r="Q1367">
        <v>14700</v>
      </c>
      <c r="R1367">
        <v>100</v>
      </c>
      <c r="S1367">
        <v>4097.3</v>
      </c>
    </row>
    <row r="1368" spans="1:19" x14ac:dyDescent="0.3">
      <c r="A1368" s="1" t="s">
        <v>1873</v>
      </c>
      <c r="B1368" s="4">
        <v>45963</v>
      </c>
      <c r="C1368" s="1" t="s">
        <v>1114</v>
      </c>
      <c r="D1368" s="1" t="s">
        <v>40</v>
      </c>
      <c r="E1368" s="1" t="s">
        <v>70</v>
      </c>
      <c r="F1368" s="1" t="s">
        <v>70</v>
      </c>
      <c r="G1368" s="1" t="s">
        <v>42</v>
      </c>
      <c r="H1368" s="1" t="s">
        <v>89</v>
      </c>
      <c r="I1368" s="1" t="s">
        <v>43</v>
      </c>
      <c r="J1368" s="1" t="s">
        <v>44</v>
      </c>
      <c r="K1368" s="1" t="s">
        <v>45</v>
      </c>
      <c r="L1368">
        <v>1</v>
      </c>
      <c r="M1368">
        <v>1799</v>
      </c>
      <c r="N1368">
        <v>0.2</v>
      </c>
      <c r="O1368">
        <v>1439.2</v>
      </c>
      <c r="P1368">
        <v>850</v>
      </c>
      <c r="Q1368">
        <v>850</v>
      </c>
      <c r="R1368">
        <v>80</v>
      </c>
      <c r="S1368">
        <v>509.2</v>
      </c>
    </row>
    <row r="1369" spans="1:19" x14ac:dyDescent="0.3">
      <c r="A1369" s="1" t="s">
        <v>1874</v>
      </c>
      <c r="B1369" s="4">
        <v>45964</v>
      </c>
      <c r="C1369" s="1" t="s">
        <v>1812</v>
      </c>
      <c r="D1369" s="1" t="s">
        <v>21</v>
      </c>
      <c r="E1369" s="1" t="s">
        <v>22</v>
      </c>
      <c r="F1369" s="1" t="s">
        <v>23</v>
      </c>
      <c r="G1369" s="1" t="s">
        <v>42</v>
      </c>
      <c r="H1369" s="1" t="s">
        <v>89</v>
      </c>
      <c r="I1369" s="1" t="s">
        <v>35</v>
      </c>
      <c r="J1369" s="1" t="s">
        <v>36</v>
      </c>
      <c r="K1369" s="1" t="s">
        <v>37</v>
      </c>
      <c r="L1369">
        <v>1</v>
      </c>
      <c r="M1369">
        <v>1299</v>
      </c>
      <c r="N1369">
        <v>0.1</v>
      </c>
      <c r="O1369">
        <v>1169.0999999999999</v>
      </c>
      <c r="P1369">
        <v>700</v>
      </c>
      <c r="Q1369">
        <v>700</v>
      </c>
      <c r="R1369">
        <v>60</v>
      </c>
      <c r="S1369">
        <v>409.1</v>
      </c>
    </row>
    <row r="1370" spans="1:19" x14ac:dyDescent="0.3">
      <c r="A1370" s="1" t="s">
        <v>1875</v>
      </c>
      <c r="B1370" s="4">
        <v>45964</v>
      </c>
      <c r="C1370" s="1" t="s">
        <v>275</v>
      </c>
      <c r="D1370" s="1" t="s">
        <v>21</v>
      </c>
      <c r="E1370" s="1" t="s">
        <v>41</v>
      </c>
      <c r="F1370" s="1" t="s">
        <v>32</v>
      </c>
      <c r="G1370" s="1" t="s">
        <v>24</v>
      </c>
      <c r="H1370" s="1" t="s">
        <v>34</v>
      </c>
      <c r="I1370" s="1" t="s">
        <v>92</v>
      </c>
      <c r="J1370" s="1" t="s">
        <v>93</v>
      </c>
      <c r="K1370" s="1" t="s">
        <v>28</v>
      </c>
      <c r="L1370">
        <v>3</v>
      </c>
      <c r="M1370">
        <v>1599</v>
      </c>
      <c r="N1370">
        <v>0</v>
      </c>
      <c r="O1370">
        <v>4797</v>
      </c>
      <c r="P1370">
        <v>900</v>
      </c>
      <c r="Q1370">
        <v>2700</v>
      </c>
      <c r="R1370">
        <v>60</v>
      </c>
      <c r="S1370">
        <v>2037</v>
      </c>
    </row>
    <row r="1371" spans="1:19" x14ac:dyDescent="0.3">
      <c r="A1371" s="1" t="s">
        <v>1876</v>
      </c>
      <c r="B1371" s="4">
        <v>45965</v>
      </c>
      <c r="C1371" s="1" t="s">
        <v>1423</v>
      </c>
      <c r="D1371" s="1" t="s">
        <v>48</v>
      </c>
      <c r="E1371" s="1" t="s">
        <v>112</v>
      </c>
      <c r="F1371" s="1" t="s">
        <v>113</v>
      </c>
      <c r="G1371" s="1" t="s">
        <v>24</v>
      </c>
      <c r="H1371" s="1" t="s">
        <v>56</v>
      </c>
      <c r="I1371" s="1" t="s">
        <v>134</v>
      </c>
      <c r="J1371" s="1" t="s">
        <v>135</v>
      </c>
      <c r="K1371" s="1" t="s">
        <v>136</v>
      </c>
      <c r="L1371">
        <v>2</v>
      </c>
      <c r="M1371">
        <v>299</v>
      </c>
      <c r="N1371">
        <v>0.05</v>
      </c>
      <c r="O1371">
        <v>568.1</v>
      </c>
      <c r="P1371">
        <v>110</v>
      </c>
      <c r="Q1371">
        <v>220</v>
      </c>
      <c r="R1371">
        <v>100</v>
      </c>
      <c r="S1371">
        <v>248.1</v>
      </c>
    </row>
    <row r="1372" spans="1:19" x14ac:dyDescent="0.3">
      <c r="A1372" s="1" t="s">
        <v>1877</v>
      </c>
      <c r="B1372" s="4">
        <v>45965</v>
      </c>
      <c r="C1372" s="1" t="s">
        <v>900</v>
      </c>
      <c r="D1372" s="1" t="s">
        <v>48</v>
      </c>
      <c r="E1372" s="1" t="s">
        <v>124</v>
      </c>
      <c r="F1372" s="1" t="s">
        <v>125</v>
      </c>
      <c r="G1372" s="1" t="s">
        <v>33</v>
      </c>
      <c r="H1372" s="1" t="s">
        <v>71</v>
      </c>
      <c r="I1372" s="1" t="s">
        <v>92</v>
      </c>
      <c r="J1372" s="1" t="s">
        <v>93</v>
      </c>
      <c r="K1372" s="1" t="s">
        <v>28</v>
      </c>
      <c r="L1372">
        <v>2</v>
      </c>
      <c r="M1372">
        <v>1599</v>
      </c>
      <c r="N1372">
        <v>0.15</v>
      </c>
      <c r="O1372">
        <v>2718.3</v>
      </c>
      <c r="P1372">
        <v>900</v>
      </c>
      <c r="Q1372">
        <v>1800</v>
      </c>
      <c r="R1372">
        <v>80</v>
      </c>
      <c r="S1372">
        <v>838.3</v>
      </c>
    </row>
    <row r="1373" spans="1:19" x14ac:dyDescent="0.3">
      <c r="A1373" s="1" t="s">
        <v>1878</v>
      </c>
      <c r="B1373" s="4">
        <v>45965</v>
      </c>
      <c r="C1373" s="1" t="s">
        <v>850</v>
      </c>
      <c r="D1373" s="1" t="s">
        <v>21</v>
      </c>
      <c r="E1373" s="1" t="s">
        <v>96</v>
      </c>
      <c r="F1373" s="1" t="s">
        <v>97</v>
      </c>
      <c r="G1373" s="1" t="s">
        <v>33</v>
      </c>
      <c r="H1373" s="1" t="s">
        <v>71</v>
      </c>
      <c r="I1373" s="1" t="s">
        <v>72</v>
      </c>
      <c r="J1373" s="1" t="s">
        <v>73</v>
      </c>
      <c r="K1373" s="1" t="s">
        <v>28</v>
      </c>
      <c r="L1373">
        <v>1</v>
      </c>
      <c r="M1373">
        <v>2199</v>
      </c>
      <c r="N1373">
        <v>0</v>
      </c>
      <c r="O1373">
        <v>2199</v>
      </c>
      <c r="P1373">
        <v>1250</v>
      </c>
      <c r="Q1373">
        <v>1250</v>
      </c>
      <c r="R1373">
        <v>60</v>
      </c>
      <c r="S1373">
        <v>889</v>
      </c>
    </row>
    <row r="1374" spans="1:19" x14ac:dyDescent="0.3">
      <c r="A1374" s="1" t="s">
        <v>1879</v>
      </c>
      <c r="B1374" s="4">
        <v>45965</v>
      </c>
      <c r="C1374" s="1" t="s">
        <v>101</v>
      </c>
      <c r="D1374" s="1" t="s">
        <v>48</v>
      </c>
      <c r="E1374" s="1" t="s">
        <v>70</v>
      </c>
      <c r="F1374" s="1" t="s">
        <v>70</v>
      </c>
      <c r="G1374" s="1" t="s">
        <v>24</v>
      </c>
      <c r="H1374" s="1" t="s">
        <v>56</v>
      </c>
      <c r="I1374" s="1" t="s">
        <v>134</v>
      </c>
      <c r="J1374" s="1" t="s">
        <v>135</v>
      </c>
      <c r="K1374" s="1" t="s">
        <v>136</v>
      </c>
      <c r="L1374">
        <v>1</v>
      </c>
      <c r="M1374">
        <v>299</v>
      </c>
      <c r="N1374">
        <v>0</v>
      </c>
      <c r="O1374">
        <v>299</v>
      </c>
      <c r="P1374">
        <v>110</v>
      </c>
      <c r="Q1374">
        <v>110</v>
      </c>
      <c r="R1374">
        <v>0</v>
      </c>
      <c r="S1374">
        <v>189</v>
      </c>
    </row>
    <row r="1375" spans="1:19" x14ac:dyDescent="0.3">
      <c r="A1375" s="1" t="s">
        <v>1880</v>
      </c>
      <c r="B1375" s="4">
        <v>45966</v>
      </c>
      <c r="C1375" s="1" t="s">
        <v>622</v>
      </c>
      <c r="D1375" s="1" t="s">
        <v>21</v>
      </c>
      <c r="E1375" s="1" t="s">
        <v>64</v>
      </c>
      <c r="F1375" s="1" t="s">
        <v>65</v>
      </c>
      <c r="G1375" s="1" t="s">
        <v>24</v>
      </c>
      <c r="H1375" s="1" t="s">
        <v>34</v>
      </c>
      <c r="I1375" s="1" t="s">
        <v>92</v>
      </c>
      <c r="J1375" s="1" t="s">
        <v>93</v>
      </c>
      <c r="K1375" s="1" t="s">
        <v>28</v>
      </c>
      <c r="L1375">
        <v>2</v>
      </c>
      <c r="M1375">
        <v>1599</v>
      </c>
      <c r="N1375">
        <v>0.1</v>
      </c>
      <c r="O1375">
        <v>2878.2</v>
      </c>
      <c r="P1375">
        <v>900</v>
      </c>
      <c r="Q1375">
        <v>1800</v>
      </c>
      <c r="R1375">
        <v>0</v>
      </c>
      <c r="S1375">
        <v>1078.2</v>
      </c>
    </row>
    <row r="1376" spans="1:19" x14ac:dyDescent="0.3">
      <c r="A1376" s="1" t="s">
        <v>1881</v>
      </c>
      <c r="B1376" s="4">
        <v>45966</v>
      </c>
      <c r="C1376" s="1" t="s">
        <v>1219</v>
      </c>
      <c r="D1376" s="1" t="s">
        <v>48</v>
      </c>
      <c r="E1376" s="1" t="s">
        <v>96</v>
      </c>
      <c r="F1376" s="1" t="s">
        <v>97</v>
      </c>
      <c r="G1376" s="1" t="s">
        <v>33</v>
      </c>
      <c r="H1376" s="1" t="s">
        <v>89</v>
      </c>
      <c r="I1376" s="1" t="s">
        <v>85</v>
      </c>
      <c r="J1376" s="1" t="s">
        <v>86</v>
      </c>
      <c r="K1376" s="1" t="s">
        <v>45</v>
      </c>
      <c r="L1376">
        <v>2</v>
      </c>
      <c r="M1376">
        <v>599</v>
      </c>
      <c r="N1376">
        <v>0.15</v>
      </c>
      <c r="O1376">
        <v>1018.3</v>
      </c>
      <c r="P1376">
        <v>240</v>
      </c>
      <c r="Q1376">
        <v>480</v>
      </c>
      <c r="R1376">
        <v>80</v>
      </c>
      <c r="S1376">
        <v>458.3</v>
      </c>
    </row>
    <row r="1377" spans="1:19" x14ac:dyDescent="0.3">
      <c r="A1377" s="1" t="s">
        <v>1882</v>
      </c>
      <c r="B1377" s="4">
        <v>45967</v>
      </c>
      <c r="C1377" s="1" t="s">
        <v>123</v>
      </c>
      <c r="D1377" s="1" t="s">
        <v>21</v>
      </c>
      <c r="E1377" s="1" t="s">
        <v>54</v>
      </c>
      <c r="F1377" s="1" t="s">
        <v>55</v>
      </c>
      <c r="G1377" s="1" t="s">
        <v>42</v>
      </c>
      <c r="H1377" s="1" t="s">
        <v>25</v>
      </c>
      <c r="I1377" s="1" t="s">
        <v>92</v>
      </c>
      <c r="J1377" s="1" t="s">
        <v>93</v>
      </c>
      <c r="K1377" s="1" t="s">
        <v>28</v>
      </c>
      <c r="L1377">
        <v>3</v>
      </c>
      <c r="M1377">
        <v>1599</v>
      </c>
      <c r="N1377">
        <v>0.1</v>
      </c>
      <c r="O1377">
        <v>4317.3</v>
      </c>
      <c r="P1377">
        <v>900</v>
      </c>
      <c r="Q1377">
        <v>2700</v>
      </c>
      <c r="R1377">
        <v>60</v>
      </c>
      <c r="S1377">
        <v>1557.3</v>
      </c>
    </row>
    <row r="1378" spans="1:19" x14ac:dyDescent="0.3">
      <c r="A1378" s="1" t="s">
        <v>1883</v>
      </c>
      <c r="B1378" s="4">
        <v>45967</v>
      </c>
      <c r="C1378" s="1" t="s">
        <v>183</v>
      </c>
      <c r="D1378" s="1" t="s">
        <v>21</v>
      </c>
      <c r="E1378" s="1" t="s">
        <v>112</v>
      </c>
      <c r="F1378" s="1" t="s">
        <v>113</v>
      </c>
      <c r="G1378" s="1" t="s">
        <v>24</v>
      </c>
      <c r="H1378" s="1" t="s">
        <v>34</v>
      </c>
      <c r="I1378" s="1" t="s">
        <v>35</v>
      </c>
      <c r="J1378" s="1" t="s">
        <v>36</v>
      </c>
      <c r="K1378" s="1" t="s">
        <v>37</v>
      </c>
      <c r="L1378">
        <v>4</v>
      </c>
      <c r="M1378">
        <v>1299</v>
      </c>
      <c r="N1378">
        <v>0</v>
      </c>
      <c r="O1378">
        <v>5196</v>
      </c>
      <c r="P1378">
        <v>700</v>
      </c>
      <c r="Q1378">
        <v>2800</v>
      </c>
      <c r="R1378">
        <v>80</v>
      </c>
      <c r="S1378">
        <v>2316</v>
      </c>
    </row>
    <row r="1379" spans="1:19" x14ac:dyDescent="0.3">
      <c r="A1379" s="1" t="s">
        <v>1884</v>
      </c>
      <c r="B1379" s="4">
        <v>45968</v>
      </c>
      <c r="C1379" s="1" t="s">
        <v>500</v>
      </c>
      <c r="D1379" s="1" t="s">
        <v>21</v>
      </c>
      <c r="E1379" s="1" t="s">
        <v>22</v>
      </c>
      <c r="F1379" s="1" t="s">
        <v>23</v>
      </c>
      <c r="G1379" s="1" t="s">
        <v>33</v>
      </c>
      <c r="H1379" s="1" t="s">
        <v>89</v>
      </c>
      <c r="I1379" s="1" t="s">
        <v>85</v>
      </c>
      <c r="J1379" s="1" t="s">
        <v>86</v>
      </c>
      <c r="K1379" s="1" t="s">
        <v>45</v>
      </c>
      <c r="L1379">
        <v>3</v>
      </c>
      <c r="M1379">
        <v>599</v>
      </c>
      <c r="N1379">
        <v>0.1</v>
      </c>
      <c r="O1379">
        <v>1617.3</v>
      </c>
      <c r="P1379">
        <v>240</v>
      </c>
      <c r="Q1379">
        <v>720</v>
      </c>
      <c r="R1379">
        <v>40</v>
      </c>
      <c r="S1379">
        <v>857.3</v>
      </c>
    </row>
    <row r="1380" spans="1:19" x14ac:dyDescent="0.3">
      <c r="A1380" s="1" t="s">
        <v>1885</v>
      </c>
      <c r="B1380" s="4">
        <v>45968</v>
      </c>
      <c r="C1380" s="1" t="s">
        <v>665</v>
      </c>
      <c r="D1380" s="1" t="s">
        <v>40</v>
      </c>
      <c r="E1380" s="1" t="s">
        <v>22</v>
      </c>
      <c r="F1380" s="1" t="s">
        <v>23</v>
      </c>
      <c r="G1380" s="1" t="s">
        <v>24</v>
      </c>
      <c r="H1380" s="1" t="s">
        <v>25</v>
      </c>
      <c r="I1380" s="1" t="s">
        <v>72</v>
      </c>
      <c r="J1380" s="1" t="s">
        <v>73</v>
      </c>
      <c r="K1380" s="1" t="s">
        <v>28</v>
      </c>
      <c r="L1380">
        <v>2</v>
      </c>
      <c r="M1380">
        <v>2199</v>
      </c>
      <c r="N1380">
        <v>0.05</v>
      </c>
      <c r="O1380">
        <v>4178.1000000000004</v>
      </c>
      <c r="P1380">
        <v>1250</v>
      </c>
      <c r="Q1380">
        <v>2500</v>
      </c>
      <c r="R1380">
        <v>60</v>
      </c>
      <c r="S1380">
        <v>1618.1</v>
      </c>
    </row>
    <row r="1381" spans="1:19" x14ac:dyDescent="0.3">
      <c r="A1381" s="1" t="s">
        <v>1886</v>
      </c>
      <c r="B1381" s="4">
        <v>45969</v>
      </c>
      <c r="C1381" s="1" t="s">
        <v>20</v>
      </c>
      <c r="D1381" s="1" t="s">
        <v>21</v>
      </c>
      <c r="E1381" s="1" t="s">
        <v>31</v>
      </c>
      <c r="F1381" s="1" t="s">
        <v>32</v>
      </c>
      <c r="G1381" s="1" t="s">
        <v>42</v>
      </c>
      <c r="H1381" s="1" t="s">
        <v>56</v>
      </c>
      <c r="I1381" s="1" t="s">
        <v>35</v>
      </c>
      <c r="J1381" s="1" t="s">
        <v>36</v>
      </c>
      <c r="K1381" s="1" t="s">
        <v>37</v>
      </c>
      <c r="L1381">
        <v>4</v>
      </c>
      <c r="M1381">
        <v>1299</v>
      </c>
      <c r="N1381">
        <v>0</v>
      </c>
      <c r="O1381">
        <v>5196</v>
      </c>
      <c r="P1381">
        <v>700</v>
      </c>
      <c r="Q1381">
        <v>2800</v>
      </c>
      <c r="R1381">
        <v>80</v>
      </c>
      <c r="S1381">
        <v>2316</v>
      </c>
    </row>
    <row r="1382" spans="1:19" x14ac:dyDescent="0.3">
      <c r="A1382" s="1" t="s">
        <v>1887</v>
      </c>
      <c r="B1382" s="4">
        <v>45969</v>
      </c>
      <c r="C1382" s="1" t="s">
        <v>224</v>
      </c>
      <c r="D1382" s="1" t="s">
        <v>48</v>
      </c>
      <c r="E1382" s="1" t="s">
        <v>31</v>
      </c>
      <c r="F1382" s="1" t="s">
        <v>32</v>
      </c>
      <c r="G1382" s="1" t="s">
        <v>42</v>
      </c>
      <c r="H1382" s="1" t="s">
        <v>71</v>
      </c>
      <c r="I1382" s="1" t="s">
        <v>51</v>
      </c>
      <c r="J1382" s="1" t="s">
        <v>52</v>
      </c>
      <c r="K1382" s="1" t="s">
        <v>37</v>
      </c>
      <c r="L1382">
        <v>1</v>
      </c>
      <c r="M1382">
        <v>499</v>
      </c>
      <c r="N1382">
        <v>0.2</v>
      </c>
      <c r="O1382">
        <v>399.2</v>
      </c>
      <c r="P1382">
        <v>180</v>
      </c>
      <c r="Q1382">
        <v>180</v>
      </c>
      <c r="R1382">
        <v>60</v>
      </c>
      <c r="S1382">
        <v>159.19999999999999</v>
      </c>
    </row>
    <row r="1383" spans="1:19" x14ac:dyDescent="0.3">
      <c r="A1383" s="1" t="s">
        <v>1888</v>
      </c>
      <c r="B1383" s="4">
        <v>45969</v>
      </c>
      <c r="C1383" s="1" t="s">
        <v>200</v>
      </c>
      <c r="D1383" s="1" t="s">
        <v>21</v>
      </c>
      <c r="E1383" s="1" t="s">
        <v>49</v>
      </c>
      <c r="F1383" s="1" t="s">
        <v>50</v>
      </c>
      <c r="G1383" s="1" t="s">
        <v>33</v>
      </c>
      <c r="H1383" s="1" t="s">
        <v>25</v>
      </c>
      <c r="I1383" s="1" t="s">
        <v>43</v>
      </c>
      <c r="J1383" s="1" t="s">
        <v>44</v>
      </c>
      <c r="K1383" s="1" t="s">
        <v>45</v>
      </c>
      <c r="L1383">
        <v>5</v>
      </c>
      <c r="M1383">
        <v>1799</v>
      </c>
      <c r="N1383">
        <v>0.05</v>
      </c>
      <c r="O1383">
        <v>8545.25</v>
      </c>
      <c r="P1383">
        <v>850</v>
      </c>
      <c r="Q1383">
        <v>4250</v>
      </c>
      <c r="R1383">
        <v>80</v>
      </c>
      <c r="S1383">
        <v>4215.25</v>
      </c>
    </row>
    <row r="1384" spans="1:19" x14ac:dyDescent="0.3">
      <c r="A1384" s="1" t="s">
        <v>1889</v>
      </c>
      <c r="B1384" s="4">
        <v>45970</v>
      </c>
      <c r="C1384" s="1" t="s">
        <v>1266</v>
      </c>
      <c r="D1384" s="1" t="s">
        <v>48</v>
      </c>
      <c r="E1384" s="1" t="s">
        <v>112</v>
      </c>
      <c r="F1384" s="1" t="s">
        <v>113</v>
      </c>
      <c r="G1384" s="1" t="s">
        <v>33</v>
      </c>
      <c r="H1384" s="1" t="s">
        <v>71</v>
      </c>
      <c r="I1384" s="1" t="s">
        <v>92</v>
      </c>
      <c r="J1384" s="1" t="s">
        <v>93</v>
      </c>
      <c r="K1384" s="1" t="s">
        <v>28</v>
      </c>
      <c r="L1384">
        <v>1</v>
      </c>
      <c r="M1384">
        <v>1599</v>
      </c>
      <c r="N1384">
        <v>0.05</v>
      </c>
      <c r="O1384">
        <v>1519.05</v>
      </c>
      <c r="P1384">
        <v>900</v>
      </c>
      <c r="Q1384">
        <v>900</v>
      </c>
      <c r="R1384">
        <v>60</v>
      </c>
      <c r="S1384">
        <v>559.04999999999995</v>
      </c>
    </row>
    <row r="1385" spans="1:19" x14ac:dyDescent="0.3">
      <c r="A1385" s="1" t="s">
        <v>1890</v>
      </c>
      <c r="B1385" s="4">
        <v>45970</v>
      </c>
      <c r="C1385" s="1" t="s">
        <v>251</v>
      </c>
      <c r="D1385" s="1" t="s">
        <v>48</v>
      </c>
      <c r="E1385" s="1" t="s">
        <v>22</v>
      </c>
      <c r="F1385" s="1" t="s">
        <v>23</v>
      </c>
      <c r="G1385" s="1" t="s">
        <v>42</v>
      </c>
      <c r="H1385" s="1" t="s">
        <v>34</v>
      </c>
      <c r="I1385" s="1" t="s">
        <v>81</v>
      </c>
      <c r="J1385" s="1" t="s">
        <v>82</v>
      </c>
      <c r="K1385" s="1" t="s">
        <v>61</v>
      </c>
      <c r="L1385">
        <v>2</v>
      </c>
      <c r="M1385">
        <v>2999</v>
      </c>
      <c r="N1385">
        <v>0.15</v>
      </c>
      <c r="O1385">
        <v>5098.3</v>
      </c>
      <c r="P1385">
        <v>1750</v>
      </c>
      <c r="Q1385">
        <v>3500</v>
      </c>
      <c r="R1385">
        <v>100</v>
      </c>
      <c r="S1385">
        <v>1498.3</v>
      </c>
    </row>
    <row r="1386" spans="1:19" x14ac:dyDescent="0.3">
      <c r="A1386" s="1" t="s">
        <v>1891</v>
      </c>
      <c r="B1386" s="4">
        <v>45971</v>
      </c>
      <c r="C1386" s="1" t="s">
        <v>263</v>
      </c>
      <c r="D1386" s="1" t="s">
        <v>21</v>
      </c>
      <c r="E1386" s="1" t="s">
        <v>31</v>
      </c>
      <c r="F1386" s="1" t="s">
        <v>32</v>
      </c>
      <c r="G1386" s="1" t="s">
        <v>42</v>
      </c>
      <c r="H1386" s="1" t="s">
        <v>56</v>
      </c>
      <c r="I1386" s="1" t="s">
        <v>134</v>
      </c>
      <c r="J1386" s="1" t="s">
        <v>135</v>
      </c>
      <c r="K1386" s="1" t="s">
        <v>136</v>
      </c>
      <c r="L1386">
        <v>1</v>
      </c>
      <c r="M1386">
        <v>299</v>
      </c>
      <c r="N1386">
        <v>0</v>
      </c>
      <c r="O1386">
        <v>299</v>
      </c>
      <c r="P1386">
        <v>110</v>
      </c>
      <c r="Q1386">
        <v>110</v>
      </c>
      <c r="R1386">
        <v>100</v>
      </c>
      <c r="S1386">
        <v>89</v>
      </c>
    </row>
    <row r="1387" spans="1:19" x14ac:dyDescent="0.3">
      <c r="A1387" s="1" t="s">
        <v>1892</v>
      </c>
      <c r="B1387" s="4">
        <v>45972</v>
      </c>
      <c r="C1387" s="1" t="s">
        <v>526</v>
      </c>
      <c r="D1387" s="1" t="s">
        <v>21</v>
      </c>
      <c r="E1387" s="1" t="s">
        <v>80</v>
      </c>
      <c r="F1387" s="1" t="s">
        <v>55</v>
      </c>
      <c r="G1387" s="1" t="s">
        <v>24</v>
      </c>
      <c r="H1387" s="1" t="s">
        <v>71</v>
      </c>
      <c r="I1387" s="1" t="s">
        <v>51</v>
      </c>
      <c r="J1387" s="1" t="s">
        <v>52</v>
      </c>
      <c r="K1387" s="1" t="s">
        <v>37</v>
      </c>
      <c r="L1387">
        <v>3</v>
      </c>
      <c r="M1387">
        <v>499</v>
      </c>
      <c r="N1387">
        <v>0.2</v>
      </c>
      <c r="O1387">
        <v>1197.5999999999999</v>
      </c>
      <c r="P1387">
        <v>180</v>
      </c>
      <c r="Q1387">
        <v>540</v>
      </c>
      <c r="R1387">
        <v>100</v>
      </c>
      <c r="S1387">
        <v>557.6</v>
      </c>
    </row>
    <row r="1388" spans="1:19" x14ac:dyDescent="0.3">
      <c r="A1388" s="1" t="s">
        <v>1893</v>
      </c>
      <c r="B1388" s="4">
        <v>45973</v>
      </c>
      <c r="C1388" s="1" t="s">
        <v>1017</v>
      </c>
      <c r="D1388" s="1" t="s">
        <v>48</v>
      </c>
      <c r="E1388" s="1" t="s">
        <v>41</v>
      </c>
      <c r="F1388" s="1" t="s">
        <v>32</v>
      </c>
      <c r="G1388" s="1" t="s">
        <v>24</v>
      </c>
      <c r="H1388" s="1" t="s">
        <v>34</v>
      </c>
      <c r="I1388" s="1" t="s">
        <v>43</v>
      </c>
      <c r="J1388" s="1" t="s">
        <v>44</v>
      </c>
      <c r="K1388" s="1" t="s">
        <v>45</v>
      </c>
      <c r="L1388">
        <v>4</v>
      </c>
      <c r="M1388">
        <v>1799</v>
      </c>
      <c r="N1388">
        <v>0.2</v>
      </c>
      <c r="O1388">
        <v>5756.8</v>
      </c>
      <c r="P1388">
        <v>850</v>
      </c>
      <c r="Q1388">
        <v>3400</v>
      </c>
      <c r="R1388">
        <v>0</v>
      </c>
      <c r="S1388">
        <v>2356.8000000000002</v>
      </c>
    </row>
    <row r="1389" spans="1:19" x14ac:dyDescent="0.3">
      <c r="A1389" s="1" t="s">
        <v>1894</v>
      </c>
      <c r="B1389" s="4">
        <v>45974</v>
      </c>
      <c r="C1389" s="1" t="s">
        <v>174</v>
      </c>
      <c r="D1389" s="1" t="s">
        <v>40</v>
      </c>
      <c r="E1389" s="1" t="s">
        <v>120</v>
      </c>
      <c r="F1389" s="1" t="s">
        <v>121</v>
      </c>
      <c r="G1389" s="1" t="s">
        <v>42</v>
      </c>
      <c r="H1389" s="1" t="s">
        <v>71</v>
      </c>
      <c r="I1389" s="1" t="s">
        <v>72</v>
      </c>
      <c r="J1389" s="1" t="s">
        <v>73</v>
      </c>
      <c r="K1389" s="1" t="s">
        <v>28</v>
      </c>
      <c r="L1389">
        <v>2</v>
      </c>
      <c r="M1389">
        <v>2199</v>
      </c>
      <c r="N1389">
        <v>0</v>
      </c>
      <c r="O1389">
        <v>4398</v>
      </c>
      <c r="P1389">
        <v>1250</v>
      </c>
      <c r="Q1389">
        <v>2500</v>
      </c>
      <c r="R1389">
        <v>80</v>
      </c>
      <c r="S1389">
        <v>1818</v>
      </c>
    </row>
    <row r="1390" spans="1:19" x14ac:dyDescent="0.3">
      <c r="A1390" s="1" t="s">
        <v>1895</v>
      </c>
      <c r="B1390" s="4">
        <v>45974</v>
      </c>
      <c r="C1390" s="1" t="s">
        <v>491</v>
      </c>
      <c r="D1390" s="1" t="s">
        <v>40</v>
      </c>
      <c r="E1390" s="1" t="s">
        <v>31</v>
      </c>
      <c r="F1390" s="1" t="s">
        <v>32</v>
      </c>
      <c r="G1390" s="1" t="s">
        <v>42</v>
      </c>
      <c r="H1390" s="1" t="s">
        <v>56</v>
      </c>
      <c r="I1390" s="1" t="s">
        <v>66</v>
      </c>
      <c r="J1390" s="1" t="s">
        <v>67</v>
      </c>
      <c r="K1390" s="1" t="s">
        <v>28</v>
      </c>
      <c r="L1390">
        <v>1</v>
      </c>
      <c r="M1390">
        <v>2499</v>
      </c>
      <c r="N1390">
        <v>0.15</v>
      </c>
      <c r="O1390">
        <v>2124.15</v>
      </c>
      <c r="P1390">
        <v>1450</v>
      </c>
      <c r="Q1390">
        <v>1450</v>
      </c>
      <c r="R1390">
        <v>80</v>
      </c>
      <c r="S1390">
        <v>594.15</v>
      </c>
    </row>
    <row r="1391" spans="1:19" x14ac:dyDescent="0.3">
      <c r="A1391" s="1" t="s">
        <v>1896</v>
      </c>
      <c r="B1391" s="4">
        <v>45975</v>
      </c>
      <c r="C1391" s="1" t="s">
        <v>722</v>
      </c>
      <c r="D1391" s="1" t="s">
        <v>40</v>
      </c>
      <c r="E1391" s="1" t="s">
        <v>22</v>
      </c>
      <c r="F1391" s="1" t="s">
        <v>23</v>
      </c>
      <c r="G1391" s="1" t="s">
        <v>24</v>
      </c>
      <c r="H1391" s="1" t="s">
        <v>56</v>
      </c>
      <c r="I1391" s="1" t="s">
        <v>81</v>
      </c>
      <c r="J1391" s="1" t="s">
        <v>82</v>
      </c>
      <c r="K1391" s="1" t="s">
        <v>61</v>
      </c>
      <c r="L1391">
        <v>2</v>
      </c>
      <c r="M1391">
        <v>2999</v>
      </c>
      <c r="N1391">
        <v>0.15</v>
      </c>
      <c r="O1391">
        <v>5098.3</v>
      </c>
      <c r="P1391">
        <v>1750</v>
      </c>
      <c r="Q1391">
        <v>3500</v>
      </c>
      <c r="R1391">
        <v>100</v>
      </c>
      <c r="S1391">
        <v>1498.3</v>
      </c>
    </row>
    <row r="1392" spans="1:19" x14ac:dyDescent="0.3">
      <c r="A1392" s="1" t="s">
        <v>1897</v>
      </c>
      <c r="B1392" s="4">
        <v>45976</v>
      </c>
      <c r="C1392" s="1" t="s">
        <v>624</v>
      </c>
      <c r="D1392" s="1" t="s">
        <v>40</v>
      </c>
      <c r="E1392" s="1" t="s">
        <v>31</v>
      </c>
      <c r="F1392" s="1" t="s">
        <v>32</v>
      </c>
      <c r="G1392" s="1" t="s">
        <v>24</v>
      </c>
      <c r="H1392" s="1" t="s">
        <v>71</v>
      </c>
      <c r="I1392" s="1" t="s">
        <v>81</v>
      </c>
      <c r="J1392" s="1" t="s">
        <v>82</v>
      </c>
      <c r="K1392" s="1" t="s">
        <v>61</v>
      </c>
      <c r="L1392">
        <v>2</v>
      </c>
      <c r="M1392">
        <v>2999</v>
      </c>
      <c r="N1392">
        <v>0.2</v>
      </c>
      <c r="O1392">
        <v>4798.3999999999996</v>
      </c>
      <c r="P1392">
        <v>1750</v>
      </c>
      <c r="Q1392">
        <v>3500</v>
      </c>
      <c r="R1392">
        <v>100</v>
      </c>
      <c r="S1392">
        <v>1198.4000000000001</v>
      </c>
    </row>
    <row r="1393" spans="1:19" x14ac:dyDescent="0.3">
      <c r="A1393" s="1" t="s">
        <v>1898</v>
      </c>
      <c r="B1393" s="4">
        <v>45977</v>
      </c>
      <c r="C1393" s="1" t="s">
        <v>230</v>
      </c>
      <c r="D1393" s="1" t="s">
        <v>40</v>
      </c>
      <c r="E1393" s="1" t="s">
        <v>31</v>
      </c>
      <c r="F1393" s="1" t="s">
        <v>32</v>
      </c>
      <c r="G1393" s="1" t="s">
        <v>33</v>
      </c>
      <c r="H1393" s="1" t="s">
        <v>34</v>
      </c>
      <c r="I1393" s="1" t="s">
        <v>43</v>
      </c>
      <c r="J1393" s="1" t="s">
        <v>44</v>
      </c>
      <c r="K1393" s="1" t="s">
        <v>45</v>
      </c>
      <c r="L1393">
        <v>1</v>
      </c>
      <c r="M1393">
        <v>1799</v>
      </c>
      <c r="N1393">
        <v>0</v>
      </c>
      <c r="O1393">
        <v>1799</v>
      </c>
      <c r="P1393">
        <v>850</v>
      </c>
      <c r="Q1393">
        <v>850</v>
      </c>
      <c r="R1393">
        <v>100</v>
      </c>
      <c r="S1393">
        <v>849</v>
      </c>
    </row>
    <row r="1394" spans="1:19" x14ac:dyDescent="0.3">
      <c r="A1394" s="1" t="s">
        <v>1899</v>
      </c>
      <c r="B1394" s="4">
        <v>45977</v>
      </c>
      <c r="C1394" s="1" t="s">
        <v>1106</v>
      </c>
      <c r="D1394" s="1" t="s">
        <v>48</v>
      </c>
      <c r="E1394" s="1" t="s">
        <v>70</v>
      </c>
      <c r="F1394" s="1" t="s">
        <v>70</v>
      </c>
      <c r="G1394" s="1" t="s">
        <v>33</v>
      </c>
      <c r="H1394" s="1" t="s">
        <v>34</v>
      </c>
      <c r="I1394" s="1" t="s">
        <v>72</v>
      </c>
      <c r="J1394" s="1" t="s">
        <v>73</v>
      </c>
      <c r="K1394" s="1" t="s">
        <v>28</v>
      </c>
      <c r="L1394">
        <v>1</v>
      </c>
      <c r="M1394">
        <v>2199</v>
      </c>
      <c r="N1394">
        <v>0.05</v>
      </c>
      <c r="O1394">
        <v>2089.0500000000002</v>
      </c>
      <c r="P1394">
        <v>1250</v>
      </c>
      <c r="Q1394">
        <v>1250</v>
      </c>
      <c r="R1394">
        <v>80</v>
      </c>
      <c r="S1394">
        <v>759.05</v>
      </c>
    </row>
    <row r="1395" spans="1:19" x14ac:dyDescent="0.3">
      <c r="A1395" s="1" t="s">
        <v>1900</v>
      </c>
      <c r="B1395" s="4">
        <v>45977</v>
      </c>
      <c r="C1395" s="1" t="s">
        <v>204</v>
      </c>
      <c r="D1395" s="1" t="s">
        <v>48</v>
      </c>
      <c r="E1395" s="1" t="s">
        <v>80</v>
      </c>
      <c r="F1395" s="1" t="s">
        <v>55</v>
      </c>
      <c r="G1395" s="1" t="s">
        <v>24</v>
      </c>
      <c r="H1395" s="1" t="s">
        <v>25</v>
      </c>
      <c r="I1395" s="1" t="s">
        <v>66</v>
      </c>
      <c r="J1395" s="1" t="s">
        <v>67</v>
      </c>
      <c r="K1395" s="1" t="s">
        <v>28</v>
      </c>
      <c r="L1395">
        <v>2</v>
      </c>
      <c r="M1395">
        <v>2499</v>
      </c>
      <c r="N1395">
        <v>0.1</v>
      </c>
      <c r="O1395">
        <v>4498.2</v>
      </c>
      <c r="P1395">
        <v>1450</v>
      </c>
      <c r="Q1395">
        <v>2900</v>
      </c>
      <c r="R1395">
        <v>80</v>
      </c>
      <c r="S1395">
        <v>1518.2</v>
      </c>
    </row>
    <row r="1396" spans="1:19" x14ac:dyDescent="0.3">
      <c r="A1396" s="1" t="s">
        <v>1901</v>
      </c>
      <c r="B1396" s="4">
        <v>45978</v>
      </c>
      <c r="C1396" s="1" t="s">
        <v>224</v>
      </c>
      <c r="D1396" s="1" t="s">
        <v>40</v>
      </c>
      <c r="E1396" s="1" t="s">
        <v>54</v>
      </c>
      <c r="F1396" s="1" t="s">
        <v>55</v>
      </c>
      <c r="G1396" s="1" t="s">
        <v>33</v>
      </c>
      <c r="H1396" s="1" t="s">
        <v>25</v>
      </c>
      <c r="I1396" s="1" t="s">
        <v>26</v>
      </c>
      <c r="J1396" s="1" t="s">
        <v>27</v>
      </c>
      <c r="K1396" s="1" t="s">
        <v>28</v>
      </c>
      <c r="L1396">
        <v>2</v>
      </c>
      <c r="M1396">
        <v>799</v>
      </c>
      <c r="N1396">
        <v>0.15</v>
      </c>
      <c r="O1396">
        <v>1358.3</v>
      </c>
      <c r="P1396">
        <v>420</v>
      </c>
      <c r="Q1396">
        <v>840</v>
      </c>
      <c r="R1396">
        <v>80</v>
      </c>
      <c r="S1396">
        <v>438.3</v>
      </c>
    </row>
    <row r="1397" spans="1:19" x14ac:dyDescent="0.3">
      <c r="A1397" s="1" t="s">
        <v>1902</v>
      </c>
      <c r="B1397" s="4">
        <v>45980</v>
      </c>
      <c r="C1397" s="1" t="s">
        <v>422</v>
      </c>
      <c r="D1397" s="1" t="s">
        <v>40</v>
      </c>
      <c r="E1397" s="1" t="s">
        <v>54</v>
      </c>
      <c r="F1397" s="1" t="s">
        <v>55</v>
      </c>
      <c r="G1397" s="1" t="s">
        <v>24</v>
      </c>
      <c r="H1397" s="1" t="s">
        <v>25</v>
      </c>
      <c r="I1397" s="1" t="s">
        <v>35</v>
      </c>
      <c r="J1397" s="1" t="s">
        <v>36</v>
      </c>
      <c r="K1397" s="1" t="s">
        <v>37</v>
      </c>
      <c r="L1397">
        <v>2</v>
      </c>
      <c r="M1397">
        <v>1299</v>
      </c>
      <c r="N1397">
        <v>0.1</v>
      </c>
      <c r="O1397">
        <v>2338.1999999999998</v>
      </c>
      <c r="P1397">
        <v>700</v>
      </c>
      <c r="Q1397">
        <v>1400</v>
      </c>
      <c r="R1397">
        <v>60</v>
      </c>
      <c r="S1397">
        <v>878.2</v>
      </c>
    </row>
    <row r="1398" spans="1:19" x14ac:dyDescent="0.3">
      <c r="A1398" s="1" t="s">
        <v>1903</v>
      </c>
      <c r="B1398" s="4">
        <v>45980</v>
      </c>
      <c r="C1398" s="1" t="s">
        <v>321</v>
      </c>
      <c r="D1398" s="1" t="s">
        <v>48</v>
      </c>
      <c r="E1398" s="1" t="s">
        <v>112</v>
      </c>
      <c r="F1398" s="1" t="s">
        <v>113</v>
      </c>
      <c r="G1398" s="1" t="s">
        <v>24</v>
      </c>
      <c r="H1398" s="1" t="s">
        <v>71</v>
      </c>
      <c r="I1398" s="1" t="s">
        <v>66</v>
      </c>
      <c r="J1398" s="1" t="s">
        <v>67</v>
      </c>
      <c r="K1398" s="1" t="s">
        <v>28</v>
      </c>
      <c r="L1398">
        <v>2</v>
      </c>
      <c r="M1398">
        <v>2499</v>
      </c>
      <c r="N1398">
        <v>0.05</v>
      </c>
      <c r="O1398">
        <v>4748.1000000000004</v>
      </c>
      <c r="P1398">
        <v>1450</v>
      </c>
      <c r="Q1398">
        <v>2900</v>
      </c>
      <c r="R1398">
        <v>0</v>
      </c>
      <c r="S1398">
        <v>1848.1</v>
      </c>
    </row>
    <row r="1399" spans="1:19" x14ac:dyDescent="0.3">
      <c r="A1399" s="1" t="s">
        <v>1904</v>
      </c>
      <c r="B1399" s="4">
        <v>45980</v>
      </c>
      <c r="C1399" s="1" t="s">
        <v>84</v>
      </c>
      <c r="D1399" s="1" t="s">
        <v>48</v>
      </c>
      <c r="E1399" s="1" t="s">
        <v>31</v>
      </c>
      <c r="F1399" s="1" t="s">
        <v>32</v>
      </c>
      <c r="G1399" s="1" t="s">
        <v>42</v>
      </c>
      <c r="H1399" s="1" t="s">
        <v>56</v>
      </c>
      <c r="I1399" s="1" t="s">
        <v>76</v>
      </c>
      <c r="J1399" s="1" t="s">
        <v>77</v>
      </c>
      <c r="K1399" s="1" t="s">
        <v>37</v>
      </c>
      <c r="L1399">
        <v>2</v>
      </c>
      <c r="M1399">
        <v>6999</v>
      </c>
      <c r="N1399">
        <v>0</v>
      </c>
      <c r="O1399">
        <v>13998</v>
      </c>
      <c r="P1399">
        <v>4900</v>
      </c>
      <c r="Q1399">
        <v>9800</v>
      </c>
      <c r="R1399">
        <v>0</v>
      </c>
      <c r="S1399">
        <v>4198</v>
      </c>
    </row>
    <row r="1400" spans="1:19" x14ac:dyDescent="0.3">
      <c r="A1400" s="1" t="s">
        <v>1905</v>
      </c>
      <c r="B1400" s="4">
        <v>45980</v>
      </c>
      <c r="C1400" s="1" t="s">
        <v>443</v>
      </c>
      <c r="D1400" s="1" t="s">
        <v>40</v>
      </c>
      <c r="E1400" s="1" t="s">
        <v>41</v>
      </c>
      <c r="F1400" s="1" t="s">
        <v>32</v>
      </c>
      <c r="G1400" s="1" t="s">
        <v>24</v>
      </c>
      <c r="H1400" s="1" t="s">
        <v>56</v>
      </c>
      <c r="I1400" s="1" t="s">
        <v>72</v>
      </c>
      <c r="J1400" s="1" t="s">
        <v>73</v>
      </c>
      <c r="K1400" s="1" t="s">
        <v>28</v>
      </c>
      <c r="L1400">
        <v>2</v>
      </c>
      <c r="M1400">
        <v>2199</v>
      </c>
      <c r="N1400">
        <v>0.15</v>
      </c>
      <c r="O1400">
        <v>3738.3</v>
      </c>
      <c r="P1400">
        <v>1250</v>
      </c>
      <c r="Q1400">
        <v>2500</v>
      </c>
      <c r="R1400">
        <v>80</v>
      </c>
      <c r="S1400">
        <v>1158.3</v>
      </c>
    </row>
    <row r="1401" spans="1:19" x14ac:dyDescent="0.3">
      <c r="A1401" s="1" t="s">
        <v>1906</v>
      </c>
      <c r="B1401" s="4">
        <v>45981</v>
      </c>
      <c r="C1401" s="1" t="s">
        <v>1182</v>
      </c>
      <c r="D1401" s="1" t="s">
        <v>21</v>
      </c>
      <c r="E1401" s="1" t="s">
        <v>49</v>
      </c>
      <c r="F1401" s="1" t="s">
        <v>50</v>
      </c>
      <c r="G1401" s="1" t="s">
        <v>33</v>
      </c>
      <c r="H1401" s="1" t="s">
        <v>56</v>
      </c>
      <c r="I1401" s="1" t="s">
        <v>72</v>
      </c>
      <c r="J1401" s="1" t="s">
        <v>73</v>
      </c>
      <c r="K1401" s="1" t="s">
        <v>28</v>
      </c>
      <c r="L1401">
        <v>2</v>
      </c>
      <c r="M1401">
        <v>2199</v>
      </c>
      <c r="N1401">
        <v>0.15</v>
      </c>
      <c r="O1401">
        <v>3738.3</v>
      </c>
      <c r="P1401">
        <v>1250</v>
      </c>
      <c r="Q1401">
        <v>2500</v>
      </c>
      <c r="R1401">
        <v>80</v>
      </c>
      <c r="S1401">
        <v>1158.3</v>
      </c>
    </row>
    <row r="1402" spans="1:19" x14ac:dyDescent="0.3">
      <c r="A1402" s="1" t="s">
        <v>1907</v>
      </c>
      <c r="B1402" s="4">
        <v>45981</v>
      </c>
      <c r="C1402" s="1" t="s">
        <v>532</v>
      </c>
      <c r="D1402" s="1" t="s">
        <v>21</v>
      </c>
      <c r="E1402" s="1" t="s">
        <v>112</v>
      </c>
      <c r="F1402" s="1" t="s">
        <v>113</v>
      </c>
      <c r="G1402" s="1" t="s">
        <v>42</v>
      </c>
      <c r="H1402" s="1" t="s">
        <v>56</v>
      </c>
      <c r="I1402" s="1" t="s">
        <v>76</v>
      </c>
      <c r="J1402" s="1" t="s">
        <v>77</v>
      </c>
      <c r="K1402" s="1" t="s">
        <v>37</v>
      </c>
      <c r="L1402">
        <v>5</v>
      </c>
      <c r="M1402">
        <v>6999</v>
      </c>
      <c r="N1402">
        <v>0</v>
      </c>
      <c r="O1402">
        <v>34995</v>
      </c>
      <c r="P1402">
        <v>4900</v>
      </c>
      <c r="Q1402">
        <v>24500</v>
      </c>
      <c r="R1402">
        <v>0</v>
      </c>
      <c r="S1402">
        <v>10495</v>
      </c>
    </row>
    <row r="1403" spans="1:19" x14ac:dyDescent="0.3">
      <c r="A1403" s="1" t="s">
        <v>1908</v>
      </c>
      <c r="B1403" s="4">
        <v>45981</v>
      </c>
      <c r="C1403" s="1" t="s">
        <v>694</v>
      </c>
      <c r="D1403" s="1" t="s">
        <v>40</v>
      </c>
      <c r="E1403" s="1" t="s">
        <v>54</v>
      </c>
      <c r="F1403" s="1" t="s">
        <v>55</v>
      </c>
      <c r="G1403" s="1" t="s">
        <v>33</v>
      </c>
      <c r="H1403" s="1" t="s">
        <v>89</v>
      </c>
      <c r="I1403" s="1" t="s">
        <v>51</v>
      </c>
      <c r="J1403" s="1" t="s">
        <v>52</v>
      </c>
      <c r="K1403" s="1" t="s">
        <v>37</v>
      </c>
      <c r="L1403">
        <v>1</v>
      </c>
      <c r="M1403">
        <v>499</v>
      </c>
      <c r="N1403">
        <v>0.1</v>
      </c>
      <c r="O1403">
        <v>449.1</v>
      </c>
      <c r="P1403">
        <v>180</v>
      </c>
      <c r="Q1403">
        <v>180</v>
      </c>
      <c r="R1403">
        <v>0</v>
      </c>
      <c r="S1403">
        <v>269.10000000000002</v>
      </c>
    </row>
    <row r="1404" spans="1:19" x14ac:dyDescent="0.3">
      <c r="A1404" s="1" t="s">
        <v>1909</v>
      </c>
      <c r="B1404" s="4">
        <v>45982</v>
      </c>
      <c r="C1404" s="1" t="s">
        <v>744</v>
      </c>
      <c r="D1404" s="1" t="s">
        <v>40</v>
      </c>
      <c r="E1404" s="1" t="s">
        <v>112</v>
      </c>
      <c r="F1404" s="1" t="s">
        <v>113</v>
      </c>
      <c r="G1404" s="1" t="s">
        <v>24</v>
      </c>
      <c r="H1404" s="1" t="s">
        <v>25</v>
      </c>
      <c r="I1404" s="1" t="s">
        <v>72</v>
      </c>
      <c r="J1404" s="1" t="s">
        <v>73</v>
      </c>
      <c r="K1404" s="1" t="s">
        <v>28</v>
      </c>
      <c r="L1404">
        <v>4</v>
      </c>
      <c r="M1404">
        <v>2199</v>
      </c>
      <c r="N1404">
        <v>0.15</v>
      </c>
      <c r="O1404">
        <v>7476.6</v>
      </c>
      <c r="P1404">
        <v>1250</v>
      </c>
      <c r="Q1404">
        <v>5000</v>
      </c>
      <c r="R1404">
        <v>60</v>
      </c>
      <c r="S1404">
        <v>2416.6</v>
      </c>
    </row>
    <row r="1405" spans="1:19" x14ac:dyDescent="0.3">
      <c r="A1405" s="1" t="s">
        <v>1910</v>
      </c>
      <c r="B1405" s="4">
        <v>45985</v>
      </c>
      <c r="C1405" s="1" t="s">
        <v>374</v>
      </c>
      <c r="D1405" s="1" t="s">
        <v>21</v>
      </c>
      <c r="E1405" s="1" t="s">
        <v>49</v>
      </c>
      <c r="F1405" s="1" t="s">
        <v>50</v>
      </c>
      <c r="G1405" s="1" t="s">
        <v>24</v>
      </c>
      <c r="H1405" s="1" t="s">
        <v>89</v>
      </c>
      <c r="I1405" s="1" t="s">
        <v>76</v>
      </c>
      <c r="J1405" s="1" t="s">
        <v>77</v>
      </c>
      <c r="K1405" s="1" t="s">
        <v>37</v>
      </c>
      <c r="L1405">
        <v>4</v>
      </c>
      <c r="M1405">
        <v>6999</v>
      </c>
      <c r="N1405">
        <v>0.15</v>
      </c>
      <c r="O1405">
        <v>23796.6</v>
      </c>
      <c r="P1405">
        <v>4900</v>
      </c>
      <c r="Q1405">
        <v>19600</v>
      </c>
      <c r="R1405">
        <v>80</v>
      </c>
      <c r="S1405">
        <v>4116.6000000000004</v>
      </c>
    </row>
    <row r="1406" spans="1:19" x14ac:dyDescent="0.3">
      <c r="A1406" s="1" t="s">
        <v>1911</v>
      </c>
      <c r="B1406" s="4">
        <v>45985</v>
      </c>
      <c r="C1406" s="1" t="s">
        <v>615</v>
      </c>
      <c r="D1406" s="1" t="s">
        <v>40</v>
      </c>
      <c r="E1406" s="1" t="s">
        <v>49</v>
      </c>
      <c r="F1406" s="1" t="s">
        <v>50</v>
      </c>
      <c r="G1406" s="1" t="s">
        <v>24</v>
      </c>
      <c r="H1406" s="1" t="s">
        <v>34</v>
      </c>
      <c r="I1406" s="1" t="s">
        <v>81</v>
      </c>
      <c r="J1406" s="1" t="s">
        <v>82</v>
      </c>
      <c r="K1406" s="1" t="s">
        <v>61</v>
      </c>
      <c r="L1406">
        <v>1</v>
      </c>
      <c r="M1406">
        <v>2999</v>
      </c>
      <c r="N1406">
        <v>0</v>
      </c>
      <c r="O1406">
        <v>2999</v>
      </c>
      <c r="P1406">
        <v>1750</v>
      </c>
      <c r="Q1406">
        <v>1750</v>
      </c>
      <c r="R1406">
        <v>60</v>
      </c>
      <c r="S1406">
        <v>1189</v>
      </c>
    </row>
    <row r="1407" spans="1:19" x14ac:dyDescent="0.3">
      <c r="A1407" s="1" t="s">
        <v>1912</v>
      </c>
      <c r="B1407" s="4">
        <v>45985</v>
      </c>
      <c r="C1407" s="1" t="s">
        <v>101</v>
      </c>
      <c r="D1407" s="1" t="s">
        <v>40</v>
      </c>
      <c r="E1407" s="1" t="s">
        <v>120</v>
      </c>
      <c r="F1407" s="1" t="s">
        <v>121</v>
      </c>
      <c r="G1407" s="1" t="s">
        <v>42</v>
      </c>
      <c r="H1407" s="1" t="s">
        <v>25</v>
      </c>
      <c r="I1407" s="1" t="s">
        <v>72</v>
      </c>
      <c r="J1407" s="1" t="s">
        <v>73</v>
      </c>
      <c r="K1407" s="1" t="s">
        <v>28</v>
      </c>
      <c r="L1407">
        <v>2</v>
      </c>
      <c r="M1407">
        <v>2199</v>
      </c>
      <c r="N1407">
        <v>0</v>
      </c>
      <c r="O1407">
        <v>4398</v>
      </c>
      <c r="P1407">
        <v>1250</v>
      </c>
      <c r="Q1407">
        <v>2500</v>
      </c>
      <c r="R1407">
        <v>100</v>
      </c>
      <c r="S1407">
        <v>1798</v>
      </c>
    </row>
    <row r="1408" spans="1:19" x14ac:dyDescent="0.3">
      <c r="A1408" s="1" t="s">
        <v>1913</v>
      </c>
      <c r="B1408" s="4">
        <v>45985</v>
      </c>
      <c r="C1408" s="1" t="s">
        <v>1750</v>
      </c>
      <c r="D1408" s="1" t="s">
        <v>48</v>
      </c>
      <c r="E1408" s="1" t="s">
        <v>120</v>
      </c>
      <c r="F1408" s="1" t="s">
        <v>121</v>
      </c>
      <c r="G1408" s="1" t="s">
        <v>42</v>
      </c>
      <c r="H1408" s="1" t="s">
        <v>71</v>
      </c>
      <c r="I1408" s="1" t="s">
        <v>92</v>
      </c>
      <c r="J1408" s="1" t="s">
        <v>93</v>
      </c>
      <c r="K1408" s="1" t="s">
        <v>28</v>
      </c>
      <c r="L1408">
        <v>4</v>
      </c>
      <c r="M1408">
        <v>1599</v>
      </c>
      <c r="N1408">
        <v>0.2</v>
      </c>
      <c r="O1408">
        <v>5116.8</v>
      </c>
      <c r="P1408">
        <v>900</v>
      </c>
      <c r="Q1408">
        <v>3600</v>
      </c>
      <c r="R1408">
        <v>40</v>
      </c>
      <c r="S1408">
        <v>1476.8</v>
      </c>
    </row>
    <row r="1409" spans="1:19" x14ac:dyDescent="0.3">
      <c r="A1409" s="1" t="s">
        <v>1914</v>
      </c>
      <c r="B1409" s="4">
        <v>45985</v>
      </c>
      <c r="C1409" s="1" t="s">
        <v>828</v>
      </c>
      <c r="D1409" s="1" t="s">
        <v>48</v>
      </c>
      <c r="E1409" s="1" t="s">
        <v>124</v>
      </c>
      <c r="F1409" s="1" t="s">
        <v>125</v>
      </c>
      <c r="G1409" s="1" t="s">
        <v>42</v>
      </c>
      <c r="H1409" s="1" t="s">
        <v>71</v>
      </c>
      <c r="I1409" s="1" t="s">
        <v>72</v>
      </c>
      <c r="J1409" s="1" t="s">
        <v>73</v>
      </c>
      <c r="K1409" s="1" t="s">
        <v>28</v>
      </c>
      <c r="L1409">
        <v>1</v>
      </c>
      <c r="M1409">
        <v>2199</v>
      </c>
      <c r="N1409">
        <v>0.05</v>
      </c>
      <c r="O1409">
        <v>2089.0500000000002</v>
      </c>
      <c r="P1409">
        <v>1250</v>
      </c>
      <c r="Q1409">
        <v>1250</v>
      </c>
      <c r="R1409">
        <v>80</v>
      </c>
      <c r="S1409">
        <v>759.05</v>
      </c>
    </row>
    <row r="1410" spans="1:19" x14ac:dyDescent="0.3">
      <c r="A1410" s="1" t="s">
        <v>1915</v>
      </c>
      <c r="B1410" s="4">
        <v>45986</v>
      </c>
      <c r="C1410" s="1" t="s">
        <v>925</v>
      </c>
      <c r="D1410" s="1" t="s">
        <v>21</v>
      </c>
      <c r="E1410" s="1" t="s">
        <v>120</v>
      </c>
      <c r="F1410" s="1" t="s">
        <v>121</v>
      </c>
      <c r="G1410" s="1" t="s">
        <v>42</v>
      </c>
      <c r="H1410" s="1" t="s">
        <v>25</v>
      </c>
      <c r="I1410" s="1" t="s">
        <v>59</v>
      </c>
      <c r="J1410" s="1" t="s">
        <v>60</v>
      </c>
      <c r="K1410" s="1" t="s">
        <v>61</v>
      </c>
      <c r="L1410">
        <v>1</v>
      </c>
      <c r="M1410">
        <v>999</v>
      </c>
      <c r="N1410">
        <v>0.2</v>
      </c>
      <c r="O1410">
        <v>799.2</v>
      </c>
      <c r="P1410">
        <v>520</v>
      </c>
      <c r="Q1410">
        <v>520</v>
      </c>
      <c r="R1410">
        <v>100</v>
      </c>
      <c r="S1410">
        <v>179.2</v>
      </c>
    </row>
    <row r="1411" spans="1:19" x14ac:dyDescent="0.3">
      <c r="A1411" s="1" t="s">
        <v>1916</v>
      </c>
      <c r="B1411" s="4">
        <v>45986</v>
      </c>
      <c r="C1411" s="1" t="s">
        <v>202</v>
      </c>
      <c r="D1411" s="1" t="s">
        <v>40</v>
      </c>
      <c r="E1411" s="1" t="s">
        <v>41</v>
      </c>
      <c r="F1411" s="1" t="s">
        <v>32</v>
      </c>
      <c r="G1411" s="1" t="s">
        <v>33</v>
      </c>
      <c r="H1411" s="1" t="s">
        <v>25</v>
      </c>
      <c r="I1411" s="1" t="s">
        <v>72</v>
      </c>
      <c r="J1411" s="1" t="s">
        <v>73</v>
      </c>
      <c r="K1411" s="1" t="s">
        <v>28</v>
      </c>
      <c r="L1411">
        <v>1</v>
      </c>
      <c r="M1411">
        <v>2199</v>
      </c>
      <c r="N1411">
        <v>0</v>
      </c>
      <c r="O1411">
        <v>2199</v>
      </c>
      <c r="P1411">
        <v>1250</v>
      </c>
      <c r="Q1411">
        <v>1250</v>
      </c>
      <c r="R1411">
        <v>60</v>
      </c>
      <c r="S1411">
        <v>889</v>
      </c>
    </row>
    <row r="1412" spans="1:19" x14ac:dyDescent="0.3">
      <c r="A1412" s="1" t="s">
        <v>1917</v>
      </c>
      <c r="B1412" s="4">
        <v>45987</v>
      </c>
      <c r="C1412" s="1" t="s">
        <v>169</v>
      </c>
      <c r="D1412" s="1" t="s">
        <v>21</v>
      </c>
      <c r="E1412" s="1" t="s">
        <v>41</v>
      </c>
      <c r="F1412" s="1" t="s">
        <v>32</v>
      </c>
      <c r="G1412" s="1" t="s">
        <v>42</v>
      </c>
      <c r="H1412" s="1" t="s">
        <v>56</v>
      </c>
      <c r="I1412" s="1" t="s">
        <v>92</v>
      </c>
      <c r="J1412" s="1" t="s">
        <v>93</v>
      </c>
      <c r="K1412" s="1" t="s">
        <v>28</v>
      </c>
      <c r="L1412">
        <v>4</v>
      </c>
      <c r="M1412">
        <v>1599</v>
      </c>
      <c r="N1412">
        <v>0</v>
      </c>
      <c r="O1412">
        <v>6396</v>
      </c>
      <c r="P1412">
        <v>900</v>
      </c>
      <c r="Q1412">
        <v>3600</v>
      </c>
      <c r="R1412">
        <v>100</v>
      </c>
      <c r="S1412">
        <v>2696</v>
      </c>
    </row>
    <row r="1413" spans="1:19" x14ac:dyDescent="0.3">
      <c r="A1413" s="1" t="s">
        <v>1918</v>
      </c>
      <c r="B1413" s="4">
        <v>45987</v>
      </c>
      <c r="C1413" s="1" t="s">
        <v>167</v>
      </c>
      <c r="D1413" s="1" t="s">
        <v>40</v>
      </c>
      <c r="E1413" s="1" t="s">
        <v>80</v>
      </c>
      <c r="F1413" s="1" t="s">
        <v>55</v>
      </c>
      <c r="G1413" s="1" t="s">
        <v>24</v>
      </c>
      <c r="H1413" s="1" t="s">
        <v>71</v>
      </c>
      <c r="I1413" s="1" t="s">
        <v>43</v>
      </c>
      <c r="J1413" s="1" t="s">
        <v>44</v>
      </c>
      <c r="K1413" s="1" t="s">
        <v>45</v>
      </c>
      <c r="L1413">
        <v>4</v>
      </c>
      <c r="M1413">
        <v>1799</v>
      </c>
      <c r="N1413">
        <v>0.05</v>
      </c>
      <c r="O1413">
        <v>6836.2</v>
      </c>
      <c r="P1413">
        <v>850</v>
      </c>
      <c r="Q1413">
        <v>3400</v>
      </c>
      <c r="R1413">
        <v>80</v>
      </c>
      <c r="S1413">
        <v>3356.2</v>
      </c>
    </row>
    <row r="1414" spans="1:19" x14ac:dyDescent="0.3">
      <c r="A1414" s="1" t="s">
        <v>1919</v>
      </c>
      <c r="B1414" s="4">
        <v>45987</v>
      </c>
      <c r="C1414" s="1" t="s">
        <v>377</v>
      </c>
      <c r="D1414" s="1" t="s">
        <v>40</v>
      </c>
      <c r="E1414" s="1" t="s">
        <v>64</v>
      </c>
      <c r="F1414" s="1" t="s">
        <v>65</v>
      </c>
      <c r="G1414" s="1" t="s">
        <v>42</v>
      </c>
      <c r="H1414" s="1" t="s">
        <v>89</v>
      </c>
      <c r="I1414" s="1" t="s">
        <v>92</v>
      </c>
      <c r="J1414" s="1" t="s">
        <v>93</v>
      </c>
      <c r="K1414" s="1" t="s">
        <v>28</v>
      </c>
      <c r="L1414">
        <v>4</v>
      </c>
      <c r="M1414">
        <v>1599</v>
      </c>
      <c r="N1414">
        <v>0</v>
      </c>
      <c r="O1414">
        <v>6396</v>
      </c>
      <c r="P1414">
        <v>900</v>
      </c>
      <c r="Q1414">
        <v>3600</v>
      </c>
      <c r="R1414">
        <v>60</v>
      </c>
      <c r="S1414">
        <v>2736</v>
      </c>
    </row>
    <row r="1415" spans="1:19" x14ac:dyDescent="0.3">
      <c r="A1415" s="1" t="s">
        <v>1920</v>
      </c>
      <c r="B1415" s="4">
        <v>45987</v>
      </c>
      <c r="C1415" s="1" t="s">
        <v>846</v>
      </c>
      <c r="D1415" s="1" t="s">
        <v>21</v>
      </c>
      <c r="E1415" s="1" t="s">
        <v>112</v>
      </c>
      <c r="F1415" s="1" t="s">
        <v>113</v>
      </c>
      <c r="G1415" s="1" t="s">
        <v>42</v>
      </c>
      <c r="H1415" s="1" t="s">
        <v>25</v>
      </c>
      <c r="I1415" s="1" t="s">
        <v>81</v>
      </c>
      <c r="J1415" s="1" t="s">
        <v>82</v>
      </c>
      <c r="K1415" s="1" t="s">
        <v>61</v>
      </c>
      <c r="L1415">
        <v>4</v>
      </c>
      <c r="M1415">
        <v>2999</v>
      </c>
      <c r="N1415">
        <v>0.1</v>
      </c>
      <c r="O1415">
        <v>10796.4</v>
      </c>
      <c r="P1415">
        <v>1750</v>
      </c>
      <c r="Q1415">
        <v>7000</v>
      </c>
      <c r="R1415">
        <v>100</v>
      </c>
      <c r="S1415">
        <v>3696.4</v>
      </c>
    </row>
    <row r="1416" spans="1:19" x14ac:dyDescent="0.3">
      <c r="A1416" s="1" t="s">
        <v>1921</v>
      </c>
      <c r="B1416" s="4">
        <v>45988</v>
      </c>
      <c r="C1416" s="1" t="s">
        <v>976</v>
      </c>
      <c r="D1416" s="1" t="s">
        <v>48</v>
      </c>
      <c r="E1416" s="1" t="s">
        <v>96</v>
      </c>
      <c r="F1416" s="1" t="s">
        <v>97</v>
      </c>
      <c r="G1416" s="1" t="s">
        <v>42</v>
      </c>
      <c r="H1416" s="1" t="s">
        <v>89</v>
      </c>
      <c r="I1416" s="1" t="s">
        <v>43</v>
      </c>
      <c r="J1416" s="1" t="s">
        <v>44</v>
      </c>
      <c r="K1416" s="1" t="s">
        <v>45</v>
      </c>
      <c r="L1416">
        <v>1</v>
      </c>
      <c r="M1416">
        <v>1799</v>
      </c>
      <c r="N1416">
        <v>0.05</v>
      </c>
      <c r="O1416">
        <v>1709.05</v>
      </c>
      <c r="P1416">
        <v>850</v>
      </c>
      <c r="Q1416">
        <v>850</v>
      </c>
      <c r="R1416">
        <v>40</v>
      </c>
      <c r="S1416">
        <v>819.05</v>
      </c>
    </row>
    <row r="1417" spans="1:19" x14ac:dyDescent="0.3">
      <c r="A1417" s="1" t="s">
        <v>1922</v>
      </c>
      <c r="B1417" s="4">
        <v>45988</v>
      </c>
      <c r="C1417" s="1" t="s">
        <v>516</v>
      </c>
      <c r="D1417" s="1" t="s">
        <v>21</v>
      </c>
      <c r="E1417" s="1" t="s">
        <v>124</v>
      </c>
      <c r="F1417" s="1" t="s">
        <v>125</v>
      </c>
      <c r="G1417" s="1" t="s">
        <v>24</v>
      </c>
      <c r="H1417" s="1" t="s">
        <v>71</v>
      </c>
      <c r="I1417" s="1" t="s">
        <v>134</v>
      </c>
      <c r="J1417" s="1" t="s">
        <v>135</v>
      </c>
      <c r="K1417" s="1" t="s">
        <v>136</v>
      </c>
      <c r="L1417">
        <v>1</v>
      </c>
      <c r="M1417">
        <v>299</v>
      </c>
      <c r="N1417">
        <v>0</v>
      </c>
      <c r="O1417">
        <v>299</v>
      </c>
      <c r="P1417">
        <v>110</v>
      </c>
      <c r="Q1417">
        <v>110</v>
      </c>
      <c r="R1417">
        <v>80</v>
      </c>
      <c r="S1417">
        <v>109</v>
      </c>
    </row>
    <row r="1418" spans="1:19" x14ac:dyDescent="0.3">
      <c r="A1418" s="1" t="s">
        <v>1923</v>
      </c>
      <c r="B1418" s="4">
        <v>45989</v>
      </c>
      <c r="C1418" s="1" t="s">
        <v>692</v>
      </c>
      <c r="D1418" s="1" t="s">
        <v>40</v>
      </c>
      <c r="E1418" s="1" t="s">
        <v>80</v>
      </c>
      <c r="F1418" s="1" t="s">
        <v>55</v>
      </c>
      <c r="G1418" s="1" t="s">
        <v>33</v>
      </c>
      <c r="H1418" s="1" t="s">
        <v>56</v>
      </c>
      <c r="I1418" s="1" t="s">
        <v>43</v>
      </c>
      <c r="J1418" s="1" t="s">
        <v>44</v>
      </c>
      <c r="K1418" s="1" t="s">
        <v>45</v>
      </c>
      <c r="L1418">
        <v>4</v>
      </c>
      <c r="M1418">
        <v>1799</v>
      </c>
      <c r="N1418">
        <v>0</v>
      </c>
      <c r="O1418">
        <v>7196</v>
      </c>
      <c r="P1418">
        <v>850</v>
      </c>
      <c r="Q1418">
        <v>3400</v>
      </c>
      <c r="R1418">
        <v>80</v>
      </c>
      <c r="S1418">
        <v>3716</v>
      </c>
    </row>
    <row r="1419" spans="1:19" x14ac:dyDescent="0.3">
      <c r="A1419" s="1" t="s">
        <v>1924</v>
      </c>
      <c r="B1419" s="4">
        <v>45990</v>
      </c>
      <c r="C1419" s="1" t="s">
        <v>298</v>
      </c>
      <c r="D1419" s="1" t="s">
        <v>48</v>
      </c>
      <c r="E1419" s="1" t="s">
        <v>22</v>
      </c>
      <c r="F1419" s="1" t="s">
        <v>23</v>
      </c>
      <c r="G1419" s="1" t="s">
        <v>33</v>
      </c>
      <c r="H1419" s="1" t="s">
        <v>25</v>
      </c>
      <c r="I1419" s="1" t="s">
        <v>35</v>
      </c>
      <c r="J1419" s="1" t="s">
        <v>36</v>
      </c>
      <c r="K1419" s="1" t="s">
        <v>37</v>
      </c>
      <c r="L1419">
        <v>1</v>
      </c>
      <c r="M1419">
        <v>1299</v>
      </c>
      <c r="N1419">
        <v>0</v>
      </c>
      <c r="O1419">
        <v>1299</v>
      </c>
      <c r="P1419">
        <v>700</v>
      </c>
      <c r="Q1419">
        <v>700</v>
      </c>
      <c r="R1419">
        <v>100</v>
      </c>
      <c r="S1419">
        <v>499</v>
      </c>
    </row>
    <row r="1420" spans="1:19" x14ac:dyDescent="0.3">
      <c r="A1420" s="1" t="s">
        <v>1925</v>
      </c>
      <c r="B1420" s="4">
        <v>45990</v>
      </c>
      <c r="C1420" s="1" t="s">
        <v>161</v>
      </c>
      <c r="D1420" s="1" t="s">
        <v>48</v>
      </c>
      <c r="E1420" s="1" t="s">
        <v>112</v>
      </c>
      <c r="F1420" s="1" t="s">
        <v>113</v>
      </c>
      <c r="G1420" s="1" t="s">
        <v>24</v>
      </c>
      <c r="H1420" s="1" t="s">
        <v>25</v>
      </c>
      <c r="I1420" s="1" t="s">
        <v>85</v>
      </c>
      <c r="J1420" s="1" t="s">
        <v>86</v>
      </c>
      <c r="K1420" s="1" t="s">
        <v>45</v>
      </c>
      <c r="L1420">
        <v>4</v>
      </c>
      <c r="M1420">
        <v>599</v>
      </c>
      <c r="N1420">
        <v>0.1</v>
      </c>
      <c r="O1420">
        <v>2156.4</v>
      </c>
      <c r="P1420">
        <v>240</v>
      </c>
      <c r="Q1420">
        <v>960</v>
      </c>
      <c r="R1420">
        <v>60</v>
      </c>
      <c r="S1420">
        <v>1136.4000000000001</v>
      </c>
    </row>
    <row r="1421" spans="1:19" x14ac:dyDescent="0.3">
      <c r="A1421" s="1" t="s">
        <v>1926</v>
      </c>
      <c r="B1421" s="4">
        <v>45990</v>
      </c>
      <c r="C1421" s="1" t="s">
        <v>686</v>
      </c>
      <c r="D1421" s="1" t="s">
        <v>21</v>
      </c>
      <c r="E1421" s="1" t="s">
        <v>80</v>
      </c>
      <c r="F1421" s="1" t="s">
        <v>55</v>
      </c>
      <c r="G1421" s="1" t="s">
        <v>42</v>
      </c>
      <c r="H1421" s="1" t="s">
        <v>34</v>
      </c>
      <c r="I1421" s="1" t="s">
        <v>85</v>
      </c>
      <c r="J1421" s="1" t="s">
        <v>86</v>
      </c>
      <c r="K1421" s="1" t="s">
        <v>45</v>
      </c>
      <c r="L1421">
        <v>3</v>
      </c>
      <c r="M1421">
        <v>599</v>
      </c>
      <c r="N1421">
        <v>0.2</v>
      </c>
      <c r="O1421">
        <v>1437.6</v>
      </c>
      <c r="P1421">
        <v>240</v>
      </c>
      <c r="Q1421">
        <v>720</v>
      </c>
      <c r="R1421">
        <v>60</v>
      </c>
      <c r="S1421">
        <v>657.6</v>
      </c>
    </row>
    <row r="1422" spans="1:19" x14ac:dyDescent="0.3">
      <c r="A1422" s="1" t="s">
        <v>1927</v>
      </c>
      <c r="B1422" s="4">
        <v>45991</v>
      </c>
      <c r="C1422" s="1" t="s">
        <v>815</v>
      </c>
      <c r="D1422" s="1" t="s">
        <v>21</v>
      </c>
      <c r="E1422" s="1" t="s">
        <v>22</v>
      </c>
      <c r="F1422" s="1" t="s">
        <v>23</v>
      </c>
      <c r="G1422" s="1" t="s">
        <v>42</v>
      </c>
      <c r="H1422" s="1" t="s">
        <v>25</v>
      </c>
      <c r="I1422" s="1" t="s">
        <v>59</v>
      </c>
      <c r="J1422" s="1" t="s">
        <v>60</v>
      </c>
      <c r="K1422" s="1" t="s">
        <v>61</v>
      </c>
      <c r="L1422">
        <v>1</v>
      </c>
      <c r="M1422">
        <v>999</v>
      </c>
      <c r="N1422">
        <v>0</v>
      </c>
      <c r="O1422">
        <v>999</v>
      </c>
      <c r="P1422">
        <v>520</v>
      </c>
      <c r="Q1422">
        <v>520</v>
      </c>
      <c r="R1422">
        <v>40</v>
      </c>
      <c r="S1422">
        <v>439</v>
      </c>
    </row>
    <row r="1423" spans="1:19" x14ac:dyDescent="0.3">
      <c r="A1423" s="1" t="s">
        <v>1928</v>
      </c>
      <c r="B1423" s="4">
        <v>45991</v>
      </c>
      <c r="C1423" s="1" t="s">
        <v>1272</v>
      </c>
      <c r="D1423" s="1" t="s">
        <v>21</v>
      </c>
      <c r="E1423" s="1" t="s">
        <v>120</v>
      </c>
      <c r="F1423" s="1" t="s">
        <v>121</v>
      </c>
      <c r="G1423" s="1" t="s">
        <v>42</v>
      </c>
      <c r="H1423" s="1" t="s">
        <v>71</v>
      </c>
      <c r="I1423" s="1" t="s">
        <v>72</v>
      </c>
      <c r="J1423" s="1" t="s">
        <v>73</v>
      </c>
      <c r="K1423" s="1" t="s">
        <v>28</v>
      </c>
      <c r="L1423">
        <v>1</v>
      </c>
      <c r="M1423">
        <v>2199</v>
      </c>
      <c r="N1423">
        <v>0.05</v>
      </c>
      <c r="O1423">
        <v>2089.0500000000002</v>
      </c>
      <c r="P1423">
        <v>1250</v>
      </c>
      <c r="Q1423">
        <v>1250</v>
      </c>
      <c r="R1423">
        <v>40</v>
      </c>
      <c r="S1423">
        <v>799.05</v>
      </c>
    </row>
    <row r="1424" spans="1:19" x14ac:dyDescent="0.3">
      <c r="A1424" s="1" t="s">
        <v>1929</v>
      </c>
      <c r="B1424" s="4">
        <v>45991</v>
      </c>
      <c r="C1424" s="1" t="s">
        <v>379</v>
      </c>
      <c r="D1424" s="1" t="s">
        <v>21</v>
      </c>
      <c r="E1424" s="1" t="s">
        <v>124</v>
      </c>
      <c r="F1424" s="1" t="s">
        <v>125</v>
      </c>
      <c r="G1424" s="1" t="s">
        <v>24</v>
      </c>
      <c r="H1424" s="1" t="s">
        <v>89</v>
      </c>
      <c r="I1424" s="1" t="s">
        <v>85</v>
      </c>
      <c r="J1424" s="1" t="s">
        <v>86</v>
      </c>
      <c r="K1424" s="1" t="s">
        <v>45</v>
      </c>
      <c r="L1424">
        <v>3</v>
      </c>
      <c r="M1424">
        <v>599</v>
      </c>
      <c r="N1424">
        <v>0</v>
      </c>
      <c r="O1424">
        <v>1797</v>
      </c>
      <c r="P1424">
        <v>240</v>
      </c>
      <c r="Q1424">
        <v>720</v>
      </c>
      <c r="R1424">
        <v>60</v>
      </c>
      <c r="S1424">
        <v>1017</v>
      </c>
    </row>
    <row r="1425" spans="1:19" x14ac:dyDescent="0.3">
      <c r="A1425" s="1" t="s">
        <v>1930</v>
      </c>
      <c r="B1425" s="4">
        <v>45992</v>
      </c>
      <c r="C1425" s="1" t="s">
        <v>437</v>
      </c>
      <c r="D1425" s="1" t="s">
        <v>48</v>
      </c>
      <c r="E1425" s="1" t="s">
        <v>41</v>
      </c>
      <c r="F1425" s="1" t="s">
        <v>32</v>
      </c>
      <c r="G1425" s="1" t="s">
        <v>42</v>
      </c>
      <c r="H1425" s="1" t="s">
        <v>56</v>
      </c>
      <c r="I1425" s="1" t="s">
        <v>134</v>
      </c>
      <c r="J1425" s="1" t="s">
        <v>135</v>
      </c>
      <c r="K1425" s="1" t="s">
        <v>136</v>
      </c>
      <c r="L1425">
        <v>1</v>
      </c>
      <c r="M1425">
        <v>299</v>
      </c>
      <c r="N1425">
        <v>0.1</v>
      </c>
      <c r="O1425">
        <v>269.10000000000002</v>
      </c>
      <c r="P1425">
        <v>110</v>
      </c>
      <c r="Q1425">
        <v>110</v>
      </c>
      <c r="R1425">
        <v>40</v>
      </c>
      <c r="S1425">
        <v>119.1</v>
      </c>
    </row>
    <row r="1426" spans="1:19" x14ac:dyDescent="0.3">
      <c r="A1426" s="1" t="s">
        <v>1931</v>
      </c>
      <c r="B1426" s="4">
        <v>45992</v>
      </c>
      <c r="C1426" s="1" t="s">
        <v>1932</v>
      </c>
      <c r="D1426" s="1" t="s">
        <v>40</v>
      </c>
      <c r="E1426" s="1" t="s">
        <v>70</v>
      </c>
      <c r="F1426" s="1" t="s">
        <v>70</v>
      </c>
      <c r="G1426" s="1" t="s">
        <v>24</v>
      </c>
      <c r="H1426" s="1" t="s">
        <v>89</v>
      </c>
      <c r="I1426" s="1" t="s">
        <v>51</v>
      </c>
      <c r="J1426" s="1" t="s">
        <v>52</v>
      </c>
      <c r="K1426" s="1" t="s">
        <v>37</v>
      </c>
      <c r="L1426">
        <v>3</v>
      </c>
      <c r="M1426">
        <v>499</v>
      </c>
      <c r="N1426">
        <v>0.05</v>
      </c>
      <c r="O1426">
        <v>1422.15</v>
      </c>
      <c r="P1426">
        <v>180</v>
      </c>
      <c r="Q1426">
        <v>540</v>
      </c>
      <c r="R1426">
        <v>100</v>
      </c>
      <c r="S1426">
        <v>782.15</v>
      </c>
    </row>
    <row r="1427" spans="1:19" x14ac:dyDescent="0.3">
      <c r="A1427" s="1" t="s">
        <v>1933</v>
      </c>
      <c r="B1427" s="4">
        <v>45992</v>
      </c>
      <c r="C1427" s="1" t="s">
        <v>192</v>
      </c>
      <c r="D1427" s="1" t="s">
        <v>21</v>
      </c>
      <c r="E1427" s="1" t="s">
        <v>31</v>
      </c>
      <c r="F1427" s="1" t="s">
        <v>32</v>
      </c>
      <c r="G1427" s="1" t="s">
        <v>24</v>
      </c>
      <c r="H1427" s="1" t="s">
        <v>25</v>
      </c>
      <c r="I1427" s="1" t="s">
        <v>76</v>
      </c>
      <c r="J1427" s="1" t="s">
        <v>77</v>
      </c>
      <c r="K1427" s="1" t="s">
        <v>37</v>
      </c>
      <c r="L1427">
        <v>2</v>
      </c>
      <c r="M1427">
        <v>6999</v>
      </c>
      <c r="N1427">
        <v>0.15</v>
      </c>
      <c r="O1427">
        <v>11898.3</v>
      </c>
      <c r="P1427">
        <v>4900</v>
      </c>
      <c r="Q1427">
        <v>9800</v>
      </c>
      <c r="R1427">
        <v>60</v>
      </c>
      <c r="S1427">
        <v>2038.3</v>
      </c>
    </row>
    <row r="1428" spans="1:19" x14ac:dyDescent="0.3">
      <c r="A1428" s="1" t="s">
        <v>1934</v>
      </c>
      <c r="B1428" s="4">
        <v>45993</v>
      </c>
      <c r="C1428" s="1" t="s">
        <v>63</v>
      </c>
      <c r="D1428" s="1" t="s">
        <v>40</v>
      </c>
      <c r="E1428" s="1" t="s">
        <v>80</v>
      </c>
      <c r="F1428" s="1" t="s">
        <v>55</v>
      </c>
      <c r="G1428" s="1" t="s">
        <v>42</v>
      </c>
      <c r="H1428" s="1" t="s">
        <v>89</v>
      </c>
      <c r="I1428" s="1" t="s">
        <v>81</v>
      </c>
      <c r="J1428" s="1" t="s">
        <v>82</v>
      </c>
      <c r="K1428" s="1" t="s">
        <v>61</v>
      </c>
      <c r="L1428">
        <v>1</v>
      </c>
      <c r="M1428">
        <v>2999</v>
      </c>
      <c r="N1428">
        <v>0.2</v>
      </c>
      <c r="O1428">
        <v>2399.1999999999998</v>
      </c>
      <c r="P1428">
        <v>1750</v>
      </c>
      <c r="Q1428">
        <v>1750</v>
      </c>
      <c r="R1428">
        <v>0</v>
      </c>
      <c r="S1428">
        <v>649.20000000000005</v>
      </c>
    </row>
    <row r="1429" spans="1:19" x14ac:dyDescent="0.3">
      <c r="A1429" s="1" t="s">
        <v>1935</v>
      </c>
      <c r="B1429" s="4">
        <v>45993</v>
      </c>
      <c r="C1429" s="1" t="s">
        <v>815</v>
      </c>
      <c r="D1429" s="1" t="s">
        <v>40</v>
      </c>
      <c r="E1429" s="1" t="s">
        <v>70</v>
      </c>
      <c r="F1429" s="1" t="s">
        <v>70</v>
      </c>
      <c r="G1429" s="1" t="s">
        <v>33</v>
      </c>
      <c r="H1429" s="1" t="s">
        <v>34</v>
      </c>
      <c r="I1429" s="1" t="s">
        <v>81</v>
      </c>
      <c r="J1429" s="1" t="s">
        <v>82</v>
      </c>
      <c r="K1429" s="1" t="s">
        <v>61</v>
      </c>
      <c r="L1429">
        <v>3</v>
      </c>
      <c r="M1429">
        <v>2999</v>
      </c>
      <c r="N1429">
        <v>0.05</v>
      </c>
      <c r="O1429">
        <v>8547.15</v>
      </c>
      <c r="P1429">
        <v>1750</v>
      </c>
      <c r="Q1429">
        <v>5250</v>
      </c>
      <c r="R1429">
        <v>0</v>
      </c>
      <c r="S1429">
        <v>3297.15</v>
      </c>
    </row>
    <row r="1430" spans="1:19" x14ac:dyDescent="0.3">
      <c r="A1430" s="1" t="s">
        <v>1936</v>
      </c>
      <c r="B1430" s="4">
        <v>45993</v>
      </c>
      <c r="C1430" s="1" t="s">
        <v>325</v>
      </c>
      <c r="D1430" s="1" t="s">
        <v>21</v>
      </c>
      <c r="E1430" s="1" t="s">
        <v>70</v>
      </c>
      <c r="F1430" s="1" t="s">
        <v>70</v>
      </c>
      <c r="G1430" s="1" t="s">
        <v>33</v>
      </c>
      <c r="H1430" s="1" t="s">
        <v>34</v>
      </c>
      <c r="I1430" s="1" t="s">
        <v>59</v>
      </c>
      <c r="J1430" s="1" t="s">
        <v>60</v>
      </c>
      <c r="K1430" s="1" t="s">
        <v>61</v>
      </c>
      <c r="L1430">
        <v>1</v>
      </c>
      <c r="M1430">
        <v>999</v>
      </c>
      <c r="N1430">
        <v>0</v>
      </c>
      <c r="O1430">
        <v>999</v>
      </c>
      <c r="P1430">
        <v>520</v>
      </c>
      <c r="Q1430">
        <v>520</v>
      </c>
      <c r="R1430">
        <v>0</v>
      </c>
      <c r="S1430">
        <v>479</v>
      </c>
    </row>
    <row r="1431" spans="1:19" x14ac:dyDescent="0.3">
      <c r="A1431" s="1" t="s">
        <v>1937</v>
      </c>
      <c r="B1431" s="4">
        <v>45993</v>
      </c>
      <c r="C1431" s="1" t="s">
        <v>711</v>
      </c>
      <c r="D1431" s="1" t="s">
        <v>48</v>
      </c>
      <c r="E1431" s="1" t="s">
        <v>70</v>
      </c>
      <c r="F1431" s="1" t="s">
        <v>70</v>
      </c>
      <c r="G1431" s="1" t="s">
        <v>33</v>
      </c>
      <c r="H1431" s="1" t="s">
        <v>25</v>
      </c>
      <c r="I1431" s="1" t="s">
        <v>43</v>
      </c>
      <c r="J1431" s="1" t="s">
        <v>44</v>
      </c>
      <c r="K1431" s="1" t="s">
        <v>45</v>
      </c>
      <c r="L1431">
        <v>5</v>
      </c>
      <c r="M1431">
        <v>1799</v>
      </c>
      <c r="N1431">
        <v>0.1</v>
      </c>
      <c r="O1431">
        <v>8095.5</v>
      </c>
      <c r="P1431">
        <v>850</v>
      </c>
      <c r="Q1431">
        <v>4250</v>
      </c>
      <c r="R1431">
        <v>40</v>
      </c>
      <c r="S1431">
        <v>3805.5</v>
      </c>
    </row>
    <row r="1432" spans="1:19" x14ac:dyDescent="0.3">
      <c r="A1432" s="1" t="s">
        <v>1938</v>
      </c>
      <c r="B1432" s="4">
        <v>45994</v>
      </c>
      <c r="C1432" s="1" t="s">
        <v>246</v>
      </c>
      <c r="D1432" s="1" t="s">
        <v>48</v>
      </c>
      <c r="E1432" s="1" t="s">
        <v>64</v>
      </c>
      <c r="F1432" s="1" t="s">
        <v>65</v>
      </c>
      <c r="G1432" s="1" t="s">
        <v>42</v>
      </c>
      <c r="H1432" s="1" t="s">
        <v>71</v>
      </c>
      <c r="I1432" s="1" t="s">
        <v>59</v>
      </c>
      <c r="J1432" s="1" t="s">
        <v>60</v>
      </c>
      <c r="K1432" s="1" t="s">
        <v>61</v>
      </c>
      <c r="L1432">
        <v>3</v>
      </c>
      <c r="M1432">
        <v>999</v>
      </c>
      <c r="N1432">
        <v>0.05</v>
      </c>
      <c r="O1432">
        <v>2847.15</v>
      </c>
      <c r="P1432">
        <v>520</v>
      </c>
      <c r="Q1432">
        <v>1560</v>
      </c>
      <c r="R1432">
        <v>80</v>
      </c>
      <c r="S1432">
        <v>1207.1500000000001</v>
      </c>
    </row>
    <row r="1433" spans="1:19" x14ac:dyDescent="0.3">
      <c r="A1433" s="1" t="s">
        <v>1939</v>
      </c>
      <c r="B1433" s="4">
        <v>45994</v>
      </c>
      <c r="C1433" s="1" t="s">
        <v>238</v>
      </c>
      <c r="D1433" s="1" t="s">
        <v>40</v>
      </c>
      <c r="E1433" s="1" t="s">
        <v>22</v>
      </c>
      <c r="F1433" s="1" t="s">
        <v>23</v>
      </c>
      <c r="G1433" s="1" t="s">
        <v>24</v>
      </c>
      <c r="H1433" s="1" t="s">
        <v>71</v>
      </c>
      <c r="I1433" s="1" t="s">
        <v>72</v>
      </c>
      <c r="J1433" s="1" t="s">
        <v>73</v>
      </c>
      <c r="K1433" s="1" t="s">
        <v>28</v>
      </c>
      <c r="L1433">
        <v>5</v>
      </c>
      <c r="M1433">
        <v>2199</v>
      </c>
      <c r="N1433">
        <v>0.15</v>
      </c>
      <c r="O1433">
        <v>9345.75</v>
      </c>
      <c r="P1433">
        <v>1250</v>
      </c>
      <c r="Q1433">
        <v>6250</v>
      </c>
      <c r="R1433">
        <v>80</v>
      </c>
      <c r="S1433">
        <v>3015.75</v>
      </c>
    </row>
    <row r="1434" spans="1:19" x14ac:dyDescent="0.3">
      <c r="A1434" s="1" t="s">
        <v>1940</v>
      </c>
      <c r="B1434" s="4">
        <v>45994</v>
      </c>
      <c r="C1434" s="1" t="s">
        <v>1213</v>
      </c>
      <c r="D1434" s="1" t="s">
        <v>21</v>
      </c>
      <c r="E1434" s="1" t="s">
        <v>80</v>
      </c>
      <c r="F1434" s="1" t="s">
        <v>55</v>
      </c>
      <c r="G1434" s="1" t="s">
        <v>33</v>
      </c>
      <c r="H1434" s="1" t="s">
        <v>56</v>
      </c>
      <c r="I1434" s="1" t="s">
        <v>81</v>
      </c>
      <c r="J1434" s="1" t="s">
        <v>82</v>
      </c>
      <c r="K1434" s="1" t="s">
        <v>61</v>
      </c>
      <c r="L1434">
        <v>4</v>
      </c>
      <c r="M1434">
        <v>2999</v>
      </c>
      <c r="N1434">
        <v>0.15</v>
      </c>
      <c r="O1434">
        <v>10196.6</v>
      </c>
      <c r="P1434">
        <v>1750</v>
      </c>
      <c r="Q1434">
        <v>7000</v>
      </c>
      <c r="R1434">
        <v>100</v>
      </c>
      <c r="S1434">
        <v>3096.6</v>
      </c>
    </row>
    <row r="1435" spans="1:19" x14ac:dyDescent="0.3">
      <c r="A1435" s="1" t="s">
        <v>1941</v>
      </c>
      <c r="B1435" s="4">
        <v>45996</v>
      </c>
      <c r="C1435" s="1" t="s">
        <v>451</v>
      </c>
      <c r="D1435" s="1" t="s">
        <v>21</v>
      </c>
      <c r="E1435" s="1" t="s">
        <v>49</v>
      </c>
      <c r="F1435" s="1" t="s">
        <v>50</v>
      </c>
      <c r="G1435" s="1" t="s">
        <v>33</v>
      </c>
      <c r="H1435" s="1" t="s">
        <v>89</v>
      </c>
      <c r="I1435" s="1" t="s">
        <v>35</v>
      </c>
      <c r="J1435" s="1" t="s">
        <v>36</v>
      </c>
      <c r="K1435" s="1" t="s">
        <v>37</v>
      </c>
      <c r="L1435">
        <v>2</v>
      </c>
      <c r="M1435">
        <v>1299</v>
      </c>
      <c r="N1435">
        <v>0.2</v>
      </c>
      <c r="O1435">
        <v>2078.4</v>
      </c>
      <c r="P1435">
        <v>700</v>
      </c>
      <c r="Q1435">
        <v>1400</v>
      </c>
      <c r="R1435">
        <v>100</v>
      </c>
      <c r="S1435">
        <v>578.4</v>
      </c>
    </row>
    <row r="1436" spans="1:19" x14ac:dyDescent="0.3">
      <c r="A1436" s="1" t="s">
        <v>1942</v>
      </c>
      <c r="B1436" s="4">
        <v>45997</v>
      </c>
      <c r="C1436" s="1" t="s">
        <v>1943</v>
      </c>
      <c r="D1436" s="1" t="s">
        <v>40</v>
      </c>
      <c r="E1436" s="1" t="s">
        <v>70</v>
      </c>
      <c r="F1436" s="1" t="s">
        <v>70</v>
      </c>
      <c r="G1436" s="1" t="s">
        <v>33</v>
      </c>
      <c r="H1436" s="1" t="s">
        <v>34</v>
      </c>
      <c r="I1436" s="1" t="s">
        <v>43</v>
      </c>
      <c r="J1436" s="1" t="s">
        <v>44</v>
      </c>
      <c r="K1436" s="1" t="s">
        <v>45</v>
      </c>
      <c r="L1436">
        <v>3</v>
      </c>
      <c r="M1436">
        <v>1799</v>
      </c>
      <c r="N1436">
        <v>0.1</v>
      </c>
      <c r="O1436">
        <v>4857.3</v>
      </c>
      <c r="P1436">
        <v>850</v>
      </c>
      <c r="Q1436">
        <v>2550</v>
      </c>
      <c r="R1436">
        <v>40</v>
      </c>
      <c r="S1436">
        <v>2267.3000000000002</v>
      </c>
    </row>
    <row r="1437" spans="1:19" x14ac:dyDescent="0.3">
      <c r="A1437" s="1" t="s">
        <v>1944</v>
      </c>
      <c r="B1437" s="4">
        <v>45998</v>
      </c>
      <c r="C1437" s="1" t="s">
        <v>273</v>
      </c>
      <c r="D1437" s="1" t="s">
        <v>21</v>
      </c>
      <c r="E1437" s="1" t="s">
        <v>70</v>
      </c>
      <c r="F1437" s="1" t="s">
        <v>70</v>
      </c>
      <c r="G1437" s="1" t="s">
        <v>42</v>
      </c>
      <c r="H1437" s="1" t="s">
        <v>25</v>
      </c>
      <c r="I1437" s="1" t="s">
        <v>59</v>
      </c>
      <c r="J1437" s="1" t="s">
        <v>60</v>
      </c>
      <c r="K1437" s="1" t="s">
        <v>61</v>
      </c>
      <c r="L1437">
        <v>4</v>
      </c>
      <c r="M1437">
        <v>999</v>
      </c>
      <c r="N1437">
        <v>0</v>
      </c>
      <c r="O1437">
        <v>3996</v>
      </c>
      <c r="P1437">
        <v>520</v>
      </c>
      <c r="Q1437">
        <v>2080</v>
      </c>
      <c r="R1437">
        <v>40</v>
      </c>
      <c r="S1437">
        <v>1876</v>
      </c>
    </row>
    <row r="1438" spans="1:19" x14ac:dyDescent="0.3">
      <c r="A1438" s="1" t="s">
        <v>1945</v>
      </c>
      <c r="B1438" s="4">
        <v>45998</v>
      </c>
      <c r="C1438" s="1" t="s">
        <v>679</v>
      </c>
      <c r="D1438" s="1" t="s">
        <v>40</v>
      </c>
      <c r="E1438" s="1" t="s">
        <v>31</v>
      </c>
      <c r="F1438" s="1" t="s">
        <v>32</v>
      </c>
      <c r="G1438" s="1" t="s">
        <v>42</v>
      </c>
      <c r="H1438" s="1" t="s">
        <v>34</v>
      </c>
      <c r="I1438" s="1" t="s">
        <v>66</v>
      </c>
      <c r="J1438" s="1" t="s">
        <v>67</v>
      </c>
      <c r="K1438" s="1" t="s">
        <v>28</v>
      </c>
      <c r="L1438">
        <v>2</v>
      </c>
      <c r="M1438">
        <v>2499</v>
      </c>
      <c r="N1438">
        <v>0.05</v>
      </c>
      <c r="O1438">
        <v>4748.1000000000004</v>
      </c>
      <c r="P1438">
        <v>1450</v>
      </c>
      <c r="Q1438">
        <v>2900</v>
      </c>
      <c r="R1438">
        <v>60</v>
      </c>
      <c r="S1438">
        <v>1788.1</v>
      </c>
    </row>
    <row r="1439" spans="1:19" x14ac:dyDescent="0.3">
      <c r="A1439" s="1" t="s">
        <v>1946</v>
      </c>
      <c r="B1439" s="4">
        <v>46001</v>
      </c>
      <c r="C1439" s="1" t="s">
        <v>673</v>
      </c>
      <c r="D1439" s="1" t="s">
        <v>48</v>
      </c>
      <c r="E1439" s="1" t="s">
        <v>112</v>
      </c>
      <c r="F1439" s="1" t="s">
        <v>113</v>
      </c>
      <c r="G1439" s="1" t="s">
        <v>24</v>
      </c>
      <c r="H1439" s="1" t="s">
        <v>34</v>
      </c>
      <c r="I1439" s="1" t="s">
        <v>59</v>
      </c>
      <c r="J1439" s="1" t="s">
        <v>60</v>
      </c>
      <c r="K1439" s="1" t="s">
        <v>61</v>
      </c>
      <c r="L1439">
        <v>2</v>
      </c>
      <c r="M1439">
        <v>999</v>
      </c>
      <c r="N1439">
        <v>0.05</v>
      </c>
      <c r="O1439">
        <v>1898.1</v>
      </c>
      <c r="P1439">
        <v>520</v>
      </c>
      <c r="Q1439">
        <v>1040</v>
      </c>
      <c r="R1439">
        <v>100</v>
      </c>
      <c r="S1439">
        <v>758.1</v>
      </c>
    </row>
    <row r="1440" spans="1:19" x14ac:dyDescent="0.3">
      <c r="A1440" s="1" t="s">
        <v>1947</v>
      </c>
      <c r="B1440" s="4">
        <v>46001</v>
      </c>
      <c r="C1440" s="1" t="s">
        <v>761</v>
      </c>
      <c r="D1440" s="1" t="s">
        <v>21</v>
      </c>
      <c r="E1440" s="1" t="s">
        <v>54</v>
      </c>
      <c r="F1440" s="1" t="s">
        <v>55</v>
      </c>
      <c r="G1440" s="1" t="s">
        <v>24</v>
      </c>
      <c r="H1440" s="1" t="s">
        <v>56</v>
      </c>
      <c r="I1440" s="1" t="s">
        <v>134</v>
      </c>
      <c r="J1440" s="1" t="s">
        <v>135</v>
      </c>
      <c r="K1440" s="1" t="s">
        <v>136</v>
      </c>
      <c r="L1440">
        <v>3</v>
      </c>
      <c r="M1440">
        <v>299</v>
      </c>
      <c r="N1440">
        <v>0</v>
      </c>
      <c r="O1440">
        <v>897</v>
      </c>
      <c r="P1440">
        <v>110</v>
      </c>
      <c r="Q1440">
        <v>330</v>
      </c>
      <c r="R1440">
        <v>80</v>
      </c>
      <c r="S1440">
        <v>487</v>
      </c>
    </row>
    <row r="1441" spans="1:19" x14ac:dyDescent="0.3">
      <c r="A1441" s="1" t="s">
        <v>1948</v>
      </c>
      <c r="B1441" s="4">
        <v>46001</v>
      </c>
      <c r="C1441" s="1" t="s">
        <v>1870</v>
      </c>
      <c r="D1441" s="1" t="s">
        <v>48</v>
      </c>
      <c r="E1441" s="1" t="s">
        <v>112</v>
      </c>
      <c r="F1441" s="1" t="s">
        <v>113</v>
      </c>
      <c r="G1441" s="1" t="s">
        <v>33</v>
      </c>
      <c r="H1441" s="1" t="s">
        <v>89</v>
      </c>
      <c r="I1441" s="1" t="s">
        <v>76</v>
      </c>
      <c r="J1441" s="1" t="s">
        <v>77</v>
      </c>
      <c r="K1441" s="1" t="s">
        <v>37</v>
      </c>
      <c r="L1441">
        <v>1</v>
      </c>
      <c r="M1441">
        <v>6999</v>
      </c>
      <c r="N1441">
        <v>0.1</v>
      </c>
      <c r="O1441">
        <v>6299.1</v>
      </c>
      <c r="P1441">
        <v>4900</v>
      </c>
      <c r="Q1441">
        <v>4900</v>
      </c>
      <c r="R1441">
        <v>80</v>
      </c>
      <c r="S1441">
        <v>1319.1</v>
      </c>
    </row>
    <row r="1442" spans="1:19" x14ac:dyDescent="0.3">
      <c r="A1442" s="1" t="s">
        <v>1949</v>
      </c>
      <c r="B1442" s="4">
        <v>46002</v>
      </c>
      <c r="C1442" s="1" t="s">
        <v>457</v>
      </c>
      <c r="D1442" s="1" t="s">
        <v>21</v>
      </c>
      <c r="E1442" s="1" t="s">
        <v>54</v>
      </c>
      <c r="F1442" s="1" t="s">
        <v>55</v>
      </c>
      <c r="G1442" s="1" t="s">
        <v>24</v>
      </c>
      <c r="H1442" s="1" t="s">
        <v>56</v>
      </c>
      <c r="I1442" s="1" t="s">
        <v>66</v>
      </c>
      <c r="J1442" s="1" t="s">
        <v>67</v>
      </c>
      <c r="K1442" s="1" t="s">
        <v>28</v>
      </c>
      <c r="L1442">
        <v>2</v>
      </c>
      <c r="M1442">
        <v>2499</v>
      </c>
      <c r="N1442">
        <v>0.05</v>
      </c>
      <c r="O1442">
        <v>4748.1000000000004</v>
      </c>
      <c r="P1442">
        <v>1450</v>
      </c>
      <c r="Q1442">
        <v>2900</v>
      </c>
      <c r="R1442">
        <v>0</v>
      </c>
      <c r="S1442">
        <v>1848.1</v>
      </c>
    </row>
    <row r="1443" spans="1:19" x14ac:dyDescent="0.3">
      <c r="A1443" s="1" t="s">
        <v>1950</v>
      </c>
      <c r="B1443" s="4">
        <v>46002</v>
      </c>
      <c r="C1443" s="1" t="s">
        <v>259</v>
      </c>
      <c r="D1443" s="1" t="s">
        <v>48</v>
      </c>
      <c r="E1443" s="1" t="s">
        <v>120</v>
      </c>
      <c r="F1443" s="1" t="s">
        <v>121</v>
      </c>
      <c r="G1443" s="1" t="s">
        <v>24</v>
      </c>
      <c r="H1443" s="1" t="s">
        <v>34</v>
      </c>
      <c r="I1443" s="1" t="s">
        <v>76</v>
      </c>
      <c r="J1443" s="1" t="s">
        <v>77</v>
      </c>
      <c r="K1443" s="1" t="s">
        <v>37</v>
      </c>
      <c r="L1443">
        <v>1</v>
      </c>
      <c r="M1443">
        <v>6999</v>
      </c>
      <c r="N1443">
        <v>0</v>
      </c>
      <c r="O1443">
        <v>6999</v>
      </c>
      <c r="P1443">
        <v>4900</v>
      </c>
      <c r="Q1443">
        <v>4900</v>
      </c>
      <c r="R1443">
        <v>60</v>
      </c>
      <c r="S1443">
        <v>2039</v>
      </c>
    </row>
    <row r="1444" spans="1:19" x14ac:dyDescent="0.3">
      <c r="A1444" s="1" t="s">
        <v>1951</v>
      </c>
      <c r="B1444" s="4">
        <v>46002</v>
      </c>
      <c r="C1444" s="1" t="s">
        <v>1014</v>
      </c>
      <c r="D1444" s="1" t="s">
        <v>40</v>
      </c>
      <c r="E1444" s="1" t="s">
        <v>54</v>
      </c>
      <c r="F1444" s="1" t="s">
        <v>55</v>
      </c>
      <c r="G1444" s="1" t="s">
        <v>33</v>
      </c>
      <c r="H1444" s="1" t="s">
        <v>71</v>
      </c>
      <c r="I1444" s="1" t="s">
        <v>43</v>
      </c>
      <c r="J1444" s="1" t="s">
        <v>44</v>
      </c>
      <c r="K1444" s="1" t="s">
        <v>45</v>
      </c>
      <c r="L1444">
        <v>1</v>
      </c>
      <c r="M1444">
        <v>1799</v>
      </c>
      <c r="N1444">
        <v>0.1</v>
      </c>
      <c r="O1444">
        <v>1619.1</v>
      </c>
      <c r="P1444">
        <v>850</v>
      </c>
      <c r="Q1444">
        <v>850</v>
      </c>
      <c r="R1444">
        <v>100</v>
      </c>
      <c r="S1444">
        <v>669.1</v>
      </c>
    </row>
    <row r="1445" spans="1:19" x14ac:dyDescent="0.3">
      <c r="A1445" s="1" t="s">
        <v>1952</v>
      </c>
      <c r="B1445" s="4">
        <v>46003</v>
      </c>
      <c r="C1445" s="1" t="s">
        <v>367</v>
      </c>
      <c r="D1445" s="1" t="s">
        <v>40</v>
      </c>
      <c r="E1445" s="1" t="s">
        <v>49</v>
      </c>
      <c r="F1445" s="1" t="s">
        <v>50</v>
      </c>
      <c r="G1445" s="1" t="s">
        <v>24</v>
      </c>
      <c r="H1445" s="1" t="s">
        <v>25</v>
      </c>
      <c r="I1445" s="1" t="s">
        <v>35</v>
      </c>
      <c r="J1445" s="1" t="s">
        <v>36</v>
      </c>
      <c r="K1445" s="1" t="s">
        <v>37</v>
      </c>
      <c r="L1445">
        <v>1</v>
      </c>
      <c r="M1445">
        <v>1299</v>
      </c>
      <c r="N1445">
        <v>0.1</v>
      </c>
      <c r="O1445">
        <v>1169.0999999999999</v>
      </c>
      <c r="P1445">
        <v>700</v>
      </c>
      <c r="Q1445">
        <v>700</v>
      </c>
      <c r="R1445">
        <v>100</v>
      </c>
      <c r="S1445">
        <v>369.1</v>
      </c>
    </row>
    <row r="1446" spans="1:19" x14ac:dyDescent="0.3">
      <c r="A1446" s="1" t="s">
        <v>1953</v>
      </c>
      <c r="B1446" s="4">
        <v>46004</v>
      </c>
      <c r="C1446" s="1" t="s">
        <v>855</v>
      </c>
      <c r="D1446" s="1" t="s">
        <v>40</v>
      </c>
      <c r="E1446" s="1" t="s">
        <v>31</v>
      </c>
      <c r="F1446" s="1" t="s">
        <v>32</v>
      </c>
      <c r="G1446" s="1" t="s">
        <v>42</v>
      </c>
      <c r="H1446" s="1" t="s">
        <v>71</v>
      </c>
      <c r="I1446" s="1" t="s">
        <v>92</v>
      </c>
      <c r="J1446" s="1" t="s">
        <v>93</v>
      </c>
      <c r="K1446" s="1" t="s">
        <v>28</v>
      </c>
      <c r="L1446">
        <v>3</v>
      </c>
      <c r="M1446">
        <v>1599</v>
      </c>
      <c r="N1446">
        <v>0.1</v>
      </c>
      <c r="O1446">
        <v>4317.3</v>
      </c>
      <c r="P1446">
        <v>900</v>
      </c>
      <c r="Q1446">
        <v>2700</v>
      </c>
      <c r="R1446">
        <v>80</v>
      </c>
      <c r="S1446">
        <v>1537.3</v>
      </c>
    </row>
    <row r="1447" spans="1:19" x14ac:dyDescent="0.3">
      <c r="A1447" s="1" t="s">
        <v>1954</v>
      </c>
      <c r="B1447" s="4">
        <v>46004</v>
      </c>
      <c r="C1447" s="1" t="s">
        <v>1048</v>
      </c>
      <c r="D1447" s="1" t="s">
        <v>21</v>
      </c>
      <c r="E1447" s="1" t="s">
        <v>70</v>
      </c>
      <c r="F1447" s="1" t="s">
        <v>70</v>
      </c>
      <c r="G1447" s="1" t="s">
        <v>42</v>
      </c>
      <c r="H1447" s="1" t="s">
        <v>89</v>
      </c>
      <c r="I1447" s="1" t="s">
        <v>92</v>
      </c>
      <c r="J1447" s="1" t="s">
        <v>93</v>
      </c>
      <c r="K1447" s="1" t="s">
        <v>28</v>
      </c>
      <c r="L1447">
        <v>1</v>
      </c>
      <c r="M1447">
        <v>1599</v>
      </c>
      <c r="N1447">
        <v>0.1</v>
      </c>
      <c r="O1447">
        <v>1439.1</v>
      </c>
      <c r="P1447">
        <v>900</v>
      </c>
      <c r="Q1447">
        <v>900</v>
      </c>
      <c r="R1447">
        <v>100</v>
      </c>
      <c r="S1447">
        <v>439.1</v>
      </c>
    </row>
    <row r="1448" spans="1:19" x14ac:dyDescent="0.3">
      <c r="A1448" s="1" t="s">
        <v>1955</v>
      </c>
      <c r="B1448" s="4">
        <v>46005</v>
      </c>
      <c r="C1448" s="1" t="s">
        <v>99</v>
      </c>
      <c r="D1448" s="1" t="s">
        <v>48</v>
      </c>
      <c r="E1448" s="1" t="s">
        <v>120</v>
      </c>
      <c r="F1448" s="1" t="s">
        <v>121</v>
      </c>
      <c r="G1448" s="1" t="s">
        <v>24</v>
      </c>
      <c r="H1448" s="1" t="s">
        <v>71</v>
      </c>
      <c r="I1448" s="1" t="s">
        <v>26</v>
      </c>
      <c r="J1448" s="1" t="s">
        <v>27</v>
      </c>
      <c r="K1448" s="1" t="s">
        <v>28</v>
      </c>
      <c r="L1448">
        <v>3</v>
      </c>
      <c r="M1448">
        <v>799</v>
      </c>
      <c r="N1448">
        <v>0.15</v>
      </c>
      <c r="O1448">
        <v>2037.45</v>
      </c>
      <c r="P1448">
        <v>420</v>
      </c>
      <c r="Q1448">
        <v>1260</v>
      </c>
      <c r="R1448">
        <v>80</v>
      </c>
      <c r="S1448">
        <v>697.45</v>
      </c>
    </row>
    <row r="1449" spans="1:19" x14ac:dyDescent="0.3">
      <c r="A1449" s="1" t="s">
        <v>1956</v>
      </c>
      <c r="B1449" s="4">
        <v>46005</v>
      </c>
      <c r="C1449" s="1" t="s">
        <v>435</v>
      </c>
      <c r="D1449" s="1" t="s">
        <v>40</v>
      </c>
      <c r="E1449" s="1" t="s">
        <v>49</v>
      </c>
      <c r="F1449" s="1" t="s">
        <v>50</v>
      </c>
      <c r="G1449" s="1" t="s">
        <v>33</v>
      </c>
      <c r="H1449" s="1" t="s">
        <v>25</v>
      </c>
      <c r="I1449" s="1" t="s">
        <v>26</v>
      </c>
      <c r="J1449" s="1" t="s">
        <v>27</v>
      </c>
      <c r="K1449" s="1" t="s">
        <v>28</v>
      </c>
      <c r="L1449">
        <v>2</v>
      </c>
      <c r="M1449">
        <v>799</v>
      </c>
      <c r="N1449">
        <v>0.1</v>
      </c>
      <c r="O1449">
        <v>1438.2</v>
      </c>
      <c r="P1449">
        <v>420</v>
      </c>
      <c r="Q1449">
        <v>840</v>
      </c>
      <c r="R1449">
        <v>40</v>
      </c>
      <c r="S1449">
        <v>558.20000000000005</v>
      </c>
    </row>
    <row r="1450" spans="1:19" x14ac:dyDescent="0.3">
      <c r="A1450" s="1" t="s">
        <v>1957</v>
      </c>
      <c r="B1450" s="4">
        <v>46005</v>
      </c>
      <c r="C1450" s="1" t="s">
        <v>806</v>
      </c>
      <c r="D1450" s="1" t="s">
        <v>40</v>
      </c>
      <c r="E1450" s="1" t="s">
        <v>41</v>
      </c>
      <c r="F1450" s="1" t="s">
        <v>32</v>
      </c>
      <c r="G1450" s="1" t="s">
        <v>42</v>
      </c>
      <c r="H1450" s="1" t="s">
        <v>34</v>
      </c>
      <c r="I1450" s="1" t="s">
        <v>59</v>
      </c>
      <c r="J1450" s="1" t="s">
        <v>60</v>
      </c>
      <c r="K1450" s="1" t="s">
        <v>61</v>
      </c>
      <c r="L1450">
        <v>2</v>
      </c>
      <c r="M1450">
        <v>999</v>
      </c>
      <c r="N1450">
        <v>0</v>
      </c>
      <c r="O1450">
        <v>1998</v>
      </c>
      <c r="P1450">
        <v>520</v>
      </c>
      <c r="Q1450">
        <v>1040</v>
      </c>
      <c r="R1450">
        <v>40</v>
      </c>
      <c r="S1450">
        <v>918</v>
      </c>
    </row>
    <row r="1451" spans="1:19" x14ac:dyDescent="0.3">
      <c r="A1451" s="1" t="s">
        <v>1958</v>
      </c>
      <c r="B1451" s="4">
        <v>46005</v>
      </c>
      <c r="C1451" s="1" t="s">
        <v>761</v>
      </c>
      <c r="D1451" s="1" t="s">
        <v>48</v>
      </c>
      <c r="E1451" s="1" t="s">
        <v>31</v>
      </c>
      <c r="F1451" s="1" t="s">
        <v>32</v>
      </c>
      <c r="G1451" s="1" t="s">
        <v>42</v>
      </c>
      <c r="H1451" s="1" t="s">
        <v>25</v>
      </c>
      <c r="I1451" s="1" t="s">
        <v>59</v>
      </c>
      <c r="J1451" s="1" t="s">
        <v>60</v>
      </c>
      <c r="K1451" s="1" t="s">
        <v>61</v>
      </c>
      <c r="L1451">
        <v>2</v>
      </c>
      <c r="M1451">
        <v>999</v>
      </c>
      <c r="N1451">
        <v>0.1</v>
      </c>
      <c r="O1451">
        <v>1798.2</v>
      </c>
      <c r="P1451">
        <v>520</v>
      </c>
      <c r="Q1451">
        <v>1040</v>
      </c>
      <c r="R1451">
        <v>80</v>
      </c>
      <c r="S1451">
        <v>678.2</v>
      </c>
    </row>
    <row r="1452" spans="1:19" x14ac:dyDescent="0.3">
      <c r="A1452" s="1" t="s">
        <v>1959</v>
      </c>
      <c r="B1452" s="4">
        <v>46005</v>
      </c>
      <c r="C1452" s="1" t="s">
        <v>855</v>
      </c>
      <c r="D1452" s="1" t="s">
        <v>40</v>
      </c>
      <c r="E1452" s="1" t="s">
        <v>41</v>
      </c>
      <c r="F1452" s="1" t="s">
        <v>32</v>
      </c>
      <c r="G1452" s="1" t="s">
        <v>42</v>
      </c>
      <c r="H1452" s="1" t="s">
        <v>34</v>
      </c>
      <c r="I1452" s="1" t="s">
        <v>76</v>
      </c>
      <c r="J1452" s="1" t="s">
        <v>77</v>
      </c>
      <c r="K1452" s="1" t="s">
        <v>37</v>
      </c>
      <c r="L1452">
        <v>2</v>
      </c>
      <c r="M1452">
        <v>6999</v>
      </c>
      <c r="N1452">
        <v>0</v>
      </c>
      <c r="O1452">
        <v>13998</v>
      </c>
      <c r="P1452">
        <v>4900</v>
      </c>
      <c r="Q1452">
        <v>9800</v>
      </c>
      <c r="R1452">
        <v>80</v>
      </c>
      <c r="S1452">
        <v>4118</v>
      </c>
    </row>
    <row r="1453" spans="1:19" x14ac:dyDescent="0.3">
      <c r="A1453" s="1" t="s">
        <v>1960</v>
      </c>
      <c r="B1453" s="4">
        <v>46006</v>
      </c>
      <c r="C1453" s="1" t="s">
        <v>1036</v>
      </c>
      <c r="D1453" s="1" t="s">
        <v>40</v>
      </c>
      <c r="E1453" s="1" t="s">
        <v>64</v>
      </c>
      <c r="F1453" s="1" t="s">
        <v>65</v>
      </c>
      <c r="G1453" s="1" t="s">
        <v>33</v>
      </c>
      <c r="H1453" s="1" t="s">
        <v>56</v>
      </c>
      <c r="I1453" s="1" t="s">
        <v>76</v>
      </c>
      <c r="J1453" s="1" t="s">
        <v>77</v>
      </c>
      <c r="K1453" s="1" t="s">
        <v>37</v>
      </c>
      <c r="L1453">
        <v>2</v>
      </c>
      <c r="M1453">
        <v>6999</v>
      </c>
      <c r="N1453">
        <v>0.05</v>
      </c>
      <c r="O1453">
        <v>13298.1</v>
      </c>
      <c r="P1453">
        <v>4900</v>
      </c>
      <c r="Q1453">
        <v>9800</v>
      </c>
      <c r="R1453">
        <v>100</v>
      </c>
      <c r="S1453">
        <v>3398.1</v>
      </c>
    </row>
    <row r="1454" spans="1:19" x14ac:dyDescent="0.3">
      <c r="A1454" s="1" t="s">
        <v>1961</v>
      </c>
      <c r="B1454" s="4">
        <v>46006</v>
      </c>
      <c r="C1454" s="1" t="s">
        <v>542</v>
      </c>
      <c r="D1454" s="1" t="s">
        <v>48</v>
      </c>
      <c r="E1454" s="1" t="s">
        <v>112</v>
      </c>
      <c r="F1454" s="1" t="s">
        <v>113</v>
      </c>
      <c r="G1454" s="1" t="s">
        <v>33</v>
      </c>
      <c r="H1454" s="1" t="s">
        <v>71</v>
      </c>
      <c r="I1454" s="1" t="s">
        <v>85</v>
      </c>
      <c r="J1454" s="1" t="s">
        <v>86</v>
      </c>
      <c r="K1454" s="1" t="s">
        <v>45</v>
      </c>
      <c r="L1454">
        <v>2</v>
      </c>
      <c r="M1454">
        <v>599</v>
      </c>
      <c r="N1454">
        <v>0</v>
      </c>
      <c r="O1454">
        <v>1198</v>
      </c>
      <c r="P1454">
        <v>240</v>
      </c>
      <c r="Q1454">
        <v>480</v>
      </c>
      <c r="R1454">
        <v>60</v>
      </c>
      <c r="S1454">
        <v>658</v>
      </c>
    </row>
    <row r="1455" spans="1:19" x14ac:dyDescent="0.3">
      <c r="A1455" s="1" t="s">
        <v>1962</v>
      </c>
      <c r="B1455" s="4">
        <v>46007</v>
      </c>
      <c r="C1455" s="1" t="s">
        <v>169</v>
      </c>
      <c r="D1455" s="1" t="s">
        <v>48</v>
      </c>
      <c r="E1455" s="1" t="s">
        <v>64</v>
      </c>
      <c r="F1455" s="1" t="s">
        <v>65</v>
      </c>
      <c r="G1455" s="1" t="s">
        <v>24</v>
      </c>
      <c r="H1455" s="1" t="s">
        <v>25</v>
      </c>
      <c r="I1455" s="1" t="s">
        <v>35</v>
      </c>
      <c r="J1455" s="1" t="s">
        <v>36</v>
      </c>
      <c r="K1455" s="1" t="s">
        <v>37</v>
      </c>
      <c r="L1455">
        <v>2</v>
      </c>
      <c r="M1455">
        <v>1299</v>
      </c>
      <c r="N1455">
        <v>0.2</v>
      </c>
      <c r="O1455">
        <v>2078.4</v>
      </c>
      <c r="P1455">
        <v>700</v>
      </c>
      <c r="Q1455">
        <v>1400</v>
      </c>
      <c r="R1455">
        <v>60</v>
      </c>
      <c r="S1455">
        <v>618.4</v>
      </c>
    </row>
    <row r="1456" spans="1:19" x14ac:dyDescent="0.3">
      <c r="A1456" s="1" t="s">
        <v>1963</v>
      </c>
      <c r="B1456" s="4">
        <v>46007</v>
      </c>
      <c r="C1456" s="1" t="s">
        <v>837</v>
      </c>
      <c r="D1456" s="1" t="s">
        <v>40</v>
      </c>
      <c r="E1456" s="1" t="s">
        <v>54</v>
      </c>
      <c r="F1456" s="1" t="s">
        <v>55</v>
      </c>
      <c r="G1456" s="1" t="s">
        <v>24</v>
      </c>
      <c r="H1456" s="1" t="s">
        <v>34</v>
      </c>
      <c r="I1456" s="1" t="s">
        <v>35</v>
      </c>
      <c r="J1456" s="1" t="s">
        <v>36</v>
      </c>
      <c r="K1456" s="1" t="s">
        <v>37</v>
      </c>
      <c r="L1456">
        <v>1</v>
      </c>
      <c r="M1456">
        <v>1299</v>
      </c>
      <c r="N1456">
        <v>0</v>
      </c>
      <c r="O1456">
        <v>1299</v>
      </c>
      <c r="P1456">
        <v>700</v>
      </c>
      <c r="Q1456">
        <v>700</v>
      </c>
      <c r="R1456">
        <v>80</v>
      </c>
      <c r="S1456">
        <v>519</v>
      </c>
    </row>
    <row r="1457" spans="1:19" x14ac:dyDescent="0.3">
      <c r="A1457" s="1" t="s">
        <v>1964</v>
      </c>
      <c r="B1457" s="4">
        <v>46007</v>
      </c>
      <c r="C1457" s="1" t="s">
        <v>1272</v>
      </c>
      <c r="D1457" s="1" t="s">
        <v>40</v>
      </c>
      <c r="E1457" s="1" t="s">
        <v>49</v>
      </c>
      <c r="F1457" s="1" t="s">
        <v>50</v>
      </c>
      <c r="G1457" s="1" t="s">
        <v>33</v>
      </c>
      <c r="H1457" s="1" t="s">
        <v>89</v>
      </c>
      <c r="I1457" s="1" t="s">
        <v>134</v>
      </c>
      <c r="J1457" s="1" t="s">
        <v>135</v>
      </c>
      <c r="K1457" s="1" t="s">
        <v>136</v>
      </c>
      <c r="L1457">
        <v>1</v>
      </c>
      <c r="M1457">
        <v>299</v>
      </c>
      <c r="N1457">
        <v>0.2</v>
      </c>
      <c r="O1457">
        <v>239.2</v>
      </c>
      <c r="P1457">
        <v>110</v>
      </c>
      <c r="Q1457">
        <v>110</v>
      </c>
      <c r="R1457">
        <v>0</v>
      </c>
      <c r="S1457">
        <v>129.19999999999999</v>
      </c>
    </row>
    <row r="1458" spans="1:19" x14ac:dyDescent="0.3">
      <c r="A1458" s="1" t="s">
        <v>1965</v>
      </c>
      <c r="B1458" s="4">
        <v>46007</v>
      </c>
      <c r="C1458" s="1" t="s">
        <v>1157</v>
      </c>
      <c r="D1458" s="1" t="s">
        <v>21</v>
      </c>
      <c r="E1458" s="1" t="s">
        <v>22</v>
      </c>
      <c r="F1458" s="1" t="s">
        <v>23</v>
      </c>
      <c r="G1458" s="1" t="s">
        <v>42</v>
      </c>
      <c r="H1458" s="1" t="s">
        <v>89</v>
      </c>
      <c r="I1458" s="1" t="s">
        <v>66</v>
      </c>
      <c r="J1458" s="1" t="s">
        <v>67</v>
      </c>
      <c r="K1458" s="1" t="s">
        <v>28</v>
      </c>
      <c r="L1458">
        <v>3</v>
      </c>
      <c r="M1458">
        <v>2499</v>
      </c>
      <c r="N1458">
        <v>0.2</v>
      </c>
      <c r="O1458">
        <v>5997.6</v>
      </c>
      <c r="P1458">
        <v>1450</v>
      </c>
      <c r="Q1458">
        <v>4350</v>
      </c>
      <c r="R1458">
        <v>100</v>
      </c>
      <c r="S1458">
        <v>1547.6</v>
      </c>
    </row>
    <row r="1459" spans="1:19" x14ac:dyDescent="0.3">
      <c r="A1459" s="1" t="s">
        <v>1966</v>
      </c>
      <c r="B1459" s="4">
        <v>46008</v>
      </c>
      <c r="C1459" s="1" t="s">
        <v>1189</v>
      </c>
      <c r="D1459" s="1" t="s">
        <v>48</v>
      </c>
      <c r="E1459" s="1" t="s">
        <v>112</v>
      </c>
      <c r="F1459" s="1" t="s">
        <v>113</v>
      </c>
      <c r="G1459" s="1" t="s">
        <v>33</v>
      </c>
      <c r="H1459" s="1" t="s">
        <v>25</v>
      </c>
      <c r="I1459" s="1" t="s">
        <v>85</v>
      </c>
      <c r="J1459" s="1" t="s">
        <v>86</v>
      </c>
      <c r="K1459" s="1" t="s">
        <v>45</v>
      </c>
      <c r="L1459">
        <v>1</v>
      </c>
      <c r="M1459">
        <v>599</v>
      </c>
      <c r="N1459">
        <v>0</v>
      </c>
      <c r="O1459">
        <v>599</v>
      </c>
      <c r="P1459">
        <v>240</v>
      </c>
      <c r="Q1459">
        <v>240</v>
      </c>
      <c r="R1459">
        <v>60</v>
      </c>
      <c r="S1459">
        <v>299</v>
      </c>
    </row>
    <row r="1460" spans="1:19" x14ac:dyDescent="0.3">
      <c r="A1460" s="1" t="s">
        <v>1967</v>
      </c>
      <c r="B1460" s="4">
        <v>46009</v>
      </c>
      <c r="C1460" s="1" t="s">
        <v>711</v>
      </c>
      <c r="D1460" s="1" t="s">
        <v>48</v>
      </c>
      <c r="E1460" s="1" t="s">
        <v>64</v>
      </c>
      <c r="F1460" s="1" t="s">
        <v>65</v>
      </c>
      <c r="G1460" s="1" t="s">
        <v>24</v>
      </c>
      <c r="H1460" s="1" t="s">
        <v>89</v>
      </c>
      <c r="I1460" s="1" t="s">
        <v>26</v>
      </c>
      <c r="J1460" s="1" t="s">
        <v>27</v>
      </c>
      <c r="K1460" s="1" t="s">
        <v>28</v>
      </c>
      <c r="L1460">
        <v>1</v>
      </c>
      <c r="M1460">
        <v>799</v>
      </c>
      <c r="N1460">
        <v>0.15</v>
      </c>
      <c r="O1460">
        <v>679.15</v>
      </c>
      <c r="P1460">
        <v>420</v>
      </c>
      <c r="Q1460">
        <v>420</v>
      </c>
      <c r="R1460">
        <v>100</v>
      </c>
      <c r="S1460">
        <v>159.15</v>
      </c>
    </row>
    <row r="1461" spans="1:19" x14ac:dyDescent="0.3">
      <c r="A1461" s="1" t="s">
        <v>1968</v>
      </c>
      <c r="B1461" s="4">
        <v>46009</v>
      </c>
      <c r="C1461" s="1" t="s">
        <v>1969</v>
      </c>
      <c r="D1461" s="1" t="s">
        <v>40</v>
      </c>
      <c r="E1461" s="1" t="s">
        <v>80</v>
      </c>
      <c r="F1461" s="1" t="s">
        <v>55</v>
      </c>
      <c r="G1461" s="1" t="s">
        <v>33</v>
      </c>
      <c r="H1461" s="1" t="s">
        <v>89</v>
      </c>
      <c r="I1461" s="1" t="s">
        <v>72</v>
      </c>
      <c r="J1461" s="1" t="s">
        <v>73</v>
      </c>
      <c r="K1461" s="1" t="s">
        <v>28</v>
      </c>
      <c r="L1461">
        <v>1</v>
      </c>
      <c r="M1461">
        <v>2199</v>
      </c>
      <c r="N1461">
        <v>0</v>
      </c>
      <c r="O1461">
        <v>2199</v>
      </c>
      <c r="P1461">
        <v>1250</v>
      </c>
      <c r="Q1461">
        <v>1250</v>
      </c>
      <c r="R1461">
        <v>80</v>
      </c>
      <c r="S1461">
        <v>869</v>
      </c>
    </row>
    <row r="1462" spans="1:19" x14ac:dyDescent="0.3">
      <c r="A1462" s="1" t="s">
        <v>1970</v>
      </c>
      <c r="B1462" s="4">
        <v>46009</v>
      </c>
      <c r="C1462" s="1" t="s">
        <v>1279</v>
      </c>
      <c r="D1462" s="1" t="s">
        <v>21</v>
      </c>
      <c r="E1462" s="1" t="s">
        <v>54</v>
      </c>
      <c r="F1462" s="1" t="s">
        <v>55</v>
      </c>
      <c r="G1462" s="1" t="s">
        <v>33</v>
      </c>
      <c r="H1462" s="1" t="s">
        <v>25</v>
      </c>
      <c r="I1462" s="1" t="s">
        <v>35</v>
      </c>
      <c r="J1462" s="1" t="s">
        <v>36</v>
      </c>
      <c r="K1462" s="1" t="s">
        <v>37</v>
      </c>
      <c r="L1462">
        <v>2</v>
      </c>
      <c r="M1462">
        <v>1299</v>
      </c>
      <c r="N1462">
        <v>0</v>
      </c>
      <c r="O1462">
        <v>2598</v>
      </c>
      <c r="P1462">
        <v>700</v>
      </c>
      <c r="Q1462">
        <v>1400</v>
      </c>
      <c r="R1462">
        <v>40</v>
      </c>
      <c r="S1462">
        <v>1158</v>
      </c>
    </row>
    <row r="1463" spans="1:19" x14ac:dyDescent="0.3">
      <c r="A1463" s="1" t="s">
        <v>1971</v>
      </c>
      <c r="B1463" s="4">
        <v>46010</v>
      </c>
      <c r="C1463" s="1" t="s">
        <v>1972</v>
      </c>
      <c r="D1463" s="1" t="s">
        <v>40</v>
      </c>
      <c r="E1463" s="1" t="s">
        <v>120</v>
      </c>
      <c r="F1463" s="1" t="s">
        <v>121</v>
      </c>
      <c r="G1463" s="1" t="s">
        <v>42</v>
      </c>
      <c r="H1463" s="1" t="s">
        <v>34</v>
      </c>
      <c r="I1463" s="1" t="s">
        <v>76</v>
      </c>
      <c r="J1463" s="1" t="s">
        <v>77</v>
      </c>
      <c r="K1463" s="1" t="s">
        <v>37</v>
      </c>
      <c r="L1463">
        <v>2</v>
      </c>
      <c r="M1463">
        <v>6999</v>
      </c>
      <c r="N1463">
        <v>0.15</v>
      </c>
      <c r="O1463">
        <v>11898.3</v>
      </c>
      <c r="P1463">
        <v>4900</v>
      </c>
      <c r="Q1463">
        <v>9800</v>
      </c>
      <c r="R1463">
        <v>40</v>
      </c>
      <c r="S1463">
        <v>2058.3000000000002</v>
      </c>
    </row>
    <row r="1464" spans="1:19" x14ac:dyDescent="0.3">
      <c r="A1464" s="1" t="s">
        <v>1973</v>
      </c>
      <c r="B1464" s="4">
        <v>46011</v>
      </c>
      <c r="C1464" s="1" t="s">
        <v>1346</v>
      </c>
      <c r="D1464" s="1" t="s">
        <v>21</v>
      </c>
      <c r="E1464" s="1" t="s">
        <v>70</v>
      </c>
      <c r="F1464" s="1" t="s">
        <v>70</v>
      </c>
      <c r="G1464" s="1" t="s">
        <v>24</v>
      </c>
      <c r="H1464" s="1" t="s">
        <v>71</v>
      </c>
      <c r="I1464" s="1" t="s">
        <v>76</v>
      </c>
      <c r="J1464" s="1" t="s">
        <v>77</v>
      </c>
      <c r="K1464" s="1" t="s">
        <v>37</v>
      </c>
      <c r="L1464">
        <v>1</v>
      </c>
      <c r="M1464">
        <v>6999</v>
      </c>
      <c r="N1464">
        <v>0</v>
      </c>
      <c r="O1464">
        <v>6999</v>
      </c>
      <c r="P1464">
        <v>4900</v>
      </c>
      <c r="Q1464">
        <v>4900</v>
      </c>
      <c r="R1464">
        <v>40</v>
      </c>
      <c r="S1464">
        <v>2059</v>
      </c>
    </row>
    <row r="1465" spans="1:19" x14ac:dyDescent="0.3">
      <c r="A1465" s="1" t="s">
        <v>1974</v>
      </c>
      <c r="B1465" s="4">
        <v>46011</v>
      </c>
      <c r="C1465" s="1" t="s">
        <v>129</v>
      </c>
      <c r="D1465" s="1" t="s">
        <v>48</v>
      </c>
      <c r="E1465" s="1" t="s">
        <v>54</v>
      </c>
      <c r="F1465" s="1" t="s">
        <v>55</v>
      </c>
      <c r="G1465" s="1" t="s">
        <v>33</v>
      </c>
      <c r="H1465" s="1" t="s">
        <v>56</v>
      </c>
      <c r="I1465" s="1" t="s">
        <v>66</v>
      </c>
      <c r="J1465" s="1" t="s">
        <v>67</v>
      </c>
      <c r="K1465" s="1" t="s">
        <v>28</v>
      </c>
      <c r="L1465">
        <v>1</v>
      </c>
      <c r="M1465">
        <v>2499</v>
      </c>
      <c r="N1465">
        <v>0</v>
      </c>
      <c r="O1465">
        <v>2499</v>
      </c>
      <c r="P1465">
        <v>1450</v>
      </c>
      <c r="Q1465">
        <v>1450</v>
      </c>
      <c r="R1465">
        <v>40</v>
      </c>
      <c r="S1465">
        <v>1009</v>
      </c>
    </row>
    <row r="1466" spans="1:19" x14ac:dyDescent="0.3">
      <c r="A1466" s="1" t="s">
        <v>1975</v>
      </c>
      <c r="B1466" s="4">
        <v>46011</v>
      </c>
      <c r="C1466" s="1" t="s">
        <v>665</v>
      </c>
      <c r="D1466" s="1" t="s">
        <v>40</v>
      </c>
      <c r="E1466" s="1" t="s">
        <v>64</v>
      </c>
      <c r="F1466" s="1" t="s">
        <v>65</v>
      </c>
      <c r="G1466" s="1" t="s">
        <v>42</v>
      </c>
      <c r="H1466" s="1" t="s">
        <v>71</v>
      </c>
      <c r="I1466" s="1" t="s">
        <v>43</v>
      </c>
      <c r="J1466" s="1" t="s">
        <v>44</v>
      </c>
      <c r="K1466" s="1" t="s">
        <v>45</v>
      </c>
      <c r="L1466">
        <v>5</v>
      </c>
      <c r="M1466">
        <v>1799</v>
      </c>
      <c r="N1466">
        <v>0.1</v>
      </c>
      <c r="O1466">
        <v>8095.5</v>
      </c>
      <c r="P1466">
        <v>850</v>
      </c>
      <c r="Q1466">
        <v>4250</v>
      </c>
      <c r="R1466">
        <v>0</v>
      </c>
      <c r="S1466">
        <v>3845.5</v>
      </c>
    </row>
    <row r="1467" spans="1:19" x14ac:dyDescent="0.3">
      <c r="A1467" s="1" t="s">
        <v>1976</v>
      </c>
      <c r="B1467" s="4">
        <v>46011</v>
      </c>
      <c r="C1467" s="1" t="s">
        <v>532</v>
      </c>
      <c r="D1467" s="1" t="s">
        <v>21</v>
      </c>
      <c r="E1467" s="1" t="s">
        <v>64</v>
      </c>
      <c r="F1467" s="1" t="s">
        <v>65</v>
      </c>
      <c r="G1467" s="1" t="s">
        <v>33</v>
      </c>
      <c r="H1467" s="1" t="s">
        <v>89</v>
      </c>
      <c r="I1467" s="1" t="s">
        <v>85</v>
      </c>
      <c r="J1467" s="1" t="s">
        <v>86</v>
      </c>
      <c r="K1467" s="1" t="s">
        <v>45</v>
      </c>
      <c r="L1467">
        <v>2</v>
      </c>
      <c r="M1467">
        <v>599</v>
      </c>
      <c r="N1467">
        <v>0.1</v>
      </c>
      <c r="O1467">
        <v>1078.2</v>
      </c>
      <c r="P1467">
        <v>240</v>
      </c>
      <c r="Q1467">
        <v>480</v>
      </c>
      <c r="R1467">
        <v>0</v>
      </c>
      <c r="S1467">
        <v>598.20000000000005</v>
      </c>
    </row>
    <row r="1468" spans="1:19" x14ac:dyDescent="0.3">
      <c r="A1468" s="1" t="s">
        <v>1977</v>
      </c>
      <c r="B1468" s="4">
        <v>46012</v>
      </c>
      <c r="C1468" s="1" t="s">
        <v>238</v>
      </c>
      <c r="D1468" s="1" t="s">
        <v>21</v>
      </c>
      <c r="E1468" s="1" t="s">
        <v>124</v>
      </c>
      <c r="F1468" s="1" t="s">
        <v>125</v>
      </c>
      <c r="G1468" s="1" t="s">
        <v>33</v>
      </c>
      <c r="H1468" s="1" t="s">
        <v>34</v>
      </c>
      <c r="I1468" s="1" t="s">
        <v>51</v>
      </c>
      <c r="J1468" s="1" t="s">
        <v>52</v>
      </c>
      <c r="K1468" s="1" t="s">
        <v>37</v>
      </c>
      <c r="L1468">
        <v>1</v>
      </c>
      <c r="M1468">
        <v>499</v>
      </c>
      <c r="N1468">
        <v>0</v>
      </c>
      <c r="O1468">
        <v>499</v>
      </c>
      <c r="P1468">
        <v>180</v>
      </c>
      <c r="Q1468">
        <v>180</v>
      </c>
      <c r="R1468">
        <v>100</v>
      </c>
      <c r="S1468">
        <v>219</v>
      </c>
    </row>
    <row r="1469" spans="1:19" x14ac:dyDescent="0.3">
      <c r="A1469" s="1" t="s">
        <v>1978</v>
      </c>
      <c r="B1469" s="4">
        <v>46012</v>
      </c>
      <c r="C1469" s="1" t="s">
        <v>308</v>
      </c>
      <c r="D1469" s="1" t="s">
        <v>48</v>
      </c>
      <c r="E1469" s="1" t="s">
        <v>96</v>
      </c>
      <c r="F1469" s="1" t="s">
        <v>97</v>
      </c>
      <c r="G1469" s="1" t="s">
        <v>24</v>
      </c>
      <c r="H1469" s="1" t="s">
        <v>71</v>
      </c>
      <c r="I1469" s="1" t="s">
        <v>66</v>
      </c>
      <c r="J1469" s="1" t="s">
        <v>67</v>
      </c>
      <c r="K1469" s="1" t="s">
        <v>28</v>
      </c>
      <c r="L1469">
        <v>4</v>
      </c>
      <c r="M1469">
        <v>2499</v>
      </c>
      <c r="N1469">
        <v>0.15</v>
      </c>
      <c r="O1469">
        <v>8496.6</v>
      </c>
      <c r="P1469">
        <v>1450</v>
      </c>
      <c r="Q1469">
        <v>5800</v>
      </c>
      <c r="R1469">
        <v>60</v>
      </c>
      <c r="S1469">
        <v>2636.6</v>
      </c>
    </row>
    <row r="1470" spans="1:19" x14ac:dyDescent="0.3">
      <c r="A1470" s="1" t="s">
        <v>1979</v>
      </c>
      <c r="B1470" s="4">
        <v>46012</v>
      </c>
      <c r="C1470" s="1" t="s">
        <v>1980</v>
      </c>
      <c r="D1470" s="1" t="s">
        <v>48</v>
      </c>
      <c r="E1470" s="1" t="s">
        <v>54</v>
      </c>
      <c r="F1470" s="1" t="s">
        <v>55</v>
      </c>
      <c r="G1470" s="1" t="s">
        <v>33</v>
      </c>
      <c r="H1470" s="1" t="s">
        <v>25</v>
      </c>
      <c r="I1470" s="1" t="s">
        <v>35</v>
      </c>
      <c r="J1470" s="1" t="s">
        <v>36</v>
      </c>
      <c r="K1470" s="1" t="s">
        <v>37</v>
      </c>
      <c r="L1470">
        <v>2</v>
      </c>
      <c r="M1470">
        <v>1299</v>
      </c>
      <c r="N1470">
        <v>0.2</v>
      </c>
      <c r="O1470">
        <v>2078.4</v>
      </c>
      <c r="P1470">
        <v>700</v>
      </c>
      <c r="Q1470">
        <v>1400</v>
      </c>
      <c r="R1470">
        <v>100</v>
      </c>
      <c r="S1470">
        <v>578.4</v>
      </c>
    </row>
    <row r="1471" spans="1:19" x14ac:dyDescent="0.3">
      <c r="A1471" s="1" t="s">
        <v>1981</v>
      </c>
      <c r="B1471" s="4">
        <v>46013</v>
      </c>
      <c r="C1471" s="1" t="s">
        <v>1457</v>
      </c>
      <c r="D1471" s="1" t="s">
        <v>48</v>
      </c>
      <c r="E1471" s="1" t="s">
        <v>64</v>
      </c>
      <c r="F1471" s="1" t="s">
        <v>65</v>
      </c>
      <c r="G1471" s="1" t="s">
        <v>24</v>
      </c>
      <c r="H1471" s="1" t="s">
        <v>71</v>
      </c>
      <c r="I1471" s="1" t="s">
        <v>51</v>
      </c>
      <c r="J1471" s="1" t="s">
        <v>52</v>
      </c>
      <c r="K1471" s="1" t="s">
        <v>37</v>
      </c>
      <c r="L1471">
        <v>2</v>
      </c>
      <c r="M1471">
        <v>499</v>
      </c>
      <c r="N1471">
        <v>0.1</v>
      </c>
      <c r="O1471">
        <v>898.2</v>
      </c>
      <c r="P1471">
        <v>180</v>
      </c>
      <c r="Q1471">
        <v>360</v>
      </c>
      <c r="R1471">
        <v>60</v>
      </c>
      <c r="S1471">
        <v>478.2</v>
      </c>
    </row>
    <row r="1472" spans="1:19" x14ac:dyDescent="0.3">
      <c r="A1472" s="1" t="s">
        <v>1982</v>
      </c>
      <c r="B1472" s="4">
        <v>46013</v>
      </c>
      <c r="C1472" s="1" t="s">
        <v>1972</v>
      </c>
      <c r="D1472" s="1" t="s">
        <v>48</v>
      </c>
      <c r="E1472" s="1" t="s">
        <v>70</v>
      </c>
      <c r="F1472" s="1" t="s">
        <v>70</v>
      </c>
      <c r="G1472" s="1" t="s">
        <v>24</v>
      </c>
      <c r="H1472" s="1" t="s">
        <v>71</v>
      </c>
      <c r="I1472" s="1" t="s">
        <v>81</v>
      </c>
      <c r="J1472" s="1" t="s">
        <v>82</v>
      </c>
      <c r="K1472" s="1" t="s">
        <v>61</v>
      </c>
      <c r="L1472">
        <v>1</v>
      </c>
      <c r="M1472">
        <v>2999</v>
      </c>
      <c r="N1472">
        <v>0.1</v>
      </c>
      <c r="O1472">
        <v>2699.1</v>
      </c>
      <c r="P1472">
        <v>1750</v>
      </c>
      <c r="Q1472">
        <v>1750</v>
      </c>
      <c r="R1472">
        <v>0</v>
      </c>
      <c r="S1472">
        <v>949.1</v>
      </c>
    </row>
    <row r="1473" spans="1:19" x14ac:dyDescent="0.3">
      <c r="A1473" s="1" t="s">
        <v>1983</v>
      </c>
      <c r="B1473" s="4">
        <v>46014</v>
      </c>
      <c r="C1473" s="1" t="s">
        <v>686</v>
      </c>
      <c r="D1473" s="1" t="s">
        <v>21</v>
      </c>
      <c r="E1473" s="1" t="s">
        <v>31</v>
      </c>
      <c r="F1473" s="1" t="s">
        <v>32</v>
      </c>
      <c r="G1473" s="1" t="s">
        <v>42</v>
      </c>
      <c r="H1473" s="1" t="s">
        <v>25</v>
      </c>
      <c r="I1473" s="1" t="s">
        <v>85</v>
      </c>
      <c r="J1473" s="1" t="s">
        <v>86</v>
      </c>
      <c r="K1473" s="1" t="s">
        <v>45</v>
      </c>
      <c r="L1473">
        <v>1</v>
      </c>
      <c r="M1473">
        <v>599</v>
      </c>
      <c r="N1473">
        <v>0</v>
      </c>
      <c r="O1473">
        <v>599</v>
      </c>
      <c r="P1473">
        <v>240</v>
      </c>
      <c r="Q1473">
        <v>240</v>
      </c>
      <c r="R1473">
        <v>80</v>
      </c>
      <c r="S1473">
        <v>279</v>
      </c>
    </row>
    <row r="1474" spans="1:19" x14ac:dyDescent="0.3">
      <c r="A1474" s="1" t="s">
        <v>1984</v>
      </c>
      <c r="B1474" s="4">
        <v>46014</v>
      </c>
      <c r="C1474" s="1" t="s">
        <v>435</v>
      </c>
      <c r="D1474" s="1" t="s">
        <v>48</v>
      </c>
      <c r="E1474" s="1" t="s">
        <v>41</v>
      </c>
      <c r="F1474" s="1" t="s">
        <v>32</v>
      </c>
      <c r="G1474" s="1" t="s">
        <v>33</v>
      </c>
      <c r="H1474" s="1" t="s">
        <v>71</v>
      </c>
      <c r="I1474" s="1" t="s">
        <v>92</v>
      </c>
      <c r="J1474" s="1" t="s">
        <v>93</v>
      </c>
      <c r="K1474" s="1" t="s">
        <v>28</v>
      </c>
      <c r="L1474">
        <v>2</v>
      </c>
      <c r="M1474">
        <v>1599</v>
      </c>
      <c r="N1474">
        <v>0.15</v>
      </c>
      <c r="O1474">
        <v>2718.3</v>
      </c>
      <c r="P1474">
        <v>900</v>
      </c>
      <c r="Q1474">
        <v>1800</v>
      </c>
      <c r="R1474">
        <v>60</v>
      </c>
      <c r="S1474">
        <v>858.3</v>
      </c>
    </row>
    <row r="1475" spans="1:19" x14ac:dyDescent="0.3">
      <c r="A1475" s="1" t="s">
        <v>1985</v>
      </c>
      <c r="B1475" s="4">
        <v>46014</v>
      </c>
      <c r="C1475" s="1" t="s">
        <v>1618</v>
      </c>
      <c r="D1475" s="1" t="s">
        <v>40</v>
      </c>
      <c r="E1475" s="1" t="s">
        <v>80</v>
      </c>
      <c r="F1475" s="1" t="s">
        <v>55</v>
      </c>
      <c r="G1475" s="1" t="s">
        <v>33</v>
      </c>
      <c r="H1475" s="1" t="s">
        <v>34</v>
      </c>
      <c r="I1475" s="1" t="s">
        <v>81</v>
      </c>
      <c r="J1475" s="1" t="s">
        <v>82</v>
      </c>
      <c r="K1475" s="1" t="s">
        <v>61</v>
      </c>
      <c r="L1475">
        <v>2</v>
      </c>
      <c r="M1475">
        <v>2999</v>
      </c>
      <c r="N1475">
        <v>0.05</v>
      </c>
      <c r="O1475">
        <v>5698.1</v>
      </c>
      <c r="P1475">
        <v>1750</v>
      </c>
      <c r="Q1475">
        <v>3500</v>
      </c>
      <c r="R1475">
        <v>80</v>
      </c>
      <c r="S1475">
        <v>2118.1</v>
      </c>
    </row>
    <row r="1476" spans="1:19" x14ac:dyDescent="0.3">
      <c r="A1476" s="1" t="s">
        <v>1986</v>
      </c>
      <c r="B1476" s="4">
        <v>46015</v>
      </c>
      <c r="C1476" s="1" t="s">
        <v>654</v>
      </c>
      <c r="D1476" s="1" t="s">
        <v>48</v>
      </c>
      <c r="E1476" s="1" t="s">
        <v>120</v>
      </c>
      <c r="F1476" s="1" t="s">
        <v>121</v>
      </c>
      <c r="G1476" s="1" t="s">
        <v>33</v>
      </c>
      <c r="H1476" s="1" t="s">
        <v>56</v>
      </c>
      <c r="I1476" s="1" t="s">
        <v>35</v>
      </c>
      <c r="J1476" s="1" t="s">
        <v>36</v>
      </c>
      <c r="K1476" s="1" t="s">
        <v>37</v>
      </c>
      <c r="L1476">
        <v>1</v>
      </c>
      <c r="M1476">
        <v>1299</v>
      </c>
      <c r="N1476">
        <v>0.05</v>
      </c>
      <c r="O1476">
        <v>1234.05</v>
      </c>
      <c r="P1476">
        <v>700</v>
      </c>
      <c r="Q1476">
        <v>700</v>
      </c>
      <c r="R1476">
        <v>60</v>
      </c>
      <c r="S1476">
        <v>474.05</v>
      </c>
    </row>
    <row r="1477" spans="1:19" x14ac:dyDescent="0.3">
      <c r="A1477" s="1" t="s">
        <v>1987</v>
      </c>
      <c r="B1477" s="4">
        <v>46015</v>
      </c>
      <c r="C1477" s="1" t="s">
        <v>383</v>
      </c>
      <c r="D1477" s="1" t="s">
        <v>21</v>
      </c>
      <c r="E1477" s="1" t="s">
        <v>41</v>
      </c>
      <c r="F1477" s="1" t="s">
        <v>32</v>
      </c>
      <c r="G1477" s="1" t="s">
        <v>24</v>
      </c>
      <c r="H1477" s="1" t="s">
        <v>89</v>
      </c>
      <c r="I1477" s="1" t="s">
        <v>85</v>
      </c>
      <c r="J1477" s="1" t="s">
        <v>86</v>
      </c>
      <c r="K1477" s="1" t="s">
        <v>45</v>
      </c>
      <c r="L1477">
        <v>1</v>
      </c>
      <c r="M1477">
        <v>599</v>
      </c>
      <c r="N1477">
        <v>0</v>
      </c>
      <c r="O1477">
        <v>599</v>
      </c>
      <c r="P1477">
        <v>240</v>
      </c>
      <c r="Q1477">
        <v>240</v>
      </c>
      <c r="R1477">
        <v>40</v>
      </c>
      <c r="S1477">
        <v>319</v>
      </c>
    </row>
    <row r="1478" spans="1:19" x14ac:dyDescent="0.3">
      <c r="A1478" s="1" t="s">
        <v>1988</v>
      </c>
      <c r="B1478" s="4">
        <v>46015</v>
      </c>
      <c r="C1478" s="1" t="s">
        <v>1989</v>
      </c>
      <c r="D1478" s="1" t="s">
        <v>48</v>
      </c>
      <c r="E1478" s="1" t="s">
        <v>70</v>
      </c>
      <c r="F1478" s="1" t="s">
        <v>70</v>
      </c>
      <c r="G1478" s="1" t="s">
        <v>24</v>
      </c>
      <c r="H1478" s="1" t="s">
        <v>56</v>
      </c>
      <c r="I1478" s="1" t="s">
        <v>66</v>
      </c>
      <c r="J1478" s="1" t="s">
        <v>67</v>
      </c>
      <c r="K1478" s="1" t="s">
        <v>28</v>
      </c>
      <c r="L1478">
        <v>2</v>
      </c>
      <c r="M1478">
        <v>2499</v>
      </c>
      <c r="N1478">
        <v>0.15</v>
      </c>
      <c r="O1478">
        <v>4248.3</v>
      </c>
      <c r="P1478">
        <v>1450</v>
      </c>
      <c r="Q1478">
        <v>2900</v>
      </c>
      <c r="R1478">
        <v>100</v>
      </c>
      <c r="S1478">
        <v>1248.3</v>
      </c>
    </row>
    <row r="1479" spans="1:19" x14ac:dyDescent="0.3">
      <c r="A1479" s="1" t="s">
        <v>1990</v>
      </c>
      <c r="B1479" s="4">
        <v>46016</v>
      </c>
      <c r="C1479" s="1" t="s">
        <v>976</v>
      </c>
      <c r="D1479" s="1" t="s">
        <v>48</v>
      </c>
      <c r="E1479" s="1" t="s">
        <v>49</v>
      </c>
      <c r="F1479" s="1" t="s">
        <v>50</v>
      </c>
      <c r="G1479" s="1" t="s">
        <v>42</v>
      </c>
      <c r="H1479" s="1" t="s">
        <v>34</v>
      </c>
      <c r="I1479" s="1" t="s">
        <v>85</v>
      </c>
      <c r="J1479" s="1" t="s">
        <v>86</v>
      </c>
      <c r="K1479" s="1" t="s">
        <v>45</v>
      </c>
      <c r="L1479">
        <v>2</v>
      </c>
      <c r="M1479">
        <v>599</v>
      </c>
      <c r="N1479">
        <v>0.15</v>
      </c>
      <c r="O1479">
        <v>1018.3</v>
      </c>
      <c r="P1479">
        <v>240</v>
      </c>
      <c r="Q1479">
        <v>480</v>
      </c>
      <c r="R1479">
        <v>60</v>
      </c>
      <c r="S1479">
        <v>478.3</v>
      </c>
    </row>
    <row r="1480" spans="1:19" x14ac:dyDescent="0.3">
      <c r="A1480" s="1" t="s">
        <v>1991</v>
      </c>
      <c r="B1480" s="4">
        <v>46016</v>
      </c>
      <c r="C1480" s="1" t="s">
        <v>361</v>
      </c>
      <c r="D1480" s="1" t="s">
        <v>48</v>
      </c>
      <c r="E1480" s="1" t="s">
        <v>124</v>
      </c>
      <c r="F1480" s="1" t="s">
        <v>125</v>
      </c>
      <c r="G1480" s="1" t="s">
        <v>42</v>
      </c>
      <c r="H1480" s="1" t="s">
        <v>71</v>
      </c>
      <c r="I1480" s="1" t="s">
        <v>76</v>
      </c>
      <c r="J1480" s="1" t="s">
        <v>77</v>
      </c>
      <c r="K1480" s="1" t="s">
        <v>37</v>
      </c>
      <c r="L1480">
        <v>1</v>
      </c>
      <c r="M1480">
        <v>6999</v>
      </c>
      <c r="N1480">
        <v>0</v>
      </c>
      <c r="O1480">
        <v>6999</v>
      </c>
      <c r="P1480">
        <v>4900</v>
      </c>
      <c r="Q1480">
        <v>4900</v>
      </c>
      <c r="R1480">
        <v>0</v>
      </c>
      <c r="S1480">
        <v>2099</v>
      </c>
    </row>
    <row r="1481" spans="1:19" x14ac:dyDescent="0.3">
      <c r="A1481" s="1" t="s">
        <v>1992</v>
      </c>
      <c r="B1481" s="4">
        <v>46016</v>
      </c>
      <c r="C1481" s="1" t="s">
        <v>453</v>
      </c>
      <c r="D1481" s="1" t="s">
        <v>48</v>
      </c>
      <c r="E1481" s="1" t="s">
        <v>41</v>
      </c>
      <c r="F1481" s="1" t="s">
        <v>32</v>
      </c>
      <c r="G1481" s="1" t="s">
        <v>24</v>
      </c>
      <c r="H1481" s="1" t="s">
        <v>34</v>
      </c>
      <c r="I1481" s="1" t="s">
        <v>92</v>
      </c>
      <c r="J1481" s="1" t="s">
        <v>93</v>
      </c>
      <c r="K1481" s="1" t="s">
        <v>28</v>
      </c>
      <c r="L1481">
        <v>2</v>
      </c>
      <c r="M1481">
        <v>1599</v>
      </c>
      <c r="N1481">
        <v>0.2</v>
      </c>
      <c r="O1481">
        <v>2558.4</v>
      </c>
      <c r="P1481">
        <v>900</v>
      </c>
      <c r="Q1481">
        <v>1800</v>
      </c>
      <c r="R1481">
        <v>100</v>
      </c>
      <c r="S1481">
        <v>658.4</v>
      </c>
    </row>
    <row r="1482" spans="1:19" x14ac:dyDescent="0.3">
      <c r="A1482" s="1" t="s">
        <v>1993</v>
      </c>
      <c r="B1482" s="4">
        <v>46016</v>
      </c>
      <c r="C1482" s="1" t="s">
        <v>476</v>
      </c>
      <c r="D1482" s="1" t="s">
        <v>21</v>
      </c>
      <c r="E1482" s="1" t="s">
        <v>70</v>
      </c>
      <c r="F1482" s="1" t="s">
        <v>70</v>
      </c>
      <c r="G1482" s="1" t="s">
        <v>33</v>
      </c>
      <c r="H1482" s="1" t="s">
        <v>89</v>
      </c>
      <c r="I1482" s="1" t="s">
        <v>51</v>
      </c>
      <c r="J1482" s="1" t="s">
        <v>52</v>
      </c>
      <c r="K1482" s="1" t="s">
        <v>37</v>
      </c>
      <c r="L1482">
        <v>2</v>
      </c>
      <c r="M1482">
        <v>499</v>
      </c>
      <c r="N1482">
        <v>0.1</v>
      </c>
      <c r="O1482">
        <v>898.2</v>
      </c>
      <c r="P1482">
        <v>180</v>
      </c>
      <c r="Q1482">
        <v>360</v>
      </c>
      <c r="R1482">
        <v>80</v>
      </c>
      <c r="S1482">
        <v>458.2</v>
      </c>
    </row>
    <row r="1483" spans="1:19" x14ac:dyDescent="0.3">
      <c r="A1483" s="1" t="s">
        <v>1994</v>
      </c>
      <c r="B1483" s="4">
        <v>46017</v>
      </c>
      <c r="C1483" s="1" t="s">
        <v>771</v>
      </c>
      <c r="D1483" s="1" t="s">
        <v>48</v>
      </c>
      <c r="E1483" s="1" t="s">
        <v>112</v>
      </c>
      <c r="F1483" s="1" t="s">
        <v>113</v>
      </c>
      <c r="G1483" s="1" t="s">
        <v>24</v>
      </c>
      <c r="H1483" s="1" t="s">
        <v>56</v>
      </c>
      <c r="I1483" s="1" t="s">
        <v>66</v>
      </c>
      <c r="J1483" s="1" t="s">
        <v>67</v>
      </c>
      <c r="K1483" s="1" t="s">
        <v>28</v>
      </c>
      <c r="L1483">
        <v>1</v>
      </c>
      <c r="M1483">
        <v>2499</v>
      </c>
      <c r="N1483">
        <v>0.15</v>
      </c>
      <c r="O1483">
        <v>2124.15</v>
      </c>
      <c r="P1483">
        <v>1450</v>
      </c>
      <c r="Q1483">
        <v>1450</v>
      </c>
      <c r="R1483">
        <v>40</v>
      </c>
      <c r="S1483">
        <v>634.15</v>
      </c>
    </row>
    <row r="1484" spans="1:19" x14ac:dyDescent="0.3">
      <c r="A1484" s="1" t="s">
        <v>1995</v>
      </c>
      <c r="B1484" s="4">
        <v>46017</v>
      </c>
      <c r="C1484" s="1" t="s">
        <v>1298</v>
      </c>
      <c r="D1484" s="1" t="s">
        <v>40</v>
      </c>
      <c r="E1484" s="1" t="s">
        <v>124</v>
      </c>
      <c r="F1484" s="1" t="s">
        <v>125</v>
      </c>
      <c r="G1484" s="1" t="s">
        <v>33</v>
      </c>
      <c r="H1484" s="1" t="s">
        <v>89</v>
      </c>
      <c r="I1484" s="1" t="s">
        <v>134</v>
      </c>
      <c r="J1484" s="1" t="s">
        <v>135</v>
      </c>
      <c r="K1484" s="1" t="s">
        <v>136</v>
      </c>
      <c r="L1484">
        <v>1</v>
      </c>
      <c r="M1484">
        <v>299</v>
      </c>
      <c r="N1484">
        <v>0</v>
      </c>
      <c r="O1484">
        <v>299</v>
      </c>
      <c r="P1484">
        <v>110</v>
      </c>
      <c r="Q1484">
        <v>110</v>
      </c>
      <c r="R1484">
        <v>60</v>
      </c>
      <c r="S1484">
        <v>129</v>
      </c>
    </row>
    <row r="1485" spans="1:19" x14ac:dyDescent="0.3">
      <c r="A1485" s="1" t="s">
        <v>1996</v>
      </c>
      <c r="B1485" s="4">
        <v>46017</v>
      </c>
      <c r="C1485" s="1" t="s">
        <v>589</v>
      </c>
      <c r="D1485" s="1" t="s">
        <v>48</v>
      </c>
      <c r="E1485" s="1" t="s">
        <v>54</v>
      </c>
      <c r="F1485" s="1" t="s">
        <v>55</v>
      </c>
      <c r="G1485" s="1" t="s">
        <v>42</v>
      </c>
      <c r="H1485" s="1" t="s">
        <v>56</v>
      </c>
      <c r="I1485" s="1" t="s">
        <v>35</v>
      </c>
      <c r="J1485" s="1" t="s">
        <v>36</v>
      </c>
      <c r="K1485" s="1" t="s">
        <v>37</v>
      </c>
      <c r="L1485">
        <v>5</v>
      </c>
      <c r="M1485">
        <v>1299</v>
      </c>
      <c r="N1485">
        <v>0</v>
      </c>
      <c r="O1485">
        <v>6495</v>
      </c>
      <c r="P1485">
        <v>700</v>
      </c>
      <c r="Q1485">
        <v>3500</v>
      </c>
      <c r="R1485">
        <v>0</v>
      </c>
      <c r="S1485">
        <v>2995</v>
      </c>
    </row>
    <row r="1486" spans="1:19" x14ac:dyDescent="0.3">
      <c r="A1486" s="1" t="s">
        <v>1997</v>
      </c>
      <c r="B1486" s="4">
        <v>46017</v>
      </c>
      <c r="C1486" s="1" t="s">
        <v>214</v>
      </c>
      <c r="D1486" s="1" t="s">
        <v>21</v>
      </c>
      <c r="E1486" s="1" t="s">
        <v>70</v>
      </c>
      <c r="F1486" s="1" t="s">
        <v>70</v>
      </c>
      <c r="G1486" s="1" t="s">
        <v>33</v>
      </c>
      <c r="H1486" s="1" t="s">
        <v>56</v>
      </c>
      <c r="I1486" s="1" t="s">
        <v>43</v>
      </c>
      <c r="J1486" s="1" t="s">
        <v>44</v>
      </c>
      <c r="K1486" s="1" t="s">
        <v>45</v>
      </c>
      <c r="L1486">
        <v>3</v>
      </c>
      <c r="M1486">
        <v>1799</v>
      </c>
      <c r="N1486">
        <v>0.1</v>
      </c>
      <c r="O1486">
        <v>4857.3</v>
      </c>
      <c r="P1486">
        <v>850</v>
      </c>
      <c r="Q1486">
        <v>2550</v>
      </c>
      <c r="R1486">
        <v>0</v>
      </c>
      <c r="S1486">
        <v>2307.3000000000002</v>
      </c>
    </row>
    <row r="1487" spans="1:19" x14ac:dyDescent="0.3">
      <c r="A1487" s="1" t="s">
        <v>1998</v>
      </c>
      <c r="B1487" s="4">
        <v>46018</v>
      </c>
      <c r="C1487" s="1" t="s">
        <v>1999</v>
      </c>
      <c r="D1487" s="1" t="s">
        <v>21</v>
      </c>
      <c r="E1487" s="1" t="s">
        <v>64</v>
      </c>
      <c r="F1487" s="1" t="s">
        <v>65</v>
      </c>
      <c r="G1487" s="1" t="s">
        <v>24</v>
      </c>
      <c r="H1487" s="1" t="s">
        <v>25</v>
      </c>
      <c r="I1487" s="1" t="s">
        <v>85</v>
      </c>
      <c r="J1487" s="1" t="s">
        <v>86</v>
      </c>
      <c r="K1487" s="1" t="s">
        <v>45</v>
      </c>
      <c r="L1487">
        <v>2</v>
      </c>
      <c r="M1487">
        <v>599</v>
      </c>
      <c r="N1487">
        <v>0.15</v>
      </c>
      <c r="O1487">
        <v>1018.3</v>
      </c>
      <c r="P1487">
        <v>240</v>
      </c>
      <c r="Q1487">
        <v>480</v>
      </c>
      <c r="R1487">
        <v>60</v>
      </c>
      <c r="S1487">
        <v>478.3</v>
      </c>
    </row>
    <row r="1488" spans="1:19" x14ac:dyDescent="0.3">
      <c r="A1488" s="1" t="s">
        <v>2000</v>
      </c>
      <c r="B1488" s="4">
        <v>46018</v>
      </c>
      <c r="C1488" s="1" t="s">
        <v>200</v>
      </c>
      <c r="D1488" s="1" t="s">
        <v>40</v>
      </c>
      <c r="E1488" s="1" t="s">
        <v>112</v>
      </c>
      <c r="F1488" s="1" t="s">
        <v>113</v>
      </c>
      <c r="G1488" s="1" t="s">
        <v>42</v>
      </c>
      <c r="H1488" s="1" t="s">
        <v>34</v>
      </c>
      <c r="I1488" s="1" t="s">
        <v>92</v>
      </c>
      <c r="J1488" s="1" t="s">
        <v>93</v>
      </c>
      <c r="K1488" s="1" t="s">
        <v>28</v>
      </c>
      <c r="L1488">
        <v>1</v>
      </c>
      <c r="M1488">
        <v>1599</v>
      </c>
      <c r="N1488">
        <v>0</v>
      </c>
      <c r="O1488">
        <v>1599</v>
      </c>
      <c r="P1488">
        <v>900</v>
      </c>
      <c r="Q1488">
        <v>900</v>
      </c>
      <c r="R1488">
        <v>100</v>
      </c>
      <c r="S1488">
        <v>599</v>
      </c>
    </row>
    <row r="1489" spans="1:19" x14ac:dyDescent="0.3">
      <c r="A1489" s="1" t="s">
        <v>2001</v>
      </c>
      <c r="B1489" s="4">
        <v>46019</v>
      </c>
      <c r="C1489" s="1" t="s">
        <v>1050</v>
      </c>
      <c r="D1489" s="1" t="s">
        <v>40</v>
      </c>
      <c r="E1489" s="1" t="s">
        <v>64</v>
      </c>
      <c r="F1489" s="1" t="s">
        <v>65</v>
      </c>
      <c r="G1489" s="1" t="s">
        <v>42</v>
      </c>
      <c r="H1489" s="1" t="s">
        <v>89</v>
      </c>
      <c r="I1489" s="1" t="s">
        <v>43</v>
      </c>
      <c r="J1489" s="1" t="s">
        <v>44</v>
      </c>
      <c r="K1489" s="1" t="s">
        <v>45</v>
      </c>
      <c r="L1489">
        <v>1</v>
      </c>
      <c r="M1489">
        <v>1799</v>
      </c>
      <c r="N1489">
        <v>0.1</v>
      </c>
      <c r="O1489">
        <v>1619.1</v>
      </c>
      <c r="P1489">
        <v>850</v>
      </c>
      <c r="Q1489">
        <v>850</v>
      </c>
      <c r="R1489">
        <v>60</v>
      </c>
      <c r="S1489">
        <v>709.1</v>
      </c>
    </row>
    <row r="1490" spans="1:19" x14ac:dyDescent="0.3">
      <c r="A1490" s="1" t="s">
        <v>2002</v>
      </c>
      <c r="B1490" s="4">
        <v>46019</v>
      </c>
      <c r="C1490" s="1" t="s">
        <v>498</v>
      </c>
      <c r="D1490" s="1" t="s">
        <v>40</v>
      </c>
      <c r="E1490" s="1" t="s">
        <v>70</v>
      </c>
      <c r="F1490" s="1" t="s">
        <v>70</v>
      </c>
      <c r="G1490" s="1" t="s">
        <v>42</v>
      </c>
      <c r="H1490" s="1" t="s">
        <v>25</v>
      </c>
      <c r="I1490" s="1" t="s">
        <v>134</v>
      </c>
      <c r="J1490" s="1" t="s">
        <v>135</v>
      </c>
      <c r="K1490" s="1" t="s">
        <v>136</v>
      </c>
      <c r="L1490">
        <v>2</v>
      </c>
      <c r="M1490">
        <v>299</v>
      </c>
      <c r="N1490">
        <v>0</v>
      </c>
      <c r="O1490">
        <v>598</v>
      </c>
      <c r="P1490">
        <v>110</v>
      </c>
      <c r="Q1490">
        <v>220</v>
      </c>
      <c r="R1490">
        <v>100</v>
      </c>
      <c r="S1490">
        <v>278</v>
      </c>
    </row>
    <row r="1491" spans="1:19" x14ac:dyDescent="0.3">
      <c r="A1491" s="1" t="s">
        <v>2003</v>
      </c>
      <c r="B1491" s="4">
        <v>46020</v>
      </c>
      <c r="C1491" s="1" t="s">
        <v>2004</v>
      </c>
      <c r="D1491" s="1" t="s">
        <v>21</v>
      </c>
      <c r="E1491" s="1" t="s">
        <v>31</v>
      </c>
      <c r="F1491" s="1" t="s">
        <v>32</v>
      </c>
      <c r="G1491" s="1" t="s">
        <v>24</v>
      </c>
      <c r="H1491" s="1" t="s">
        <v>25</v>
      </c>
      <c r="I1491" s="1" t="s">
        <v>134</v>
      </c>
      <c r="J1491" s="1" t="s">
        <v>135</v>
      </c>
      <c r="K1491" s="1" t="s">
        <v>136</v>
      </c>
      <c r="L1491">
        <v>3</v>
      </c>
      <c r="M1491">
        <v>299</v>
      </c>
      <c r="N1491">
        <v>0</v>
      </c>
      <c r="O1491">
        <v>897</v>
      </c>
      <c r="P1491">
        <v>110</v>
      </c>
      <c r="Q1491">
        <v>330</v>
      </c>
      <c r="R1491">
        <v>100</v>
      </c>
      <c r="S1491">
        <v>467</v>
      </c>
    </row>
    <row r="1492" spans="1:19" x14ac:dyDescent="0.3">
      <c r="A1492" s="1" t="s">
        <v>2005</v>
      </c>
      <c r="B1492" s="4">
        <v>46021</v>
      </c>
      <c r="C1492" s="1" t="s">
        <v>1368</v>
      </c>
      <c r="D1492" s="1" t="s">
        <v>40</v>
      </c>
      <c r="E1492" s="1" t="s">
        <v>31</v>
      </c>
      <c r="F1492" s="1" t="s">
        <v>32</v>
      </c>
      <c r="G1492" s="1" t="s">
        <v>42</v>
      </c>
      <c r="H1492" s="1" t="s">
        <v>71</v>
      </c>
      <c r="I1492" s="1" t="s">
        <v>43</v>
      </c>
      <c r="J1492" s="1" t="s">
        <v>44</v>
      </c>
      <c r="K1492" s="1" t="s">
        <v>45</v>
      </c>
      <c r="L1492">
        <v>1</v>
      </c>
      <c r="M1492">
        <v>1799</v>
      </c>
      <c r="N1492">
        <v>0</v>
      </c>
      <c r="O1492">
        <v>1799</v>
      </c>
      <c r="P1492">
        <v>850</v>
      </c>
      <c r="Q1492">
        <v>850</v>
      </c>
      <c r="R1492">
        <v>60</v>
      </c>
      <c r="S1492">
        <v>889</v>
      </c>
    </row>
    <row r="1493" spans="1:19" x14ac:dyDescent="0.3">
      <c r="A1493" s="1" t="s">
        <v>2006</v>
      </c>
      <c r="B1493" s="4">
        <v>46021</v>
      </c>
      <c r="C1493" s="1" t="s">
        <v>768</v>
      </c>
      <c r="D1493" s="1" t="s">
        <v>40</v>
      </c>
      <c r="E1493" s="1" t="s">
        <v>124</v>
      </c>
      <c r="F1493" s="1" t="s">
        <v>125</v>
      </c>
      <c r="G1493" s="1" t="s">
        <v>24</v>
      </c>
      <c r="H1493" s="1" t="s">
        <v>34</v>
      </c>
      <c r="I1493" s="1" t="s">
        <v>85</v>
      </c>
      <c r="J1493" s="1" t="s">
        <v>86</v>
      </c>
      <c r="K1493" s="1" t="s">
        <v>45</v>
      </c>
      <c r="L1493">
        <v>1</v>
      </c>
      <c r="M1493">
        <v>599</v>
      </c>
      <c r="N1493">
        <v>0.15</v>
      </c>
      <c r="O1493">
        <v>509.15</v>
      </c>
      <c r="P1493">
        <v>240</v>
      </c>
      <c r="Q1493">
        <v>240</v>
      </c>
      <c r="R1493">
        <v>100</v>
      </c>
      <c r="S1493">
        <v>169.15</v>
      </c>
    </row>
    <row r="1494" spans="1:19" x14ac:dyDescent="0.3">
      <c r="A1494" s="1" t="s">
        <v>2007</v>
      </c>
      <c r="B1494" s="4">
        <v>46021</v>
      </c>
      <c r="C1494" s="1" t="s">
        <v>1591</v>
      </c>
      <c r="D1494" s="1" t="s">
        <v>40</v>
      </c>
      <c r="E1494" s="1" t="s">
        <v>120</v>
      </c>
      <c r="F1494" s="1" t="s">
        <v>121</v>
      </c>
      <c r="G1494" s="1" t="s">
        <v>33</v>
      </c>
      <c r="H1494" s="1" t="s">
        <v>89</v>
      </c>
      <c r="I1494" s="1" t="s">
        <v>134</v>
      </c>
      <c r="J1494" s="1" t="s">
        <v>135</v>
      </c>
      <c r="K1494" s="1" t="s">
        <v>136</v>
      </c>
      <c r="L1494">
        <v>2</v>
      </c>
      <c r="M1494">
        <v>299</v>
      </c>
      <c r="N1494">
        <v>0.1</v>
      </c>
      <c r="O1494">
        <v>538.20000000000005</v>
      </c>
      <c r="P1494">
        <v>110</v>
      </c>
      <c r="Q1494">
        <v>220</v>
      </c>
      <c r="R1494">
        <v>80</v>
      </c>
      <c r="S1494">
        <v>238.2</v>
      </c>
    </row>
    <row r="1495" spans="1:19" x14ac:dyDescent="0.3">
      <c r="A1495" s="1" t="s">
        <v>2008</v>
      </c>
      <c r="B1495" s="4">
        <v>46021</v>
      </c>
      <c r="C1495" s="1" t="s">
        <v>1969</v>
      </c>
      <c r="D1495" s="1" t="s">
        <v>48</v>
      </c>
      <c r="E1495" s="1" t="s">
        <v>22</v>
      </c>
      <c r="F1495" s="1" t="s">
        <v>23</v>
      </c>
      <c r="G1495" s="1" t="s">
        <v>33</v>
      </c>
      <c r="H1495" s="1" t="s">
        <v>34</v>
      </c>
      <c r="I1495" s="1" t="s">
        <v>85</v>
      </c>
      <c r="J1495" s="1" t="s">
        <v>86</v>
      </c>
      <c r="K1495" s="1" t="s">
        <v>45</v>
      </c>
      <c r="L1495">
        <v>3</v>
      </c>
      <c r="M1495">
        <v>599</v>
      </c>
      <c r="N1495">
        <v>0.15</v>
      </c>
      <c r="O1495">
        <v>1527.45</v>
      </c>
      <c r="P1495">
        <v>240</v>
      </c>
      <c r="Q1495">
        <v>720</v>
      </c>
      <c r="R1495">
        <v>40</v>
      </c>
      <c r="S1495">
        <v>767.45</v>
      </c>
    </row>
    <row r="1496" spans="1:19" x14ac:dyDescent="0.3">
      <c r="A1496" s="1" t="s">
        <v>2009</v>
      </c>
      <c r="B1496" s="4">
        <v>46022</v>
      </c>
      <c r="C1496" s="1" t="s">
        <v>528</v>
      </c>
      <c r="D1496" s="1" t="s">
        <v>21</v>
      </c>
      <c r="E1496" s="1" t="s">
        <v>70</v>
      </c>
      <c r="F1496" s="1" t="s">
        <v>70</v>
      </c>
      <c r="G1496" s="1" t="s">
        <v>33</v>
      </c>
      <c r="H1496" s="1" t="s">
        <v>34</v>
      </c>
      <c r="I1496" s="1" t="s">
        <v>26</v>
      </c>
      <c r="J1496" s="1" t="s">
        <v>27</v>
      </c>
      <c r="K1496" s="1" t="s">
        <v>28</v>
      </c>
      <c r="L1496">
        <v>1</v>
      </c>
      <c r="M1496">
        <v>799</v>
      </c>
      <c r="N1496">
        <v>0</v>
      </c>
      <c r="O1496">
        <v>799</v>
      </c>
      <c r="P1496">
        <v>420</v>
      </c>
      <c r="Q1496">
        <v>420</v>
      </c>
      <c r="R1496">
        <v>60</v>
      </c>
      <c r="S1496">
        <v>319</v>
      </c>
    </row>
    <row r="1497" spans="1:19" x14ac:dyDescent="0.3">
      <c r="A1497" s="1" t="s">
        <v>2010</v>
      </c>
      <c r="B1497" s="4">
        <v>46022</v>
      </c>
      <c r="C1497" s="1" t="s">
        <v>882</v>
      </c>
      <c r="D1497" s="1" t="s">
        <v>48</v>
      </c>
      <c r="E1497" s="1" t="s">
        <v>41</v>
      </c>
      <c r="F1497" s="1" t="s">
        <v>32</v>
      </c>
      <c r="G1497" s="1" t="s">
        <v>33</v>
      </c>
      <c r="H1497" s="1" t="s">
        <v>71</v>
      </c>
      <c r="I1497" s="1" t="s">
        <v>35</v>
      </c>
      <c r="J1497" s="1" t="s">
        <v>36</v>
      </c>
      <c r="K1497" s="1" t="s">
        <v>37</v>
      </c>
      <c r="L1497">
        <v>4</v>
      </c>
      <c r="M1497">
        <v>1299</v>
      </c>
      <c r="N1497">
        <v>0.15</v>
      </c>
      <c r="O1497">
        <v>4416.6000000000004</v>
      </c>
      <c r="P1497">
        <v>700</v>
      </c>
      <c r="Q1497">
        <v>2800</v>
      </c>
      <c r="R1497">
        <v>60</v>
      </c>
      <c r="S1497">
        <v>1556.6</v>
      </c>
    </row>
    <row r="1498" spans="1:19" x14ac:dyDescent="0.3">
      <c r="A1498" s="1" t="s">
        <v>2011</v>
      </c>
      <c r="B1498" s="4">
        <v>46022</v>
      </c>
      <c r="C1498" s="1" t="s">
        <v>327</v>
      </c>
      <c r="D1498" s="1" t="s">
        <v>48</v>
      </c>
      <c r="E1498" s="1" t="s">
        <v>70</v>
      </c>
      <c r="F1498" s="1" t="s">
        <v>70</v>
      </c>
      <c r="G1498" s="1" t="s">
        <v>24</v>
      </c>
      <c r="H1498" s="1" t="s">
        <v>56</v>
      </c>
      <c r="I1498" s="1" t="s">
        <v>76</v>
      </c>
      <c r="J1498" s="1" t="s">
        <v>77</v>
      </c>
      <c r="K1498" s="1" t="s">
        <v>37</v>
      </c>
      <c r="L1498">
        <v>1</v>
      </c>
      <c r="M1498">
        <v>6999</v>
      </c>
      <c r="N1498">
        <v>0</v>
      </c>
      <c r="O1498">
        <v>6999</v>
      </c>
      <c r="P1498">
        <v>4900</v>
      </c>
      <c r="Q1498">
        <v>4900</v>
      </c>
      <c r="R1498">
        <v>0</v>
      </c>
      <c r="S1498">
        <v>2099</v>
      </c>
    </row>
    <row r="1499" spans="1:19" x14ac:dyDescent="0.3">
      <c r="A1499" s="1" t="s">
        <v>2012</v>
      </c>
      <c r="B1499" s="4">
        <v>46022</v>
      </c>
      <c r="C1499" s="1" t="s">
        <v>372</v>
      </c>
      <c r="D1499" s="1" t="s">
        <v>21</v>
      </c>
      <c r="E1499" s="1" t="s">
        <v>31</v>
      </c>
      <c r="F1499" s="1" t="s">
        <v>32</v>
      </c>
      <c r="G1499" s="1" t="s">
        <v>42</v>
      </c>
      <c r="H1499" s="1" t="s">
        <v>71</v>
      </c>
      <c r="I1499" s="1" t="s">
        <v>92</v>
      </c>
      <c r="J1499" s="1" t="s">
        <v>93</v>
      </c>
      <c r="K1499" s="1" t="s">
        <v>28</v>
      </c>
      <c r="L1499">
        <v>2</v>
      </c>
      <c r="M1499">
        <v>1599</v>
      </c>
      <c r="N1499">
        <v>0</v>
      </c>
      <c r="O1499">
        <v>3198</v>
      </c>
      <c r="P1499">
        <v>900</v>
      </c>
      <c r="Q1499">
        <v>1800</v>
      </c>
      <c r="R1499">
        <v>80</v>
      </c>
      <c r="S1499">
        <v>1318</v>
      </c>
    </row>
    <row r="1500" spans="1:19" x14ac:dyDescent="0.3">
      <c r="A1500" s="1" t="s">
        <v>2013</v>
      </c>
      <c r="B1500" s="4">
        <v>46022</v>
      </c>
      <c r="C1500" s="1" t="s">
        <v>576</v>
      </c>
      <c r="D1500" s="1" t="s">
        <v>40</v>
      </c>
      <c r="E1500" s="1" t="s">
        <v>120</v>
      </c>
      <c r="F1500" s="1" t="s">
        <v>121</v>
      </c>
      <c r="G1500" s="1" t="s">
        <v>42</v>
      </c>
      <c r="H1500" s="1" t="s">
        <v>56</v>
      </c>
      <c r="I1500" s="1" t="s">
        <v>35</v>
      </c>
      <c r="J1500" s="1" t="s">
        <v>36</v>
      </c>
      <c r="K1500" s="1" t="s">
        <v>37</v>
      </c>
      <c r="L1500">
        <v>1</v>
      </c>
      <c r="M1500">
        <v>1299</v>
      </c>
      <c r="N1500">
        <v>0.05</v>
      </c>
      <c r="O1500">
        <v>1234.05</v>
      </c>
      <c r="P1500">
        <v>700</v>
      </c>
      <c r="Q1500">
        <v>700</v>
      </c>
      <c r="R1500">
        <v>60</v>
      </c>
      <c r="S1500">
        <v>474.05</v>
      </c>
    </row>
    <row r="1501" spans="1:19" x14ac:dyDescent="0.3">
      <c r="A1501" s="1" t="s">
        <v>2014</v>
      </c>
      <c r="B1501" s="4">
        <v>46022</v>
      </c>
      <c r="C1501" s="1" t="s">
        <v>828</v>
      </c>
      <c r="D1501" s="1" t="s">
        <v>21</v>
      </c>
      <c r="E1501" s="1" t="s">
        <v>64</v>
      </c>
      <c r="F1501" s="1" t="s">
        <v>65</v>
      </c>
      <c r="G1501" s="1" t="s">
        <v>42</v>
      </c>
      <c r="H1501" s="1" t="s">
        <v>56</v>
      </c>
      <c r="I1501" s="1" t="s">
        <v>35</v>
      </c>
      <c r="J1501" s="1" t="s">
        <v>36</v>
      </c>
      <c r="K1501" s="1" t="s">
        <v>37</v>
      </c>
      <c r="L1501">
        <v>1</v>
      </c>
      <c r="M1501">
        <v>1299</v>
      </c>
      <c r="N1501">
        <v>0.2</v>
      </c>
      <c r="O1501">
        <v>1039.2</v>
      </c>
      <c r="P1501">
        <v>700</v>
      </c>
      <c r="Q1501">
        <v>700</v>
      </c>
      <c r="R1501">
        <v>60</v>
      </c>
      <c r="S1501">
        <v>279.2</v>
      </c>
    </row>
  </sheetData>
  <conditionalFormatting sqref="A2:A1501">
    <cfRule type="duplicateValues" dxfId="0"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20A0-57EB-43C6-8333-5620993DCEC1}">
  <dimension ref="B1:BQ1"/>
  <sheetViews>
    <sheetView showGridLines="0" tabSelected="1" zoomScale="40" zoomScaleNormal="40" workbookViewId="0">
      <selection activeCell="AF22" sqref="AF22"/>
    </sheetView>
  </sheetViews>
  <sheetFormatPr defaultRowHeight="14.4" x14ac:dyDescent="0.3"/>
  <cols>
    <col min="1" max="1" width="5.44140625" customWidth="1"/>
    <col min="3" max="4" width="8.88671875" customWidth="1"/>
    <col min="11" max="11" width="12.109375" bestFit="1" customWidth="1"/>
    <col min="66" max="66" width="23.33203125" customWidth="1"/>
    <col min="67" max="67" width="13.77734375" bestFit="1" customWidth="1"/>
  </cols>
  <sheetData>
    <row r="1" spans="2:69" ht="25.8" x14ac:dyDescent="0.5">
      <c r="B1" s="6" t="s">
        <v>2035</v>
      </c>
      <c r="BN1" s="7">
        <f>SUM(GETPIVOTDATA("Revenue_INR",'State-wise Revenue'!$A$3))</f>
        <v>5383969.0500000007</v>
      </c>
      <c r="BO1" s="7">
        <f>SUM(GETPIVOTDATA("Profit_INR",'State-wise Profit'!$A$1))</f>
        <v>1826979.0499999996</v>
      </c>
      <c r="BP1">
        <f>SUM(GETPIVOTDATA("Order_ID",'Total Orders'!$A$1))</f>
        <v>1500</v>
      </c>
      <c r="BQ1" s="8">
        <f>IFERROR(BO1/BN1,0)</f>
        <v>0.33933684109866852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03DF2E-84A5-425D-B413-A266FEF604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State-wise Revenue</vt:lpstr>
      <vt:lpstr>State-wise Profit</vt:lpstr>
      <vt:lpstr>Total Orders</vt:lpstr>
      <vt:lpstr>Sales Channel Analysis</vt:lpstr>
      <vt:lpstr>Top 10 Product</vt:lpstr>
      <vt:lpstr>Monthly Revenue Trend</vt:lpstr>
      <vt:lpstr>Profit by Product Ctegory</vt:lpstr>
      <vt:lpstr>Revenue Vs Total cost Analysis</vt:lpstr>
      <vt:lpstr>Profit Margin Analysis</vt:lpstr>
      <vt:lpstr>ecommerce_db</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dc:creator>
  <cp:lastModifiedBy>shubham k</cp:lastModifiedBy>
  <dcterms:created xsi:type="dcterms:W3CDTF">2026-10-17T11:11:39Z</dcterms:created>
  <dcterms:modified xsi:type="dcterms:W3CDTF">2026-10-22T09:57:46Z</dcterms:modified>
</cp:coreProperties>
</file>